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8.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0.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1.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2.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14.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5.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8625"/>
  <workbookPr codeName="ThisWorkbook" defaultThemeVersion="166925"/>
  <mc:AlternateContent xmlns:mc="http://schemas.openxmlformats.org/markup-compatibility/2006">
    <mc:Choice Requires="x15">
      <x15ac:absPath xmlns:x15ac="http://schemas.microsoft.com/office/spreadsheetml/2010/11/ac" url="C:\Users\thushan\Documents\GitHub\OilWellRegressions\"/>
    </mc:Choice>
  </mc:AlternateContent>
  <bookViews>
    <workbookView xWindow="0" yWindow="0" windowWidth="19200" windowHeight="12660" firstSheet="8" activeTab="11" xr2:uid="{00000000-000D-0000-FFFF-FFFF00000000}"/>
  </bookViews>
  <sheets>
    <sheet name="Data" sheetId="3" r:id="rId1"/>
    <sheet name="Sheet1" sheetId="7" r:id="rId2"/>
    <sheet name="Sheet2" sheetId="8" r:id="rId3"/>
    <sheet name="gdaxbitstamp" sheetId="11" r:id="rId4"/>
    <sheet name="other" sheetId="12" r:id="rId5"/>
    <sheet name="other2" sheetId="13" r:id="rId6"/>
    <sheet name="other3" sheetId="14" r:id="rId7"/>
    <sheet name="Sheet6" sheetId="15" r:id="rId8"/>
    <sheet name="here" sheetId="21" r:id="rId9"/>
    <sheet name="Sheet2 (2)" sheetId="23" r:id="rId10"/>
    <sheet name="Sheet2 (3)" sheetId="24" r:id="rId11"/>
    <sheet name="Sheet2 (4)" sheetId="25" r:id="rId12"/>
    <sheet name="Sheet7" sheetId="16" r:id="rId13"/>
    <sheet name="Sheet8" sheetId="17" r:id="rId14"/>
    <sheet name="Sheet9" sheetId="18" r:id="rId15"/>
    <sheet name="Sheet11" sheetId="20" r:id="rId16"/>
    <sheet name="Sheet3" sheetId="19" r:id="rId17"/>
  </sheet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336" i="24" l="1"/>
  <c r="H322" i="24"/>
  <c r="H323" i="24"/>
  <c r="H324" i="24"/>
  <c r="H325" i="24"/>
  <c r="H326" i="24"/>
  <c r="H327" i="24"/>
  <c r="H328" i="24"/>
  <c r="H329" i="24"/>
  <c r="H330" i="24"/>
  <c r="H331" i="24"/>
  <c r="H332" i="24"/>
  <c r="H333" i="24"/>
  <c r="H334" i="24"/>
  <c r="H321" i="24"/>
  <c r="H320" i="24"/>
  <c r="H319" i="24"/>
  <c r="H318" i="24"/>
  <c r="H317" i="24"/>
  <c r="H316" i="24"/>
  <c r="H315" i="24"/>
  <c r="H314" i="24"/>
  <c r="H313" i="24"/>
  <c r="H312" i="24"/>
  <c r="H311" i="24"/>
  <c r="H310" i="24"/>
  <c r="H309" i="24"/>
  <c r="H308" i="24"/>
  <c r="H307" i="24"/>
  <c r="H306" i="24"/>
  <c r="H305" i="24"/>
  <c r="H304" i="24"/>
  <c r="H303" i="24"/>
  <c r="H302" i="24"/>
  <c r="H301" i="24"/>
  <c r="H300" i="24"/>
  <c r="H299" i="24"/>
  <c r="H298" i="24"/>
  <c r="H297" i="24"/>
  <c r="H296" i="24"/>
  <c r="H295" i="24"/>
  <c r="H294" i="24"/>
  <c r="H293" i="24"/>
  <c r="H292" i="24"/>
  <c r="H291" i="24"/>
  <c r="H290" i="24"/>
  <c r="H289" i="24"/>
  <c r="H288" i="24"/>
  <c r="H287" i="24"/>
  <c r="H286" i="24"/>
  <c r="H285" i="24"/>
  <c r="H284" i="24"/>
  <c r="H283" i="24"/>
  <c r="H282" i="24"/>
  <c r="H281" i="24"/>
  <c r="H280" i="24"/>
  <c r="H279" i="24"/>
  <c r="H278" i="24"/>
  <c r="H277" i="24"/>
  <c r="H276" i="24"/>
  <c r="H275" i="24"/>
  <c r="H274" i="24"/>
  <c r="H273" i="24"/>
  <c r="H272" i="24"/>
  <c r="H271" i="24"/>
  <c r="H270" i="24"/>
  <c r="H269" i="24"/>
  <c r="H268" i="24"/>
  <c r="H267" i="24"/>
  <c r="H266" i="24"/>
  <c r="H265" i="24"/>
  <c r="H264" i="24"/>
  <c r="H263" i="24"/>
  <c r="H262" i="24"/>
  <c r="H261" i="24"/>
  <c r="H260" i="24"/>
  <c r="H259" i="24"/>
  <c r="H258" i="24"/>
  <c r="H257" i="24"/>
  <c r="H256" i="24"/>
  <c r="H255" i="24"/>
  <c r="H254" i="24"/>
  <c r="H253" i="24"/>
  <c r="H252" i="24"/>
  <c r="H251" i="24"/>
  <c r="H250" i="24"/>
  <c r="H249" i="24"/>
  <c r="H248" i="24"/>
  <c r="H247" i="24"/>
  <c r="H246" i="24"/>
  <c r="H245" i="24"/>
  <c r="H244" i="24"/>
  <c r="H243" i="24"/>
  <c r="H242" i="24"/>
  <c r="H241" i="24"/>
  <c r="H240" i="24"/>
  <c r="H239" i="24"/>
  <c r="H238" i="24"/>
  <c r="H237" i="24"/>
  <c r="H236" i="24"/>
  <c r="H235" i="24"/>
  <c r="H234" i="24"/>
  <c r="H233" i="24"/>
  <c r="H232" i="24"/>
  <c r="H231" i="24"/>
  <c r="H230" i="24"/>
  <c r="H229" i="24"/>
  <c r="H228" i="24"/>
  <c r="H227" i="24"/>
  <c r="H226" i="24"/>
  <c r="H225" i="24"/>
  <c r="H224" i="24"/>
  <c r="H223" i="24"/>
  <c r="H222" i="24"/>
  <c r="H221" i="24"/>
  <c r="H220" i="24"/>
  <c r="H219" i="24"/>
  <c r="H218" i="24"/>
  <c r="H217" i="24"/>
  <c r="H216" i="24"/>
  <c r="H215" i="24"/>
  <c r="H214" i="24"/>
  <c r="H213" i="24"/>
  <c r="H212" i="24"/>
  <c r="H211" i="24"/>
  <c r="H210" i="24"/>
  <c r="H209" i="24"/>
  <c r="H208" i="24"/>
  <c r="H207" i="24"/>
  <c r="H206" i="24"/>
  <c r="H205" i="24"/>
  <c r="H204" i="24"/>
  <c r="H203" i="24"/>
  <c r="H202" i="24"/>
  <c r="H201" i="24"/>
  <c r="H200" i="24"/>
  <c r="H199" i="24"/>
  <c r="H198" i="24"/>
  <c r="H197" i="24"/>
  <c r="H196" i="24"/>
  <c r="H195" i="24"/>
  <c r="H194" i="24"/>
  <c r="H193" i="24"/>
  <c r="H192" i="24"/>
  <c r="H191" i="24"/>
  <c r="H190" i="24"/>
  <c r="H189" i="24"/>
  <c r="H188" i="24"/>
  <c r="H187" i="24"/>
  <c r="H186" i="24"/>
  <c r="H185" i="24"/>
  <c r="H184" i="24"/>
  <c r="H183" i="24"/>
  <c r="H182" i="24"/>
  <c r="H181" i="24"/>
  <c r="H180" i="24"/>
  <c r="H179" i="24"/>
  <c r="H178" i="24"/>
  <c r="H177" i="24"/>
  <c r="H176" i="24"/>
  <c r="H175" i="24"/>
  <c r="H174" i="24"/>
  <c r="H173" i="24"/>
  <c r="H172" i="24"/>
  <c r="H171" i="24"/>
  <c r="H170" i="24"/>
  <c r="H169" i="24"/>
  <c r="H168" i="24"/>
  <c r="H167" i="24"/>
  <c r="H166" i="24"/>
  <c r="H165" i="24"/>
  <c r="H164" i="24"/>
  <c r="H163" i="24"/>
  <c r="H162" i="24"/>
  <c r="H161" i="24"/>
  <c r="H160" i="24"/>
  <c r="H159" i="24"/>
  <c r="H158" i="24"/>
  <c r="H157" i="24"/>
  <c r="H156" i="24"/>
  <c r="H155" i="24"/>
  <c r="H154" i="24"/>
  <c r="H153" i="24"/>
  <c r="H152" i="24"/>
  <c r="H151" i="24"/>
  <c r="H150" i="24"/>
  <c r="H149" i="24"/>
  <c r="H148" i="24"/>
  <c r="H147" i="24"/>
  <c r="H146" i="24"/>
  <c r="H145" i="24"/>
  <c r="H144" i="24"/>
  <c r="H143" i="24"/>
  <c r="H142" i="24"/>
  <c r="H141" i="24"/>
  <c r="H140" i="24"/>
  <c r="H139" i="24"/>
  <c r="H138" i="24"/>
  <c r="H137" i="24"/>
  <c r="H136" i="24"/>
  <c r="H135" i="24"/>
  <c r="H134" i="24"/>
  <c r="H133" i="24"/>
  <c r="H132" i="24"/>
  <c r="H131" i="24"/>
  <c r="H130" i="24"/>
  <c r="H129" i="24"/>
  <c r="H128" i="24"/>
  <c r="H127" i="24"/>
  <c r="H126" i="24"/>
  <c r="H125" i="24"/>
  <c r="H124" i="24"/>
  <c r="H123" i="24"/>
  <c r="H122" i="24"/>
  <c r="H121" i="24"/>
  <c r="H120" i="24"/>
  <c r="H119" i="24"/>
  <c r="H118" i="24"/>
  <c r="H117" i="24"/>
  <c r="H116" i="24"/>
  <c r="H115" i="24"/>
  <c r="H114" i="24"/>
  <c r="H113" i="24"/>
  <c r="H112" i="24"/>
  <c r="H111" i="24"/>
  <c r="H110" i="24"/>
  <c r="H109" i="24"/>
  <c r="H108" i="24"/>
  <c r="H107" i="24"/>
  <c r="H106" i="24"/>
  <c r="H105" i="24"/>
  <c r="H104" i="24"/>
  <c r="H103" i="24"/>
  <c r="H102" i="24"/>
  <c r="H101" i="24"/>
  <c r="H100" i="24"/>
  <c r="H99" i="24"/>
  <c r="H98" i="24"/>
  <c r="H97" i="24"/>
  <c r="H96" i="24"/>
  <c r="H95" i="24"/>
  <c r="H94" i="24"/>
  <c r="H93" i="24"/>
  <c r="H92" i="24"/>
  <c r="H91" i="24"/>
  <c r="H90" i="24"/>
  <c r="H89" i="24"/>
  <c r="H88" i="24"/>
  <c r="H87" i="24"/>
  <c r="H86" i="24"/>
  <c r="H85" i="24"/>
  <c r="H84" i="24"/>
  <c r="H83" i="24"/>
  <c r="H82" i="24"/>
  <c r="H81" i="24"/>
  <c r="H80" i="24"/>
  <c r="H79" i="24"/>
  <c r="H78" i="24"/>
  <c r="H77" i="24"/>
  <c r="H76" i="24"/>
  <c r="H75" i="24"/>
  <c r="H74" i="24"/>
  <c r="H73" i="24"/>
  <c r="H72" i="24"/>
  <c r="H71" i="24"/>
  <c r="H70" i="24"/>
  <c r="H69" i="24"/>
  <c r="H68" i="24"/>
  <c r="H67" i="24"/>
  <c r="H66" i="24"/>
  <c r="H65" i="24"/>
  <c r="H64" i="24"/>
  <c r="H63" i="24"/>
  <c r="H62" i="24"/>
  <c r="H61" i="24"/>
  <c r="H60" i="24"/>
  <c r="H59" i="24"/>
  <c r="H58" i="24"/>
  <c r="H57" i="24"/>
  <c r="H56" i="24"/>
  <c r="H55" i="24"/>
  <c r="H54" i="24"/>
  <c r="H53" i="24"/>
  <c r="H52" i="24"/>
  <c r="H51" i="24"/>
  <c r="H50" i="24"/>
  <c r="H49" i="24"/>
  <c r="H48" i="24"/>
  <c r="H47" i="24"/>
  <c r="H46" i="24"/>
  <c r="H45" i="24"/>
  <c r="H44" i="24"/>
  <c r="H43" i="24"/>
  <c r="H42" i="24"/>
  <c r="H41" i="24"/>
  <c r="H40" i="24"/>
  <c r="H39" i="24"/>
  <c r="H38" i="24"/>
  <c r="H37" i="24"/>
  <c r="H36" i="24"/>
  <c r="H35" i="24"/>
  <c r="H34" i="24"/>
  <c r="H33" i="24"/>
  <c r="H32" i="24"/>
  <c r="H31" i="24"/>
  <c r="H30" i="24"/>
  <c r="H29" i="24"/>
  <c r="H28" i="24"/>
  <c r="H27" i="24"/>
  <c r="H26" i="24"/>
  <c r="H25" i="24"/>
  <c r="H24" i="24"/>
  <c r="H23" i="24"/>
  <c r="H22" i="24"/>
  <c r="H21" i="24"/>
  <c r="H20" i="24"/>
  <c r="H19" i="24"/>
  <c r="H18" i="24"/>
  <c r="H17" i="24"/>
  <c r="H16" i="24"/>
  <c r="H15" i="24"/>
  <c r="H14" i="24"/>
  <c r="H13" i="24"/>
  <c r="H12" i="24"/>
  <c r="H11" i="24"/>
  <c r="H10" i="24"/>
  <c r="H9" i="24"/>
  <c r="H8" i="24"/>
  <c r="H7" i="24"/>
  <c r="H6" i="24"/>
  <c r="H5" i="24"/>
  <c r="H4" i="24"/>
  <c r="H3" i="24"/>
  <c r="H2" i="24"/>
  <c r="E336" i="24"/>
  <c r="H323" i="23"/>
  <c r="H321" i="23"/>
  <c r="H320" i="23"/>
  <c r="H319" i="23"/>
  <c r="H318" i="23"/>
  <c r="H317" i="23"/>
  <c r="H316" i="23"/>
  <c r="H315" i="23"/>
  <c r="H314" i="23"/>
  <c r="H313" i="23"/>
  <c r="H312" i="23"/>
  <c r="H311" i="23"/>
  <c r="H310" i="23"/>
  <c r="H309" i="23"/>
  <c r="H308" i="23"/>
  <c r="H307" i="23"/>
  <c r="H306" i="23"/>
  <c r="H305" i="23"/>
  <c r="H304" i="23"/>
  <c r="H303" i="23"/>
  <c r="H302" i="23"/>
  <c r="H301" i="23"/>
  <c r="H300" i="23"/>
  <c r="H299" i="23"/>
  <c r="H298" i="23"/>
  <c r="H297" i="23"/>
  <c r="H296" i="23"/>
  <c r="H295" i="23"/>
  <c r="H294" i="23"/>
  <c r="H293" i="23"/>
  <c r="H292" i="23"/>
  <c r="H291" i="23"/>
  <c r="H290" i="23"/>
  <c r="H289" i="23"/>
  <c r="H288" i="23"/>
  <c r="H287" i="23"/>
  <c r="H286" i="23"/>
  <c r="H285" i="23"/>
  <c r="H284" i="23"/>
  <c r="H283" i="23"/>
  <c r="H282" i="23"/>
  <c r="H281" i="23"/>
  <c r="H280" i="23"/>
  <c r="H279" i="23"/>
  <c r="H278" i="23"/>
  <c r="H277" i="23"/>
  <c r="H276" i="23"/>
  <c r="H275" i="23"/>
  <c r="H274" i="23"/>
  <c r="H273" i="23"/>
  <c r="H272" i="23"/>
  <c r="H271" i="23"/>
  <c r="H270" i="23"/>
  <c r="H269" i="23"/>
  <c r="H268" i="23"/>
  <c r="H267" i="23"/>
  <c r="H266" i="23"/>
  <c r="H265" i="23"/>
  <c r="H264" i="23"/>
  <c r="H263" i="23"/>
  <c r="H262" i="23"/>
  <c r="H261" i="23"/>
  <c r="H260" i="23"/>
  <c r="H259" i="23"/>
  <c r="H258" i="23"/>
  <c r="H257" i="23"/>
  <c r="H256" i="23"/>
  <c r="H255" i="23"/>
  <c r="H254" i="23"/>
  <c r="H253" i="23"/>
  <c r="H252" i="23"/>
  <c r="H251" i="23"/>
  <c r="H250" i="23"/>
  <c r="H249" i="23"/>
  <c r="H248" i="23"/>
  <c r="H247" i="23"/>
  <c r="H246" i="23"/>
  <c r="H245" i="23"/>
  <c r="H244" i="23"/>
  <c r="H243" i="23"/>
  <c r="H242" i="23"/>
  <c r="H241" i="23"/>
  <c r="H240" i="23"/>
  <c r="H239" i="23"/>
  <c r="H238" i="23"/>
  <c r="H237" i="23"/>
  <c r="H236" i="23"/>
  <c r="H235" i="23"/>
  <c r="H234" i="23"/>
  <c r="H233" i="23"/>
  <c r="H232" i="23"/>
  <c r="H231" i="23"/>
  <c r="H230" i="23"/>
  <c r="H229" i="23"/>
  <c r="H228" i="23"/>
  <c r="H227" i="23"/>
  <c r="H226" i="23"/>
  <c r="H225" i="23"/>
  <c r="H224" i="23"/>
  <c r="H223" i="23"/>
  <c r="H222" i="23"/>
  <c r="H221" i="23"/>
  <c r="H220" i="23"/>
  <c r="H219" i="23"/>
  <c r="H218" i="23"/>
  <c r="H217" i="23"/>
  <c r="H216" i="23"/>
  <c r="H215" i="23"/>
  <c r="H214" i="23"/>
  <c r="H213" i="23"/>
  <c r="H212" i="23"/>
  <c r="H211" i="23"/>
  <c r="H210" i="23"/>
  <c r="H209" i="23"/>
  <c r="H208" i="23"/>
  <c r="H207" i="23"/>
  <c r="H206" i="23"/>
  <c r="H205" i="23"/>
  <c r="H204" i="23"/>
  <c r="H203" i="23"/>
  <c r="H202" i="23"/>
  <c r="H201" i="23"/>
  <c r="H200" i="23"/>
  <c r="H199" i="23"/>
  <c r="H198" i="23"/>
  <c r="H197" i="23"/>
  <c r="H196" i="23"/>
  <c r="H195" i="23"/>
  <c r="H194" i="23"/>
  <c r="H193" i="23"/>
  <c r="H192" i="23"/>
  <c r="H191" i="23"/>
  <c r="H190" i="23"/>
  <c r="H189" i="23"/>
  <c r="H188" i="23"/>
  <c r="H187" i="23"/>
  <c r="H186" i="23"/>
  <c r="H185" i="23"/>
  <c r="H184" i="23"/>
  <c r="H183" i="23"/>
  <c r="H182" i="23"/>
  <c r="H181" i="23"/>
  <c r="H180" i="23"/>
  <c r="H179" i="23"/>
  <c r="H178" i="23"/>
  <c r="H177" i="23"/>
  <c r="H176" i="23"/>
  <c r="H175" i="23"/>
  <c r="H174" i="23"/>
  <c r="H173" i="23"/>
  <c r="H172" i="23"/>
  <c r="H171" i="23"/>
  <c r="H170" i="23"/>
  <c r="H169" i="23"/>
  <c r="H168" i="23"/>
  <c r="H167" i="23"/>
  <c r="H166" i="23"/>
  <c r="H165" i="23"/>
  <c r="H164" i="23"/>
  <c r="H163" i="23"/>
  <c r="H162" i="23"/>
  <c r="H161" i="23"/>
  <c r="H160" i="23"/>
  <c r="H159" i="23"/>
  <c r="H158" i="23"/>
  <c r="H157" i="23"/>
  <c r="H156" i="23"/>
  <c r="H155" i="23"/>
  <c r="H154" i="23"/>
  <c r="H153" i="23"/>
  <c r="H152" i="23"/>
  <c r="H151" i="23"/>
  <c r="H150" i="23"/>
  <c r="H149" i="23"/>
  <c r="H148" i="23"/>
  <c r="H147" i="23"/>
  <c r="H146" i="23"/>
  <c r="H145" i="23"/>
  <c r="H144" i="23"/>
  <c r="H143" i="23"/>
  <c r="H142" i="23"/>
  <c r="H141" i="23"/>
  <c r="H140" i="23"/>
  <c r="H139" i="23"/>
  <c r="H138" i="23"/>
  <c r="H137" i="23"/>
  <c r="H136" i="23"/>
  <c r="H135" i="23"/>
  <c r="H134" i="23"/>
  <c r="H133" i="23"/>
  <c r="H132" i="23"/>
  <c r="H131" i="23"/>
  <c r="H130" i="23"/>
  <c r="H129" i="23"/>
  <c r="H128" i="23"/>
  <c r="H127" i="23"/>
  <c r="H126" i="23"/>
  <c r="H125" i="23"/>
  <c r="H124" i="23"/>
  <c r="H123" i="23"/>
  <c r="H122" i="23"/>
  <c r="H121" i="23"/>
  <c r="H120" i="23"/>
  <c r="H119" i="23"/>
  <c r="H118" i="23"/>
  <c r="H117" i="23"/>
  <c r="H116" i="23"/>
  <c r="H115" i="23"/>
  <c r="H114" i="23"/>
  <c r="H113" i="23"/>
  <c r="H112" i="23"/>
  <c r="H111" i="23"/>
  <c r="H110" i="23"/>
  <c r="H109" i="23"/>
  <c r="H108" i="23"/>
  <c r="H107" i="23"/>
  <c r="H106" i="23"/>
  <c r="H105" i="23"/>
  <c r="H104" i="23"/>
  <c r="H103" i="23"/>
  <c r="H102" i="23"/>
  <c r="H101" i="23"/>
  <c r="H100" i="23"/>
  <c r="H99" i="23"/>
  <c r="H98" i="23"/>
  <c r="H97" i="23"/>
  <c r="H96" i="23"/>
  <c r="H95" i="23"/>
  <c r="H94" i="23"/>
  <c r="H93" i="23"/>
  <c r="H92" i="23"/>
  <c r="H91" i="23"/>
  <c r="H90" i="23"/>
  <c r="H89" i="23"/>
  <c r="H88" i="23"/>
  <c r="H87" i="23"/>
  <c r="H86" i="23"/>
  <c r="H85" i="23"/>
  <c r="H84" i="23"/>
  <c r="H83" i="23"/>
  <c r="H82" i="23"/>
  <c r="H81" i="23"/>
  <c r="H80" i="23"/>
  <c r="H79" i="23"/>
  <c r="H78" i="23"/>
  <c r="H77" i="23"/>
  <c r="H76" i="23"/>
  <c r="H75" i="23"/>
  <c r="H74" i="23"/>
  <c r="H73" i="23"/>
  <c r="H72" i="23"/>
  <c r="H71" i="23"/>
  <c r="H70" i="23"/>
  <c r="H69" i="23"/>
  <c r="H68" i="23"/>
  <c r="H67" i="23"/>
  <c r="H66" i="23"/>
  <c r="H65" i="23"/>
  <c r="H64" i="23"/>
  <c r="H63" i="23"/>
  <c r="H62" i="23"/>
  <c r="H61" i="23"/>
  <c r="H60" i="23"/>
  <c r="H59" i="23"/>
  <c r="H58" i="23"/>
  <c r="H57" i="23"/>
  <c r="H56" i="23"/>
  <c r="H55" i="23"/>
  <c r="H54" i="23"/>
  <c r="H53" i="23"/>
  <c r="H52" i="23"/>
  <c r="H51" i="23"/>
  <c r="H50" i="23"/>
  <c r="H49" i="23"/>
  <c r="H48" i="23"/>
  <c r="H47" i="23"/>
  <c r="H46" i="23"/>
  <c r="H45" i="23"/>
  <c r="H44" i="23"/>
  <c r="H43" i="23"/>
  <c r="H42" i="23"/>
  <c r="H41" i="23"/>
  <c r="H40" i="23"/>
  <c r="H39" i="23"/>
  <c r="H38" i="23"/>
  <c r="H37" i="23"/>
  <c r="H36" i="23"/>
  <c r="H35" i="23"/>
  <c r="H34" i="23"/>
  <c r="H33" i="23"/>
  <c r="H32" i="23"/>
  <c r="H31" i="23"/>
  <c r="H30" i="23"/>
  <c r="H29" i="23"/>
  <c r="H28" i="23"/>
  <c r="H27" i="23"/>
  <c r="H26" i="23"/>
  <c r="H25" i="23"/>
  <c r="H24" i="23"/>
  <c r="H23" i="23"/>
  <c r="H22" i="23"/>
  <c r="H21" i="23"/>
  <c r="H20" i="23"/>
  <c r="H19" i="23"/>
  <c r="H18" i="23"/>
  <c r="H17" i="23"/>
  <c r="H16" i="23"/>
  <c r="H15" i="23"/>
  <c r="H14" i="23"/>
  <c r="H13" i="23"/>
  <c r="H12" i="23"/>
  <c r="H11" i="23"/>
  <c r="H10" i="23"/>
  <c r="H9" i="23"/>
  <c r="H8" i="23"/>
  <c r="H7" i="23"/>
  <c r="H6" i="23"/>
  <c r="H5" i="23"/>
  <c r="H4" i="23"/>
  <c r="H3" i="23"/>
  <c r="H2" i="23"/>
  <c r="H341" i="23" s="1"/>
  <c r="E323" i="23"/>
  <c r="H341" i="21"/>
  <c r="H3" i="21"/>
  <c r="H4" i="21"/>
  <c r="H5" i="21"/>
  <c r="H6" i="21"/>
  <c r="H7" i="21"/>
  <c r="H8" i="21"/>
  <c r="H9" i="21"/>
  <c r="H10" i="21"/>
  <c r="H11" i="21"/>
  <c r="H12" i="21"/>
  <c r="H13" i="21"/>
  <c r="H14" i="21"/>
  <c r="H15" i="21"/>
  <c r="H16" i="21"/>
  <c r="H17" i="21"/>
  <c r="H18" i="21"/>
  <c r="H19" i="21"/>
  <c r="H20" i="21"/>
  <c r="H21" i="21"/>
  <c r="H22" i="21"/>
  <c r="H23" i="21"/>
  <c r="H24" i="21"/>
  <c r="H25" i="21"/>
  <c r="H26" i="21"/>
  <c r="H27" i="21"/>
  <c r="H28" i="21"/>
  <c r="H29" i="21"/>
  <c r="H30" i="21"/>
  <c r="H31" i="21"/>
  <c r="H32" i="21"/>
  <c r="H33" i="21"/>
  <c r="H34" i="21"/>
  <c r="H35" i="21"/>
  <c r="H36" i="21"/>
  <c r="H37" i="21"/>
  <c r="H38" i="21"/>
  <c r="H39" i="21"/>
  <c r="H40" i="21"/>
  <c r="H41" i="21"/>
  <c r="H42" i="21"/>
  <c r="H43" i="21"/>
  <c r="H44" i="21"/>
  <c r="H45" i="21"/>
  <c r="H46" i="21"/>
  <c r="H47" i="21"/>
  <c r="H48" i="21"/>
  <c r="H49" i="21"/>
  <c r="H50" i="21"/>
  <c r="H51" i="21"/>
  <c r="H52" i="21"/>
  <c r="H53" i="21"/>
  <c r="H54" i="21"/>
  <c r="H55" i="21"/>
  <c r="H56" i="21"/>
  <c r="H57" i="21"/>
  <c r="H58" i="21"/>
  <c r="H59" i="21"/>
  <c r="H60" i="21"/>
  <c r="H61" i="21"/>
  <c r="H62" i="21"/>
  <c r="H63" i="21"/>
  <c r="H64" i="21"/>
  <c r="H65" i="21"/>
  <c r="H66" i="21"/>
  <c r="H67" i="21"/>
  <c r="H68" i="21"/>
  <c r="H69" i="21"/>
  <c r="H70" i="21"/>
  <c r="H71" i="21"/>
  <c r="H72" i="21"/>
  <c r="H73" i="21"/>
  <c r="H74" i="21"/>
  <c r="H75" i="21"/>
  <c r="H76" i="21"/>
  <c r="H77" i="21"/>
  <c r="H78" i="21"/>
  <c r="H79" i="21"/>
  <c r="H80" i="21"/>
  <c r="H81" i="21"/>
  <c r="H82" i="21"/>
  <c r="H83" i="21"/>
  <c r="H84" i="21"/>
  <c r="H85" i="21"/>
  <c r="H86" i="21"/>
  <c r="H87" i="21"/>
  <c r="H88" i="21"/>
  <c r="H89" i="21"/>
  <c r="H90" i="21"/>
  <c r="H91" i="21"/>
  <c r="H92" i="21"/>
  <c r="H93" i="21"/>
  <c r="H94" i="21"/>
  <c r="H95" i="21"/>
  <c r="H96" i="21"/>
  <c r="H97" i="21"/>
  <c r="H98" i="21"/>
  <c r="H99" i="21"/>
  <c r="H100" i="21"/>
  <c r="H101" i="21"/>
  <c r="H102" i="21"/>
  <c r="H103" i="21"/>
  <c r="H104" i="21"/>
  <c r="H105" i="21"/>
  <c r="H106" i="21"/>
  <c r="H107" i="21"/>
  <c r="H108" i="21"/>
  <c r="H109" i="21"/>
  <c r="H110" i="21"/>
  <c r="H111" i="21"/>
  <c r="H112" i="21"/>
  <c r="H113" i="21"/>
  <c r="H114" i="21"/>
  <c r="H115" i="21"/>
  <c r="H116" i="21"/>
  <c r="H117" i="21"/>
  <c r="H118" i="21"/>
  <c r="H119" i="21"/>
  <c r="H120" i="21"/>
  <c r="H121" i="21"/>
  <c r="H122" i="21"/>
  <c r="H123" i="21"/>
  <c r="H124" i="21"/>
  <c r="H125" i="21"/>
  <c r="H126" i="21"/>
  <c r="H127" i="21"/>
  <c r="H128" i="21"/>
  <c r="H129" i="21"/>
  <c r="H130" i="21"/>
  <c r="H131" i="21"/>
  <c r="H132" i="21"/>
  <c r="H133" i="21"/>
  <c r="H134" i="21"/>
  <c r="H135" i="21"/>
  <c r="H136" i="21"/>
  <c r="H137" i="21"/>
  <c r="H138" i="21"/>
  <c r="H139" i="21"/>
  <c r="H140" i="21"/>
  <c r="H141" i="21"/>
  <c r="H142" i="21"/>
  <c r="H143" i="21"/>
  <c r="H144" i="21"/>
  <c r="H145" i="21"/>
  <c r="H146" i="21"/>
  <c r="H147" i="21"/>
  <c r="H148" i="21"/>
  <c r="H149" i="21"/>
  <c r="H150" i="21"/>
  <c r="H151" i="21"/>
  <c r="H152" i="21"/>
  <c r="H153" i="21"/>
  <c r="H154" i="21"/>
  <c r="H155" i="21"/>
  <c r="H156" i="21"/>
  <c r="H157" i="21"/>
  <c r="H158" i="21"/>
  <c r="H159" i="21"/>
  <c r="H160" i="21"/>
  <c r="H161" i="21"/>
  <c r="H162" i="21"/>
  <c r="H163" i="21"/>
  <c r="H164" i="21"/>
  <c r="H165" i="21"/>
  <c r="H166" i="21"/>
  <c r="H167" i="21"/>
  <c r="H168" i="21"/>
  <c r="H169" i="21"/>
  <c r="H170" i="21"/>
  <c r="H171" i="21"/>
  <c r="H172" i="21"/>
  <c r="H173" i="21"/>
  <c r="H174" i="21"/>
  <c r="H175" i="21"/>
  <c r="H176" i="21"/>
  <c r="H177" i="21"/>
  <c r="H178" i="21"/>
  <c r="H179" i="21"/>
  <c r="H180" i="21"/>
  <c r="H181" i="21"/>
  <c r="H182" i="21"/>
  <c r="H183" i="21"/>
  <c r="H184" i="21"/>
  <c r="H185" i="21"/>
  <c r="H186" i="21"/>
  <c r="H187" i="21"/>
  <c r="H188" i="21"/>
  <c r="H189" i="21"/>
  <c r="H190" i="21"/>
  <c r="H191" i="21"/>
  <c r="H192" i="21"/>
  <c r="H193" i="21"/>
  <c r="H194" i="21"/>
  <c r="H195" i="21"/>
  <c r="H196" i="21"/>
  <c r="H197" i="21"/>
  <c r="H198" i="21"/>
  <c r="H199" i="21"/>
  <c r="H200" i="21"/>
  <c r="H201" i="21"/>
  <c r="H202" i="21"/>
  <c r="H203" i="21"/>
  <c r="H204" i="21"/>
  <c r="H205" i="21"/>
  <c r="H206" i="21"/>
  <c r="H207" i="21"/>
  <c r="H208" i="21"/>
  <c r="H209" i="21"/>
  <c r="H210" i="21"/>
  <c r="H211" i="21"/>
  <c r="H212" i="21"/>
  <c r="H213" i="21"/>
  <c r="H214" i="21"/>
  <c r="H215" i="21"/>
  <c r="H216" i="21"/>
  <c r="H217" i="21"/>
  <c r="H218" i="21"/>
  <c r="H219" i="21"/>
  <c r="H220" i="21"/>
  <c r="H221" i="21"/>
  <c r="H222" i="21"/>
  <c r="H223" i="21"/>
  <c r="H224" i="21"/>
  <c r="H225" i="21"/>
  <c r="H226" i="21"/>
  <c r="H227" i="21"/>
  <c r="H228" i="21"/>
  <c r="H229" i="21"/>
  <c r="H230" i="21"/>
  <c r="H231" i="21"/>
  <c r="H232" i="21"/>
  <c r="H233" i="21"/>
  <c r="H234" i="21"/>
  <c r="H235" i="21"/>
  <c r="H236" i="21"/>
  <c r="H237" i="21"/>
  <c r="H238" i="21"/>
  <c r="H239" i="21"/>
  <c r="H240" i="21"/>
  <c r="H241" i="21"/>
  <c r="H242" i="21"/>
  <c r="H243" i="21"/>
  <c r="H244" i="21"/>
  <c r="H245" i="21"/>
  <c r="H246" i="21"/>
  <c r="H247" i="21"/>
  <c r="H248" i="21"/>
  <c r="H249" i="21"/>
  <c r="H250" i="21"/>
  <c r="H251" i="21"/>
  <c r="H252" i="21"/>
  <c r="H253" i="21"/>
  <c r="H254" i="21"/>
  <c r="H255" i="21"/>
  <c r="H256" i="21"/>
  <c r="H257" i="21"/>
  <c r="H258" i="21"/>
  <c r="H259" i="21"/>
  <c r="H260" i="21"/>
  <c r="H261" i="21"/>
  <c r="H262" i="21"/>
  <c r="H263" i="21"/>
  <c r="H264" i="21"/>
  <c r="H265" i="21"/>
  <c r="H266" i="21"/>
  <c r="H267" i="21"/>
  <c r="H268" i="21"/>
  <c r="H269" i="21"/>
  <c r="H270" i="21"/>
  <c r="H271" i="21"/>
  <c r="H272" i="21"/>
  <c r="H273" i="21"/>
  <c r="H274" i="21"/>
  <c r="H275" i="21"/>
  <c r="H276" i="21"/>
  <c r="H277" i="21"/>
  <c r="H278" i="21"/>
  <c r="H279" i="21"/>
  <c r="H280" i="21"/>
  <c r="H281" i="21"/>
  <c r="H282" i="21"/>
  <c r="H283" i="21"/>
  <c r="H284" i="21"/>
  <c r="H285" i="21"/>
  <c r="H286" i="21"/>
  <c r="H287" i="21"/>
  <c r="H288" i="21"/>
  <c r="H289" i="21"/>
  <c r="H290" i="21"/>
  <c r="H291" i="21"/>
  <c r="H292" i="21"/>
  <c r="H293" i="21"/>
  <c r="H294" i="21"/>
  <c r="H295" i="21"/>
  <c r="H296" i="21"/>
  <c r="H297" i="21"/>
  <c r="H298" i="21"/>
  <c r="H299" i="21"/>
  <c r="H300" i="21"/>
  <c r="H301" i="21"/>
  <c r="H302" i="21"/>
  <c r="H303" i="21"/>
  <c r="H304" i="21"/>
  <c r="H305" i="21"/>
  <c r="H306" i="21"/>
  <c r="H307" i="21"/>
  <c r="H308" i="21"/>
  <c r="H309" i="21"/>
  <c r="H310" i="21"/>
  <c r="H311" i="21"/>
  <c r="H312" i="21"/>
  <c r="H313" i="21"/>
  <c r="H314" i="21"/>
  <c r="H315" i="21"/>
  <c r="H316" i="21"/>
  <c r="H317" i="21"/>
  <c r="H318" i="21"/>
  <c r="H319" i="21"/>
  <c r="H320" i="21"/>
  <c r="H321" i="21"/>
  <c r="H322" i="21"/>
  <c r="H323" i="21"/>
  <c r="H324" i="21"/>
  <c r="H325" i="21"/>
  <c r="H326" i="21"/>
  <c r="H327" i="21"/>
  <c r="H328" i="21"/>
  <c r="H329" i="21"/>
  <c r="H330" i="21"/>
  <c r="H331" i="21"/>
  <c r="H332" i="21"/>
  <c r="H333" i="21"/>
  <c r="H334" i="21"/>
  <c r="H335" i="21"/>
  <c r="H336" i="21"/>
  <c r="H337" i="21"/>
  <c r="H338" i="21"/>
  <c r="H339" i="21"/>
  <c r="H2" i="21"/>
  <c r="E341" i="21"/>
  <c r="E328" i="25" l="1"/>
  <c r="E327" i="25"/>
  <c r="E326" i="25"/>
  <c r="E325" i="25"/>
  <c r="E324" i="25"/>
  <c r="E323" i="25"/>
  <c r="E322" i="25"/>
  <c r="E321" i="25"/>
  <c r="E320" i="25"/>
  <c r="E319" i="25"/>
  <c r="E318" i="25"/>
  <c r="E317" i="25"/>
  <c r="E316" i="25"/>
  <c r="E315" i="25"/>
  <c r="E314" i="25"/>
  <c r="E313" i="25"/>
  <c r="E312" i="25"/>
  <c r="E311" i="25"/>
  <c r="E310" i="25"/>
  <c r="E309" i="25"/>
  <c r="E308" i="25"/>
  <c r="E307" i="25"/>
  <c r="E306" i="25"/>
  <c r="E305" i="25"/>
  <c r="E304" i="25"/>
  <c r="E303" i="25"/>
  <c r="E302" i="25"/>
  <c r="E301" i="25"/>
  <c r="E300" i="25"/>
  <c r="E299" i="25"/>
  <c r="E298" i="25"/>
  <c r="E297" i="25"/>
  <c r="E296" i="25"/>
  <c r="E295" i="25"/>
  <c r="E294" i="25"/>
  <c r="E293" i="25"/>
  <c r="E292" i="25"/>
  <c r="E291" i="25"/>
  <c r="E290" i="25"/>
  <c r="E289" i="25"/>
  <c r="E288" i="25"/>
  <c r="E287" i="25"/>
  <c r="E286" i="25"/>
  <c r="E285" i="25"/>
  <c r="E284" i="25"/>
  <c r="E283" i="25"/>
  <c r="E282" i="25"/>
  <c r="E281" i="25"/>
  <c r="E280" i="25"/>
  <c r="E279" i="25"/>
  <c r="E278" i="25"/>
  <c r="E277" i="25"/>
  <c r="E276" i="25"/>
  <c r="E275" i="25"/>
  <c r="E274" i="25"/>
  <c r="E273" i="25"/>
  <c r="E272" i="25"/>
  <c r="E271" i="25"/>
  <c r="E270" i="25"/>
  <c r="E269" i="25"/>
  <c r="E268" i="25"/>
  <c r="E267" i="25"/>
  <c r="E266" i="25"/>
  <c r="E265" i="25"/>
  <c r="E264" i="25"/>
  <c r="E263" i="25"/>
  <c r="E262" i="25"/>
  <c r="E261" i="25"/>
  <c r="E260" i="25"/>
  <c r="E259" i="25"/>
  <c r="E258" i="25"/>
  <c r="E257" i="25"/>
  <c r="E256" i="25"/>
  <c r="E255" i="25"/>
  <c r="E254" i="25"/>
  <c r="E253" i="25"/>
  <c r="E252" i="25"/>
  <c r="E251" i="25"/>
  <c r="E250" i="25"/>
  <c r="E249" i="25"/>
  <c r="E248" i="25"/>
  <c r="E247" i="25"/>
  <c r="E246" i="25"/>
  <c r="E245" i="25"/>
  <c r="E244" i="25"/>
  <c r="E243" i="25"/>
  <c r="E242" i="25"/>
  <c r="E241" i="25"/>
  <c r="E240" i="25"/>
  <c r="E239" i="25"/>
  <c r="E238" i="25"/>
  <c r="E237" i="25"/>
  <c r="E236" i="25"/>
  <c r="E235" i="25"/>
  <c r="E234" i="25"/>
  <c r="E233" i="25"/>
  <c r="E232" i="25"/>
  <c r="E231" i="25"/>
  <c r="E230" i="25"/>
  <c r="E229" i="25"/>
  <c r="E228" i="25"/>
  <c r="E227" i="25"/>
  <c r="E226" i="25"/>
  <c r="E225" i="25"/>
  <c r="E224" i="25"/>
  <c r="E223" i="25"/>
  <c r="E222" i="25"/>
  <c r="E221" i="25"/>
  <c r="E220" i="25"/>
  <c r="E219" i="25"/>
  <c r="E218" i="25"/>
  <c r="E217" i="25"/>
  <c r="E216" i="25"/>
  <c r="E215" i="25"/>
  <c r="E214" i="25"/>
  <c r="E213" i="25"/>
  <c r="E212" i="25"/>
  <c r="E211" i="25"/>
  <c r="E210" i="25"/>
  <c r="E209" i="25"/>
  <c r="E208" i="25"/>
  <c r="E207" i="25"/>
  <c r="E206" i="25"/>
  <c r="E205" i="25"/>
  <c r="E204" i="25"/>
  <c r="E203" i="25"/>
  <c r="E202" i="25"/>
  <c r="E201" i="25"/>
  <c r="E200" i="25"/>
  <c r="E199" i="25"/>
  <c r="E198" i="25"/>
  <c r="E197" i="25"/>
  <c r="E196" i="25"/>
  <c r="E195" i="25"/>
  <c r="E194" i="25"/>
  <c r="E193" i="25"/>
  <c r="E192" i="25"/>
  <c r="E191" i="25"/>
  <c r="E190" i="25"/>
  <c r="E189" i="25"/>
  <c r="E188" i="25"/>
  <c r="E187" i="25"/>
  <c r="E186" i="25"/>
  <c r="E185" i="25"/>
  <c r="E184" i="25"/>
  <c r="E183" i="25"/>
  <c r="E182" i="25"/>
  <c r="E181" i="25"/>
  <c r="E180" i="25"/>
  <c r="E179" i="25"/>
  <c r="E178" i="25"/>
  <c r="E177" i="25"/>
  <c r="E176" i="25"/>
  <c r="E175" i="25"/>
  <c r="E174" i="25"/>
  <c r="E173" i="25"/>
  <c r="E172" i="25"/>
  <c r="E171" i="25"/>
  <c r="E170" i="25"/>
  <c r="E169" i="25"/>
  <c r="E168" i="25"/>
  <c r="E167" i="25"/>
  <c r="E166" i="25"/>
  <c r="E165" i="25"/>
  <c r="E164" i="25"/>
  <c r="E163" i="25"/>
  <c r="E162" i="25"/>
  <c r="E161" i="25"/>
  <c r="E160" i="25"/>
  <c r="E159" i="25"/>
  <c r="E158" i="25"/>
  <c r="E157" i="25"/>
  <c r="E156" i="25"/>
  <c r="E155" i="25"/>
  <c r="E154" i="25"/>
  <c r="E153" i="25"/>
  <c r="E152" i="25"/>
  <c r="E151" i="25"/>
  <c r="E150" i="25"/>
  <c r="E149" i="25"/>
  <c r="E148" i="25"/>
  <c r="E147" i="25"/>
  <c r="E146" i="25"/>
  <c r="E145" i="25"/>
  <c r="E144" i="25"/>
  <c r="E143" i="25"/>
  <c r="E142" i="25"/>
  <c r="E141" i="25"/>
  <c r="E140" i="25"/>
  <c r="E139" i="25"/>
  <c r="E138" i="25"/>
  <c r="E137" i="25"/>
  <c r="E136" i="25"/>
  <c r="E135" i="25"/>
  <c r="E134" i="25"/>
  <c r="E133" i="25"/>
  <c r="E132" i="25"/>
  <c r="E131" i="25"/>
  <c r="E130" i="25"/>
  <c r="E129" i="25"/>
  <c r="E128" i="25"/>
  <c r="E127" i="25"/>
  <c r="E126" i="25"/>
  <c r="E125" i="25"/>
  <c r="E124" i="25"/>
  <c r="E123" i="25"/>
  <c r="E122" i="25"/>
  <c r="E121" i="25"/>
  <c r="E120" i="25"/>
  <c r="E119" i="25"/>
  <c r="E118" i="25"/>
  <c r="E117" i="25"/>
  <c r="E116" i="25"/>
  <c r="E115" i="25"/>
  <c r="E114" i="25"/>
  <c r="E113" i="25"/>
  <c r="E112" i="25"/>
  <c r="E111" i="25"/>
  <c r="E110" i="25"/>
  <c r="E109" i="25"/>
  <c r="E108" i="25"/>
  <c r="E107" i="25"/>
  <c r="E106" i="25"/>
  <c r="E105" i="25"/>
  <c r="E104" i="25"/>
  <c r="E103" i="25"/>
  <c r="E102" i="25"/>
  <c r="E101" i="25"/>
  <c r="E100" i="25"/>
  <c r="E99" i="25"/>
  <c r="E98" i="25"/>
  <c r="E97" i="25"/>
  <c r="E96" i="25"/>
  <c r="E95" i="25"/>
  <c r="E94" i="25"/>
  <c r="E93" i="25"/>
  <c r="E92" i="25"/>
  <c r="E91" i="25"/>
  <c r="E90" i="25"/>
  <c r="E89" i="25"/>
  <c r="E88" i="25"/>
  <c r="E87" i="25"/>
  <c r="E86" i="25"/>
  <c r="E85" i="25"/>
  <c r="E84" i="25"/>
  <c r="E83" i="25"/>
  <c r="E82" i="25"/>
  <c r="E81" i="25"/>
  <c r="E80" i="25"/>
  <c r="E79" i="25"/>
  <c r="E78" i="25"/>
  <c r="E77" i="25"/>
  <c r="E76" i="25"/>
  <c r="E75" i="25"/>
  <c r="E74" i="25"/>
  <c r="E73" i="25"/>
  <c r="E72" i="25"/>
  <c r="E71" i="25"/>
  <c r="E70" i="25"/>
  <c r="E69" i="25"/>
  <c r="E68" i="25"/>
  <c r="E67" i="25"/>
  <c r="E66" i="25"/>
  <c r="E65" i="25"/>
  <c r="E64" i="25"/>
  <c r="E63" i="25"/>
  <c r="E62" i="25"/>
  <c r="E61" i="25"/>
  <c r="E60" i="25"/>
  <c r="E59" i="25"/>
  <c r="E58" i="25"/>
  <c r="E57" i="25"/>
  <c r="E56" i="25"/>
  <c r="E55" i="25"/>
  <c r="E54" i="25"/>
  <c r="E53" i="25"/>
  <c r="E52" i="25"/>
  <c r="E51" i="25"/>
  <c r="E50" i="25"/>
  <c r="E49" i="25"/>
  <c r="E48" i="25"/>
  <c r="E47" i="25"/>
  <c r="E46" i="25"/>
  <c r="E45" i="25"/>
  <c r="E44" i="25"/>
  <c r="E43" i="25"/>
  <c r="E42" i="25"/>
  <c r="E41" i="25"/>
  <c r="E40" i="25"/>
  <c r="E39" i="25"/>
  <c r="E38" i="25"/>
  <c r="E37" i="25"/>
  <c r="E36" i="25"/>
  <c r="E35" i="25"/>
  <c r="E34" i="25"/>
  <c r="E33" i="25"/>
  <c r="E32" i="25"/>
  <c r="E31" i="25"/>
  <c r="E30" i="25"/>
  <c r="E29" i="25"/>
  <c r="E28" i="25"/>
  <c r="E27" i="25"/>
  <c r="E26" i="25"/>
  <c r="E25" i="25"/>
  <c r="E24" i="25"/>
  <c r="E23" i="25"/>
  <c r="E22" i="25"/>
  <c r="E21" i="25"/>
  <c r="E20" i="25"/>
  <c r="E19" i="25"/>
  <c r="E18" i="25"/>
  <c r="E17" i="25"/>
  <c r="E16" i="25"/>
  <c r="E15" i="25"/>
  <c r="E14" i="25"/>
  <c r="E13" i="25"/>
  <c r="E12" i="25"/>
  <c r="E11" i="25"/>
  <c r="E10" i="25"/>
  <c r="E9" i="25"/>
  <c r="E8" i="25"/>
  <c r="E7" i="25"/>
  <c r="E6" i="25"/>
  <c r="E5" i="25"/>
  <c r="E4" i="25"/>
  <c r="E3" i="25"/>
  <c r="E2" i="25"/>
  <c r="E2" i="24"/>
  <c r="E3" i="24"/>
  <c r="E4" i="24"/>
  <c r="E5" i="24"/>
  <c r="E6" i="24"/>
  <c r="E7" i="24"/>
  <c r="E8" i="24"/>
  <c r="E9" i="24"/>
  <c r="E10" i="24"/>
  <c r="E11" i="24"/>
  <c r="E12" i="24"/>
  <c r="E13" i="24"/>
  <c r="E14" i="24"/>
  <c r="E15" i="24"/>
  <c r="E16" i="24"/>
  <c r="E17" i="24"/>
  <c r="E18" i="24"/>
  <c r="E19" i="24"/>
  <c r="E20" i="24"/>
  <c r="E21" i="24"/>
  <c r="E22" i="24"/>
  <c r="E23" i="24"/>
  <c r="E24" i="24"/>
  <c r="E25" i="24"/>
  <c r="E26" i="24"/>
  <c r="E27" i="24"/>
  <c r="E28" i="24"/>
  <c r="E29" i="24"/>
  <c r="E30" i="24"/>
  <c r="E31" i="24"/>
  <c r="E32" i="24"/>
  <c r="E33" i="24"/>
  <c r="E34" i="24"/>
  <c r="E35" i="24"/>
  <c r="E36" i="24"/>
  <c r="E37" i="24"/>
  <c r="E38" i="24"/>
  <c r="E39" i="24"/>
  <c r="E40" i="24"/>
  <c r="E41" i="24"/>
  <c r="E42" i="24"/>
  <c r="E43" i="24"/>
  <c r="E44" i="24"/>
  <c r="E45" i="24"/>
  <c r="E46" i="24"/>
  <c r="E47" i="24"/>
  <c r="E48" i="24"/>
  <c r="E49" i="24"/>
  <c r="E50" i="24"/>
  <c r="E51" i="24"/>
  <c r="E52" i="24"/>
  <c r="E53" i="24"/>
  <c r="E54" i="24"/>
  <c r="E55" i="24"/>
  <c r="E56" i="24"/>
  <c r="E57" i="24"/>
  <c r="E58" i="24"/>
  <c r="E59" i="24"/>
  <c r="E60" i="24"/>
  <c r="E61" i="24"/>
  <c r="E62" i="24"/>
  <c r="E63" i="24"/>
  <c r="E64" i="24"/>
  <c r="E65" i="24"/>
  <c r="E66" i="24"/>
  <c r="E67" i="24"/>
  <c r="E68" i="24"/>
  <c r="E69" i="24"/>
  <c r="E70" i="24"/>
  <c r="E71" i="24"/>
  <c r="E72" i="24"/>
  <c r="E73" i="24"/>
  <c r="E74" i="24"/>
  <c r="E75" i="24"/>
  <c r="E76" i="24"/>
  <c r="E77" i="24"/>
  <c r="E78" i="24"/>
  <c r="E79" i="24"/>
  <c r="E80" i="24"/>
  <c r="E81" i="24"/>
  <c r="E82" i="24"/>
  <c r="E83" i="24"/>
  <c r="E84" i="24"/>
  <c r="E85" i="24"/>
  <c r="E86" i="24"/>
  <c r="E87" i="24"/>
  <c r="E88" i="24"/>
  <c r="E89" i="24"/>
  <c r="E90" i="24"/>
  <c r="E91" i="24"/>
  <c r="E92" i="24"/>
  <c r="E93" i="24"/>
  <c r="E94" i="24"/>
  <c r="E95" i="24"/>
  <c r="E96" i="24"/>
  <c r="E97" i="24"/>
  <c r="E98" i="24"/>
  <c r="E99" i="24"/>
  <c r="E100" i="24"/>
  <c r="E101" i="24"/>
  <c r="E102" i="24"/>
  <c r="E103" i="24"/>
  <c r="E104" i="24"/>
  <c r="E105" i="24"/>
  <c r="E106" i="24"/>
  <c r="E107" i="24"/>
  <c r="E108" i="24"/>
  <c r="E109" i="24"/>
  <c r="E110" i="24"/>
  <c r="E111" i="24"/>
  <c r="E112" i="24"/>
  <c r="E113" i="24"/>
  <c r="E114" i="24"/>
  <c r="E115" i="24"/>
  <c r="E116" i="24"/>
  <c r="E117" i="24"/>
  <c r="E118" i="24"/>
  <c r="E119" i="24"/>
  <c r="E120" i="24"/>
  <c r="E121" i="24"/>
  <c r="E122" i="24"/>
  <c r="E123" i="24"/>
  <c r="E124" i="24"/>
  <c r="E125" i="24"/>
  <c r="E126" i="24"/>
  <c r="E127" i="24"/>
  <c r="E128" i="24"/>
  <c r="E129" i="24"/>
  <c r="E130" i="24"/>
  <c r="E131" i="24"/>
  <c r="E132" i="24"/>
  <c r="E133" i="24"/>
  <c r="E134" i="24"/>
  <c r="E135" i="24"/>
  <c r="E136" i="24"/>
  <c r="E137" i="24"/>
  <c r="E138" i="24"/>
  <c r="E139" i="24"/>
  <c r="E140" i="24"/>
  <c r="E141" i="24"/>
  <c r="E142" i="24"/>
  <c r="E143" i="24"/>
  <c r="E144" i="24"/>
  <c r="E145" i="24"/>
  <c r="E146" i="24"/>
  <c r="E147" i="24"/>
  <c r="E148" i="24"/>
  <c r="E149" i="24"/>
  <c r="E150" i="24"/>
  <c r="E151" i="24"/>
  <c r="E152" i="24"/>
  <c r="E153" i="24"/>
  <c r="E154" i="24"/>
  <c r="E155" i="24"/>
  <c r="E156" i="24"/>
  <c r="E157" i="24"/>
  <c r="E158" i="24"/>
  <c r="E159" i="24"/>
  <c r="E160" i="24"/>
  <c r="E161" i="24"/>
  <c r="E162" i="24"/>
  <c r="E163" i="24"/>
  <c r="E164" i="24"/>
  <c r="E165" i="24"/>
  <c r="E166" i="24"/>
  <c r="E167" i="24"/>
  <c r="E168" i="24"/>
  <c r="E169" i="24"/>
  <c r="E170" i="24"/>
  <c r="E171" i="24"/>
  <c r="E172" i="24"/>
  <c r="E173" i="24"/>
  <c r="E174" i="24"/>
  <c r="E175" i="24"/>
  <c r="E176" i="24"/>
  <c r="E177" i="24"/>
  <c r="E178" i="24"/>
  <c r="E179" i="24"/>
  <c r="E180" i="24"/>
  <c r="E181" i="24"/>
  <c r="E182" i="24"/>
  <c r="E183" i="24"/>
  <c r="E184" i="24"/>
  <c r="E185" i="24"/>
  <c r="E186" i="24"/>
  <c r="E187" i="24"/>
  <c r="E188" i="24"/>
  <c r="E189" i="24"/>
  <c r="E190" i="24"/>
  <c r="E191" i="24"/>
  <c r="E192" i="24"/>
  <c r="E193" i="24"/>
  <c r="E194" i="24"/>
  <c r="E195" i="24"/>
  <c r="E196" i="24"/>
  <c r="E197" i="24"/>
  <c r="E198" i="24"/>
  <c r="E199" i="24"/>
  <c r="E200" i="24"/>
  <c r="E201" i="24"/>
  <c r="E202" i="24"/>
  <c r="E203" i="24"/>
  <c r="E204" i="24"/>
  <c r="E205" i="24"/>
  <c r="E206" i="24"/>
  <c r="E207" i="24"/>
  <c r="E208" i="24"/>
  <c r="E209" i="24"/>
  <c r="E210" i="24"/>
  <c r="E211" i="24"/>
  <c r="E212" i="24"/>
  <c r="E213" i="24"/>
  <c r="E214" i="24"/>
  <c r="E215" i="24"/>
  <c r="E216" i="24"/>
  <c r="E217" i="24"/>
  <c r="E218" i="24"/>
  <c r="E219" i="24"/>
  <c r="E220" i="24"/>
  <c r="E221" i="24"/>
  <c r="E222" i="24"/>
  <c r="E223" i="24"/>
  <c r="E224" i="24"/>
  <c r="E225" i="24"/>
  <c r="E226" i="24"/>
  <c r="E227" i="24"/>
  <c r="E228" i="24"/>
  <c r="E229" i="24"/>
  <c r="E230" i="24"/>
  <c r="E231" i="24"/>
  <c r="E232" i="24"/>
  <c r="E233" i="24"/>
  <c r="E234" i="24"/>
  <c r="E235" i="24"/>
  <c r="E236" i="24"/>
  <c r="E237" i="24"/>
  <c r="E238" i="24"/>
  <c r="E239" i="24"/>
  <c r="E240" i="24"/>
  <c r="E241" i="24"/>
  <c r="E242" i="24"/>
  <c r="E243" i="24"/>
  <c r="E244" i="24"/>
  <c r="E245" i="24"/>
  <c r="E246" i="24"/>
  <c r="E247" i="24"/>
  <c r="E248" i="24"/>
  <c r="E249" i="24"/>
  <c r="E250" i="24"/>
  <c r="E251" i="24"/>
  <c r="E252" i="24"/>
  <c r="E253" i="24"/>
  <c r="E254" i="24"/>
  <c r="E255" i="24"/>
  <c r="E256" i="24"/>
  <c r="E257" i="24"/>
  <c r="E258" i="24"/>
  <c r="E259" i="24"/>
  <c r="E260" i="24"/>
  <c r="E261" i="24"/>
  <c r="E262" i="24"/>
  <c r="E263" i="24"/>
  <c r="E264" i="24"/>
  <c r="E265" i="24"/>
  <c r="E266" i="24"/>
  <c r="E267" i="24"/>
  <c r="E268" i="24"/>
  <c r="E269" i="24"/>
  <c r="E270" i="24"/>
  <c r="E271" i="24"/>
  <c r="E272" i="24"/>
  <c r="E273" i="24"/>
  <c r="E274" i="24"/>
  <c r="E275" i="24"/>
  <c r="E276" i="24"/>
  <c r="E277" i="24"/>
  <c r="E278" i="24"/>
  <c r="E279" i="24"/>
  <c r="E280" i="24"/>
  <c r="E281" i="24"/>
  <c r="E282" i="24"/>
  <c r="E283" i="24"/>
  <c r="E284" i="24"/>
  <c r="E285" i="24"/>
  <c r="E286" i="24"/>
  <c r="E287" i="24"/>
  <c r="E288" i="24"/>
  <c r="E289" i="24"/>
  <c r="E290" i="24"/>
  <c r="E291" i="24"/>
  <c r="E292" i="24"/>
  <c r="E293" i="24"/>
  <c r="E294" i="24"/>
  <c r="E295" i="24"/>
  <c r="E296" i="24"/>
  <c r="E297" i="24"/>
  <c r="E298" i="24"/>
  <c r="E299" i="24"/>
  <c r="E300" i="24"/>
  <c r="E301" i="24"/>
  <c r="E302" i="24"/>
  <c r="E303" i="24"/>
  <c r="E304" i="24"/>
  <c r="E305" i="24"/>
  <c r="E306" i="24"/>
  <c r="E307" i="24"/>
  <c r="E308" i="24"/>
  <c r="E309" i="24"/>
  <c r="E310" i="24"/>
  <c r="E311" i="24"/>
  <c r="E312" i="24"/>
  <c r="E313" i="24"/>
  <c r="E314" i="24"/>
  <c r="E315" i="24"/>
  <c r="E316" i="24"/>
  <c r="E317" i="24"/>
  <c r="E318" i="24"/>
  <c r="E319" i="24"/>
  <c r="E320" i="24"/>
  <c r="E321" i="24"/>
  <c r="E322" i="24"/>
  <c r="E323" i="24"/>
  <c r="E324" i="24"/>
  <c r="E325" i="24"/>
  <c r="E326" i="24"/>
  <c r="E327" i="24"/>
  <c r="E328" i="24"/>
  <c r="E329" i="24"/>
  <c r="E330" i="24"/>
  <c r="E331" i="24"/>
  <c r="E332" i="24"/>
  <c r="E333" i="24"/>
  <c r="E334" i="24"/>
  <c r="E315" i="23"/>
  <c r="E316" i="23"/>
  <c r="E317" i="23"/>
  <c r="E318" i="23"/>
  <c r="E319" i="23"/>
  <c r="E320" i="23"/>
  <c r="E321" i="23"/>
  <c r="E2" i="23"/>
  <c r="E3" i="23"/>
  <c r="E4" i="23"/>
  <c r="E5" i="23"/>
  <c r="E6" i="23"/>
  <c r="E7" i="23"/>
  <c r="E8" i="23"/>
  <c r="E9" i="23"/>
  <c r="E10" i="23"/>
  <c r="E11" i="23"/>
  <c r="E12" i="23"/>
  <c r="E13" i="23"/>
  <c r="E14" i="23"/>
  <c r="E15" i="23"/>
  <c r="E16" i="23"/>
  <c r="E17" i="23"/>
  <c r="E18" i="23"/>
  <c r="E19" i="23"/>
  <c r="E20" i="23"/>
  <c r="E21" i="23"/>
  <c r="E22" i="23"/>
  <c r="E23" i="23"/>
  <c r="E24" i="23"/>
  <c r="E25" i="23"/>
  <c r="E26" i="23"/>
  <c r="E27" i="23"/>
  <c r="E28" i="23"/>
  <c r="E29" i="23"/>
  <c r="E30" i="23"/>
  <c r="E31" i="23"/>
  <c r="E32" i="23"/>
  <c r="E33" i="23"/>
  <c r="E34" i="23"/>
  <c r="E35" i="23"/>
  <c r="E36" i="23"/>
  <c r="E37" i="23"/>
  <c r="E38" i="23"/>
  <c r="E39" i="23"/>
  <c r="E40" i="23"/>
  <c r="E41" i="23"/>
  <c r="E42" i="23"/>
  <c r="E43" i="23"/>
  <c r="E44" i="23"/>
  <c r="E45" i="23"/>
  <c r="E46" i="23"/>
  <c r="E47" i="23"/>
  <c r="E48" i="23"/>
  <c r="E49" i="23"/>
  <c r="E50" i="23"/>
  <c r="E51" i="23"/>
  <c r="E52" i="23"/>
  <c r="E53" i="23"/>
  <c r="E54" i="23"/>
  <c r="E55" i="23"/>
  <c r="E56" i="23"/>
  <c r="E57" i="23"/>
  <c r="E58" i="23"/>
  <c r="E59" i="23"/>
  <c r="E60" i="23"/>
  <c r="E61" i="23"/>
  <c r="E62" i="23"/>
  <c r="E63" i="23"/>
  <c r="E64" i="23"/>
  <c r="E65" i="23"/>
  <c r="E66" i="23"/>
  <c r="E67" i="23"/>
  <c r="E68" i="23"/>
  <c r="E69" i="23"/>
  <c r="E70" i="23"/>
  <c r="E71" i="23"/>
  <c r="E72" i="23"/>
  <c r="E73" i="23"/>
  <c r="E74" i="23"/>
  <c r="E75" i="23"/>
  <c r="E76" i="23"/>
  <c r="E77" i="23"/>
  <c r="E78" i="23"/>
  <c r="E79" i="23"/>
  <c r="E80" i="23"/>
  <c r="E81" i="23"/>
  <c r="E82" i="23"/>
  <c r="E83" i="23"/>
  <c r="E84" i="23"/>
  <c r="E85" i="23"/>
  <c r="E86" i="23"/>
  <c r="E87" i="23"/>
  <c r="E88" i="23"/>
  <c r="E89" i="23"/>
  <c r="E90" i="23"/>
  <c r="E91" i="23"/>
  <c r="E92" i="23"/>
  <c r="E93" i="23"/>
  <c r="E94" i="23"/>
  <c r="E95" i="23"/>
  <c r="E96" i="23"/>
  <c r="E97" i="23"/>
  <c r="E98" i="23"/>
  <c r="E99" i="23"/>
  <c r="E100" i="23"/>
  <c r="E101" i="23"/>
  <c r="E102" i="23"/>
  <c r="E103" i="23"/>
  <c r="E104" i="23"/>
  <c r="E105" i="23"/>
  <c r="E106" i="23"/>
  <c r="E107" i="23"/>
  <c r="E108" i="23"/>
  <c r="E109" i="23"/>
  <c r="E110" i="23"/>
  <c r="E111" i="23"/>
  <c r="E112" i="23"/>
  <c r="E113" i="23"/>
  <c r="E114" i="23"/>
  <c r="E115" i="23"/>
  <c r="E116" i="23"/>
  <c r="E117" i="23"/>
  <c r="E118" i="23"/>
  <c r="E119" i="23"/>
  <c r="E120" i="23"/>
  <c r="E121" i="23"/>
  <c r="E122" i="23"/>
  <c r="E123" i="23"/>
  <c r="E124" i="23"/>
  <c r="E125" i="23"/>
  <c r="E126" i="23"/>
  <c r="E127" i="23"/>
  <c r="E128" i="23"/>
  <c r="E129" i="23"/>
  <c r="E130" i="23"/>
  <c r="E131" i="23"/>
  <c r="E132" i="23"/>
  <c r="E133" i="23"/>
  <c r="E134" i="23"/>
  <c r="E135" i="23"/>
  <c r="E136" i="23"/>
  <c r="E137" i="23"/>
  <c r="E138" i="23"/>
  <c r="E139" i="23"/>
  <c r="E140" i="23"/>
  <c r="E141" i="23"/>
  <c r="E142" i="23"/>
  <c r="E143" i="23"/>
  <c r="E144" i="23"/>
  <c r="E145" i="23"/>
  <c r="E146" i="23"/>
  <c r="E147" i="23"/>
  <c r="E148" i="23"/>
  <c r="E149" i="23"/>
  <c r="E150" i="23"/>
  <c r="E151" i="23"/>
  <c r="E152" i="23"/>
  <c r="E153" i="23"/>
  <c r="E154" i="23"/>
  <c r="E155" i="23"/>
  <c r="E156" i="23"/>
  <c r="E157" i="23"/>
  <c r="E158" i="23"/>
  <c r="E159" i="23"/>
  <c r="E160" i="23"/>
  <c r="E161" i="23"/>
  <c r="E162" i="23"/>
  <c r="E163" i="23"/>
  <c r="E164" i="23"/>
  <c r="E165" i="23"/>
  <c r="E166" i="23"/>
  <c r="E167" i="23"/>
  <c r="E168" i="23"/>
  <c r="E169" i="23"/>
  <c r="E170" i="23"/>
  <c r="E171" i="23"/>
  <c r="E172" i="23"/>
  <c r="E173" i="23"/>
  <c r="E174" i="23"/>
  <c r="E175" i="23"/>
  <c r="E176" i="23"/>
  <c r="E177" i="23"/>
  <c r="E178" i="23"/>
  <c r="E179" i="23"/>
  <c r="E180" i="23"/>
  <c r="E181" i="23"/>
  <c r="E182" i="23"/>
  <c r="E183" i="23"/>
  <c r="E184" i="23"/>
  <c r="E185" i="23"/>
  <c r="E186" i="23"/>
  <c r="E187" i="23"/>
  <c r="E188" i="23"/>
  <c r="E189" i="23"/>
  <c r="E190" i="23"/>
  <c r="E191" i="23"/>
  <c r="E192" i="23"/>
  <c r="E193" i="23"/>
  <c r="E194" i="23"/>
  <c r="E195" i="23"/>
  <c r="E196" i="23"/>
  <c r="E197" i="23"/>
  <c r="E198" i="23"/>
  <c r="E199" i="23"/>
  <c r="E200" i="23"/>
  <c r="E201" i="23"/>
  <c r="E202" i="23"/>
  <c r="E203" i="23"/>
  <c r="E204" i="23"/>
  <c r="E205" i="23"/>
  <c r="E206" i="23"/>
  <c r="E207" i="23"/>
  <c r="E208" i="23"/>
  <c r="E209" i="23"/>
  <c r="E210" i="23"/>
  <c r="E211" i="23"/>
  <c r="E212" i="23"/>
  <c r="E213" i="23"/>
  <c r="E214" i="23"/>
  <c r="E215" i="23"/>
  <c r="E216" i="23"/>
  <c r="E217" i="23"/>
  <c r="E218" i="23"/>
  <c r="E219" i="23"/>
  <c r="E220" i="23"/>
  <c r="E221" i="23"/>
  <c r="E222" i="23"/>
  <c r="E223" i="23"/>
  <c r="E224" i="23"/>
  <c r="E225" i="23"/>
  <c r="E226" i="23"/>
  <c r="E227" i="23"/>
  <c r="E228" i="23"/>
  <c r="E229" i="23"/>
  <c r="E230" i="23"/>
  <c r="E231" i="23"/>
  <c r="E232" i="23"/>
  <c r="E233" i="23"/>
  <c r="E234" i="23"/>
  <c r="E235" i="23"/>
  <c r="E236" i="23"/>
  <c r="E237" i="23"/>
  <c r="E238" i="23"/>
  <c r="E239" i="23"/>
  <c r="E240" i="23"/>
  <c r="E241" i="23"/>
  <c r="E242" i="23"/>
  <c r="E243" i="23"/>
  <c r="E244" i="23"/>
  <c r="E245" i="23"/>
  <c r="E246" i="23"/>
  <c r="E247" i="23"/>
  <c r="E248" i="23"/>
  <c r="E249" i="23"/>
  <c r="E250" i="23"/>
  <c r="E251" i="23"/>
  <c r="E252" i="23"/>
  <c r="E253" i="23"/>
  <c r="E254" i="23"/>
  <c r="E255" i="23"/>
  <c r="E256" i="23"/>
  <c r="E257" i="23"/>
  <c r="E258" i="23"/>
  <c r="E259" i="23"/>
  <c r="E260" i="23"/>
  <c r="E261" i="23"/>
  <c r="E262" i="23"/>
  <c r="E263" i="23"/>
  <c r="E264" i="23"/>
  <c r="E265" i="23"/>
  <c r="E266" i="23"/>
  <c r="E267" i="23"/>
  <c r="E268" i="23"/>
  <c r="E269" i="23"/>
  <c r="E270" i="23"/>
  <c r="E271" i="23"/>
  <c r="E272" i="23"/>
  <c r="E273" i="23"/>
  <c r="E274" i="23"/>
  <c r="E275" i="23"/>
  <c r="E276" i="23"/>
  <c r="E277" i="23"/>
  <c r="E278" i="23"/>
  <c r="E279" i="23"/>
  <c r="E280" i="23"/>
  <c r="E281" i="23"/>
  <c r="E282" i="23"/>
  <c r="E283" i="23"/>
  <c r="E284" i="23"/>
  <c r="E285" i="23"/>
  <c r="E286" i="23"/>
  <c r="E287" i="23"/>
  <c r="E288" i="23"/>
  <c r="E289" i="23"/>
  <c r="E290" i="23"/>
  <c r="E291" i="23"/>
  <c r="E292" i="23"/>
  <c r="E293" i="23"/>
  <c r="E294" i="23"/>
  <c r="E295" i="23"/>
  <c r="E296" i="23"/>
  <c r="E297" i="23"/>
  <c r="E298" i="23"/>
  <c r="E299" i="23"/>
  <c r="E300" i="23"/>
  <c r="E301" i="23"/>
  <c r="E302" i="23"/>
  <c r="E303" i="23"/>
  <c r="E304" i="23"/>
  <c r="E305" i="23"/>
  <c r="E306" i="23"/>
  <c r="E307" i="23"/>
  <c r="E308" i="23"/>
  <c r="E309" i="23"/>
  <c r="E310" i="23"/>
  <c r="E311" i="23"/>
  <c r="E312" i="23"/>
  <c r="E313" i="23"/>
  <c r="E314" i="23"/>
  <c r="E12" i="21" l="1"/>
  <c r="E13" i="21"/>
  <c r="E14" i="21"/>
  <c r="E15" i="21"/>
  <c r="E339" i="21"/>
  <c r="E338" i="21"/>
  <c r="E337" i="21"/>
  <c r="E336" i="21"/>
  <c r="E335" i="21"/>
  <c r="E334" i="21"/>
  <c r="E333" i="21"/>
  <c r="E332" i="21"/>
  <c r="E331" i="21"/>
  <c r="E330" i="21"/>
  <c r="E329" i="21"/>
  <c r="E328" i="21"/>
  <c r="E327" i="21"/>
  <c r="E326" i="21"/>
  <c r="E325" i="21"/>
  <c r="E324" i="21"/>
  <c r="E323" i="21"/>
  <c r="E322" i="21"/>
  <c r="E321" i="21"/>
  <c r="E320" i="21"/>
  <c r="E319" i="21"/>
  <c r="E318" i="21"/>
  <c r="E317" i="21"/>
  <c r="E316" i="21"/>
  <c r="E315" i="21"/>
  <c r="E314" i="21"/>
  <c r="E313" i="21"/>
  <c r="E312" i="21"/>
  <c r="E311" i="21"/>
  <c r="E310" i="21"/>
  <c r="E309" i="21"/>
  <c r="E308" i="21"/>
  <c r="E307" i="21"/>
  <c r="E306" i="21"/>
  <c r="E305" i="21"/>
  <c r="E304" i="21"/>
  <c r="E303" i="21"/>
  <c r="E302" i="21"/>
  <c r="E301" i="21"/>
  <c r="E300" i="21"/>
  <c r="E299" i="21"/>
  <c r="E298" i="21"/>
  <c r="E297" i="21"/>
  <c r="E296" i="21"/>
  <c r="E295" i="21"/>
  <c r="E294" i="21"/>
  <c r="E293" i="21"/>
  <c r="E292" i="21"/>
  <c r="E291" i="21"/>
  <c r="E290" i="21"/>
  <c r="E289" i="21"/>
  <c r="E288" i="21"/>
  <c r="E287" i="21"/>
  <c r="E286" i="21"/>
  <c r="E285" i="21"/>
  <c r="E284" i="21"/>
  <c r="E283" i="21"/>
  <c r="E282" i="21"/>
  <c r="E281" i="21"/>
  <c r="E280" i="21"/>
  <c r="E279" i="21"/>
  <c r="E278" i="21"/>
  <c r="E277" i="21"/>
  <c r="E276" i="21"/>
  <c r="E275" i="21"/>
  <c r="E274" i="21"/>
  <c r="E273" i="21"/>
  <c r="E272" i="21"/>
  <c r="E271" i="21"/>
  <c r="E270" i="21"/>
  <c r="E269" i="21"/>
  <c r="E268" i="21"/>
  <c r="E267" i="21"/>
  <c r="E266" i="21"/>
  <c r="E265" i="21"/>
  <c r="E264" i="21"/>
  <c r="E263" i="21"/>
  <c r="E262" i="21"/>
  <c r="E261" i="21"/>
  <c r="E260" i="21"/>
  <c r="E259" i="21"/>
  <c r="E258" i="21"/>
  <c r="E257" i="21"/>
  <c r="E256" i="21"/>
  <c r="E255" i="21"/>
  <c r="E254" i="21"/>
  <c r="E253" i="21"/>
  <c r="E252" i="21"/>
  <c r="E251" i="21"/>
  <c r="E250" i="21"/>
  <c r="E249" i="21"/>
  <c r="E248" i="21"/>
  <c r="E247" i="21"/>
  <c r="E246" i="21"/>
  <c r="E245" i="21"/>
  <c r="E244" i="21"/>
  <c r="E243" i="21"/>
  <c r="E242" i="21"/>
  <c r="E241" i="21"/>
  <c r="E240" i="21"/>
  <c r="E239" i="21"/>
  <c r="E238" i="21"/>
  <c r="E237" i="21"/>
  <c r="E236" i="21"/>
  <c r="E235" i="21"/>
  <c r="E234" i="21"/>
  <c r="E233" i="21"/>
  <c r="E232" i="21"/>
  <c r="E231" i="21"/>
  <c r="E230" i="21"/>
  <c r="E229" i="21"/>
  <c r="E228" i="21"/>
  <c r="E227" i="21"/>
  <c r="E226" i="21"/>
  <c r="E225" i="21"/>
  <c r="E224" i="21"/>
  <c r="E223" i="21"/>
  <c r="E222" i="21"/>
  <c r="E221" i="21"/>
  <c r="E220" i="21"/>
  <c r="E219" i="21"/>
  <c r="E218" i="21"/>
  <c r="E217" i="21"/>
  <c r="E216" i="21"/>
  <c r="E215" i="21"/>
  <c r="E214" i="21"/>
  <c r="E213" i="21"/>
  <c r="E212" i="21"/>
  <c r="E211" i="21"/>
  <c r="E210" i="21"/>
  <c r="E209" i="21"/>
  <c r="E208" i="21"/>
  <c r="E207" i="21"/>
  <c r="E206" i="21"/>
  <c r="E205" i="21"/>
  <c r="E204" i="21"/>
  <c r="E203" i="21"/>
  <c r="E202" i="21"/>
  <c r="E201" i="21"/>
  <c r="E200" i="21"/>
  <c r="E199" i="21"/>
  <c r="E198" i="21"/>
  <c r="E197" i="21"/>
  <c r="E196" i="21"/>
  <c r="E195" i="21"/>
  <c r="E194" i="21"/>
  <c r="E193" i="21"/>
  <c r="E192" i="21"/>
  <c r="E191" i="21"/>
  <c r="E190" i="21"/>
  <c r="E189" i="21"/>
  <c r="E188" i="21"/>
  <c r="E187" i="21"/>
  <c r="E186" i="21"/>
  <c r="E185" i="21"/>
  <c r="E184" i="21"/>
  <c r="E183" i="21"/>
  <c r="E182" i="21"/>
  <c r="E181" i="21"/>
  <c r="E180" i="21"/>
  <c r="E179" i="21"/>
  <c r="E178" i="21"/>
  <c r="E177" i="21"/>
  <c r="E176" i="21"/>
  <c r="E175" i="21"/>
  <c r="E174" i="21"/>
  <c r="E173" i="21"/>
  <c r="E172" i="21"/>
  <c r="E171" i="21"/>
  <c r="E170" i="21"/>
  <c r="E169" i="21"/>
  <c r="E168" i="21"/>
  <c r="E167" i="21"/>
  <c r="E166" i="21"/>
  <c r="E165" i="21"/>
  <c r="E164" i="21"/>
  <c r="E163" i="21"/>
  <c r="E162" i="21"/>
  <c r="E161" i="21"/>
  <c r="E160" i="21"/>
  <c r="E159" i="21"/>
  <c r="E158" i="21"/>
  <c r="E157" i="21"/>
  <c r="E156" i="21"/>
  <c r="E155" i="21"/>
  <c r="E154" i="21"/>
  <c r="E153" i="21"/>
  <c r="E152" i="21"/>
  <c r="E151" i="21"/>
  <c r="E150" i="21"/>
  <c r="E149" i="21"/>
  <c r="E148" i="21"/>
  <c r="E147" i="21"/>
  <c r="E146" i="21"/>
  <c r="E145" i="21"/>
  <c r="E144" i="21"/>
  <c r="E143" i="21"/>
  <c r="E142" i="21"/>
  <c r="E141" i="21"/>
  <c r="E140" i="21"/>
  <c r="E139" i="21"/>
  <c r="E138" i="21"/>
  <c r="E137" i="21"/>
  <c r="E136" i="21"/>
  <c r="E135" i="21"/>
  <c r="E134" i="21"/>
  <c r="E133" i="21"/>
  <c r="E132" i="21"/>
  <c r="E131" i="21"/>
  <c r="E130" i="21"/>
  <c r="E129" i="21"/>
  <c r="E128" i="21"/>
  <c r="E127" i="21"/>
  <c r="E126" i="21"/>
  <c r="E125" i="21"/>
  <c r="E124" i="21"/>
  <c r="E123" i="21"/>
  <c r="E122" i="21"/>
  <c r="E121" i="21"/>
  <c r="E120" i="21"/>
  <c r="E119" i="21"/>
  <c r="E118" i="21"/>
  <c r="E117" i="21"/>
  <c r="E116" i="21"/>
  <c r="E115" i="21"/>
  <c r="E114" i="21"/>
  <c r="E113" i="21"/>
  <c r="E112" i="21"/>
  <c r="E111" i="21"/>
  <c r="E110" i="21"/>
  <c r="E109" i="21"/>
  <c r="E108" i="21"/>
  <c r="E107" i="21"/>
  <c r="E106" i="21"/>
  <c r="E105" i="21"/>
  <c r="E104" i="21"/>
  <c r="E103" i="21"/>
  <c r="E102" i="21"/>
  <c r="E101" i="21"/>
  <c r="E100" i="21"/>
  <c r="E99" i="21"/>
  <c r="E98" i="21"/>
  <c r="E97" i="21"/>
  <c r="E96" i="21"/>
  <c r="E95" i="21"/>
  <c r="E94" i="21"/>
  <c r="E93" i="21"/>
  <c r="E92" i="21"/>
  <c r="E91" i="21"/>
  <c r="E90" i="21"/>
  <c r="E89" i="21"/>
  <c r="E88" i="21"/>
  <c r="E87" i="21"/>
  <c r="E86" i="21"/>
  <c r="E85" i="21"/>
  <c r="E84" i="21"/>
  <c r="E83" i="21"/>
  <c r="E82" i="21"/>
  <c r="E81" i="21"/>
  <c r="E80" i="21"/>
  <c r="E79" i="21"/>
  <c r="E78" i="21"/>
  <c r="E77" i="21"/>
  <c r="E76" i="21"/>
  <c r="E75" i="21"/>
  <c r="E74" i="21"/>
  <c r="E73" i="21"/>
  <c r="E72" i="21"/>
  <c r="E71" i="21"/>
  <c r="E70" i="21"/>
  <c r="E69" i="21"/>
  <c r="E68" i="21"/>
  <c r="E67" i="21"/>
  <c r="E66" i="21"/>
  <c r="E65" i="21"/>
  <c r="E64" i="21"/>
  <c r="E63" i="21"/>
  <c r="E62" i="21"/>
  <c r="E61" i="21"/>
  <c r="E60" i="21"/>
  <c r="E59" i="21"/>
  <c r="E58" i="21"/>
  <c r="E57" i="21"/>
  <c r="E56" i="21"/>
  <c r="E55" i="21"/>
  <c r="E54" i="21"/>
  <c r="E53" i="21"/>
  <c r="E52" i="21"/>
  <c r="E51" i="21"/>
  <c r="E50" i="21"/>
  <c r="E49" i="21"/>
  <c r="E48" i="21"/>
  <c r="E47" i="21"/>
  <c r="E46" i="21"/>
  <c r="E45" i="21"/>
  <c r="E44" i="21"/>
  <c r="E43" i="21"/>
  <c r="E42" i="21"/>
  <c r="E41" i="21"/>
  <c r="E40" i="21"/>
  <c r="E39" i="21"/>
  <c r="E38" i="21"/>
  <c r="E37" i="21"/>
  <c r="E36" i="21"/>
  <c r="E35" i="21"/>
  <c r="E34" i="21"/>
  <c r="E33" i="21"/>
  <c r="E32" i="21"/>
  <c r="E31" i="21"/>
  <c r="E30" i="21"/>
  <c r="E29" i="21"/>
  <c r="E28" i="21"/>
  <c r="E27" i="21"/>
  <c r="E26" i="21"/>
  <c r="E25" i="21"/>
  <c r="E24" i="21"/>
  <c r="E23" i="21"/>
  <c r="E22" i="21"/>
  <c r="E21" i="21"/>
  <c r="E20" i="21"/>
  <c r="E19" i="21"/>
  <c r="E18" i="21"/>
  <c r="E17" i="21"/>
  <c r="E16" i="21"/>
  <c r="E11" i="21"/>
  <c r="E10" i="21"/>
  <c r="E9" i="21"/>
  <c r="E8" i="21"/>
  <c r="E7" i="21"/>
  <c r="E6" i="21"/>
  <c r="E5" i="21"/>
  <c r="E4" i="21"/>
  <c r="E3" i="21"/>
  <c r="E2" i="21"/>
  <c r="E336" i="20" l="1"/>
  <c r="E335" i="20"/>
  <c r="E334" i="20"/>
  <c r="E333" i="20"/>
  <c r="E332" i="20"/>
  <c r="E331" i="20"/>
  <c r="E330" i="20"/>
  <c r="E329" i="20"/>
  <c r="E328" i="20"/>
  <c r="E327" i="20"/>
  <c r="E326" i="20"/>
  <c r="E325" i="20"/>
  <c r="E324" i="20"/>
  <c r="E323" i="20"/>
  <c r="E322" i="20"/>
  <c r="E321" i="20"/>
  <c r="E320" i="20"/>
  <c r="E319" i="20"/>
  <c r="E318" i="20"/>
  <c r="E317" i="20"/>
  <c r="E316" i="20"/>
  <c r="E315" i="20"/>
  <c r="E314" i="20"/>
  <c r="E313" i="20"/>
  <c r="E312" i="20"/>
  <c r="E311" i="20"/>
  <c r="E310" i="20"/>
  <c r="E309" i="20"/>
  <c r="E308" i="20"/>
  <c r="E307" i="20"/>
  <c r="E306" i="20"/>
  <c r="E305" i="20"/>
  <c r="E304" i="20"/>
  <c r="E303" i="20"/>
  <c r="E302" i="20"/>
  <c r="E301" i="20"/>
  <c r="E300" i="20"/>
  <c r="E299" i="20"/>
  <c r="E298" i="20"/>
  <c r="E297" i="20"/>
  <c r="E296" i="20"/>
  <c r="E295" i="20"/>
  <c r="E294" i="20"/>
  <c r="E293" i="20"/>
  <c r="E292" i="20"/>
  <c r="E291" i="20"/>
  <c r="E290" i="20"/>
  <c r="E289" i="20"/>
  <c r="E288" i="20"/>
  <c r="E287" i="20"/>
  <c r="E286" i="20"/>
  <c r="E285" i="20"/>
  <c r="E284" i="20"/>
  <c r="E283" i="20"/>
  <c r="E282" i="20"/>
  <c r="E281" i="20"/>
  <c r="E280" i="20"/>
  <c r="E279" i="20"/>
  <c r="E278" i="20"/>
  <c r="E277" i="20"/>
  <c r="E276" i="20"/>
  <c r="E275" i="20"/>
  <c r="E274" i="20"/>
  <c r="E273" i="20"/>
  <c r="E272" i="20"/>
  <c r="E271" i="20"/>
  <c r="E270" i="20"/>
  <c r="E269" i="20"/>
  <c r="E268" i="20"/>
  <c r="E267" i="20"/>
  <c r="E266" i="20"/>
  <c r="E265" i="20"/>
  <c r="E264" i="20"/>
  <c r="E263" i="20"/>
  <c r="E262" i="20"/>
  <c r="E261" i="20"/>
  <c r="E260" i="20"/>
  <c r="E259" i="20"/>
  <c r="E258" i="20"/>
  <c r="E257" i="20"/>
  <c r="E256" i="20"/>
  <c r="E255" i="20"/>
  <c r="E254" i="20"/>
  <c r="E253" i="20"/>
  <c r="E252" i="20"/>
  <c r="E251" i="20"/>
  <c r="E250" i="20"/>
  <c r="E249" i="20"/>
  <c r="E248" i="20"/>
  <c r="E247" i="20"/>
  <c r="E246" i="20"/>
  <c r="E245" i="20"/>
  <c r="E244" i="20"/>
  <c r="E243" i="20"/>
  <c r="E242" i="20"/>
  <c r="E241" i="20"/>
  <c r="E240" i="20"/>
  <c r="E239" i="20"/>
  <c r="E238" i="20"/>
  <c r="E237" i="20"/>
  <c r="E236" i="20"/>
  <c r="E235" i="20"/>
  <c r="E234" i="20"/>
  <c r="E233" i="20"/>
  <c r="E232" i="20"/>
  <c r="E231" i="20"/>
  <c r="E230" i="20"/>
  <c r="E229" i="20"/>
  <c r="E228" i="20"/>
  <c r="E227" i="20"/>
  <c r="E226" i="20"/>
  <c r="E225" i="20"/>
  <c r="E224" i="20"/>
  <c r="E223" i="20"/>
  <c r="E222" i="20"/>
  <c r="E221" i="20"/>
  <c r="E220" i="20"/>
  <c r="E219" i="20"/>
  <c r="E218" i="20"/>
  <c r="E217" i="20"/>
  <c r="E216" i="20"/>
  <c r="E215" i="20"/>
  <c r="E214" i="20"/>
  <c r="E213" i="20"/>
  <c r="E212" i="20"/>
  <c r="E211" i="20"/>
  <c r="E210" i="20"/>
  <c r="E209" i="20"/>
  <c r="E208" i="20"/>
  <c r="E207" i="20"/>
  <c r="E206" i="20"/>
  <c r="E205" i="20"/>
  <c r="E204" i="20"/>
  <c r="E203" i="20"/>
  <c r="E202" i="20"/>
  <c r="E201" i="20"/>
  <c r="E200" i="20"/>
  <c r="E199" i="20"/>
  <c r="E198" i="20"/>
  <c r="E197" i="20"/>
  <c r="E196" i="20"/>
  <c r="E195" i="20"/>
  <c r="E194" i="20"/>
  <c r="E193" i="20"/>
  <c r="E192" i="20"/>
  <c r="E191" i="20"/>
  <c r="E190" i="20"/>
  <c r="E189" i="20"/>
  <c r="E188" i="20"/>
  <c r="E187" i="20"/>
  <c r="E186" i="20"/>
  <c r="E185" i="20"/>
  <c r="E184" i="20"/>
  <c r="E183" i="20"/>
  <c r="E182" i="20"/>
  <c r="E181" i="20"/>
  <c r="E180" i="20"/>
  <c r="E179" i="20"/>
  <c r="E178" i="20"/>
  <c r="E177" i="20"/>
  <c r="E176" i="20"/>
  <c r="E175" i="20"/>
  <c r="E174" i="20"/>
  <c r="E173" i="20"/>
  <c r="E172" i="20"/>
  <c r="E171" i="20"/>
  <c r="E170" i="20"/>
  <c r="E169" i="20"/>
  <c r="E168" i="20"/>
  <c r="E167" i="20"/>
  <c r="E166" i="20"/>
  <c r="E165" i="20"/>
  <c r="E164" i="20"/>
  <c r="E163" i="20"/>
  <c r="E162" i="20"/>
  <c r="E161" i="20"/>
  <c r="E160" i="20"/>
  <c r="E159" i="20"/>
  <c r="E158" i="20"/>
  <c r="E157" i="20"/>
  <c r="E156" i="20"/>
  <c r="E155" i="20"/>
  <c r="E154" i="20"/>
  <c r="E153" i="20"/>
  <c r="E152" i="20"/>
  <c r="E151" i="20"/>
  <c r="E150" i="20"/>
  <c r="E149" i="20"/>
  <c r="E148" i="20"/>
  <c r="E147" i="20"/>
  <c r="E146" i="20"/>
  <c r="E145" i="20"/>
  <c r="E144" i="20"/>
  <c r="E143" i="20"/>
  <c r="E142" i="20"/>
  <c r="E141" i="20"/>
  <c r="E140" i="20"/>
  <c r="E139" i="20"/>
  <c r="E138" i="20"/>
  <c r="E137" i="20"/>
  <c r="E136" i="20"/>
  <c r="E135" i="20"/>
  <c r="E134" i="20"/>
  <c r="E133" i="20"/>
  <c r="E132" i="20"/>
  <c r="E131" i="20"/>
  <c r="E130" i="20"/>
  <c r="E129" i="20"/>
  <c r="E128" i="20"/>
  <c r="E127" i="20"/>
  <c r="E126" i="20"/>
  <c r="E125" i="20"/>
  <c r="E124" i="20"/>
  <c r="E123" i="20"/>
  <c r="E122" i="20"/>
  <c r="E121" i="20"/>
  <c r="E120" i="20"/>
  <c r="E119" i="20"/>
  <c r="E118" i="20"/>
  <c r="E117" i="20"/>
  <c r="E116" i="20"/>
  <c r="E115" i="20"/>
  <c r="E114" i="20"/>
  <c r="E113" i="20"/>
  <c r="E112" i="20"/>
  <c r="E111" i="20"/>
  <c r="E110" i="20"/>
  <c r="E109" i="20"/>
  <c r="E108" i="20"/>
  <c r="E107" i="20"/>
  <c r="E106" i="20"/>
  <c r="E105" i="20"/>
  <c r="E104" i="20"/>
  <c r="E103" i="20"/>
  <c r="E102" i="20"/>
  <c r="E101" i="20"/>
  <c r="E100" i="20"/>
  <c r="E99" i="20"/>
  <c r="E98" i="20"/>
  <c r="E97" i="20"/>
  <c r="E96" i="20"/>
  <c r="E95" i="20"/>
  <c r="E94" i="20"/>
  <c r="E93" i="20"/>
  <c r="E92" i="20"/>
  <c r="E91" i="20"/>
  <c r="E90" i="20"/>
  <c r="E89" i="20"/>
  <c r="E88" i="20"/>
  <c r="E87" i="20"/>
  <c r="E86" i="20"/>
  <c r="E85" i="20"/>
  <c r="E84" i="20"/>
  <c r="E83" i="20"/>
  <c r="E82" i="20"/>
  <c r="E81" i="20"/>
  <c r="E80" i="20"/>
  <c r="E79" i="20"/>
  <c r="E78" i="20"/>
  <c r="E77" i="20"/>
  <c r="E76" i="20"/>
  <c r="E75" i="20"/>
  <c r="E74" i="20"/>
  <c r="E73" i="20"/>
  <c r="E72" i="20"/>
  <c r="E71" i="20"/>
  <c r="E70" i="20"/>
  <c r="E69" i="20"/>
  <c r="E68" i="20"/>
  <c r="E67" i="20"/>
  <c r="E66" i="20"/>
  <c r="E65" i="20"/>
  <c r="E64" i="20"/>
  <c r="E63" i="20"/>
  <c r="E62" i="20"/>
  <c r="E61" i="20"/>
  <c r="E60" i="20"/>
  <c r="E59" i="20"/>
  <c r="E58" i="20"/>
  <c r="E57" i="20"/>
  <c r="E56" i="20"/>
  <c r="E55" i="20"/>
  <c r="E54" i="20"/>
  <c r="E53" i="20"/>
  <c r="E52" i="20"/>
  <c r="E51" i="20"/>
  <c r="E50" i="20"/>
  <c r="E49" i="20"/>
  <c r="E48" i="20"/>
  <c r="E47" i="20"/>
  <c r="E46" i="20"/>
  <c r="E45" i="20"/>
  <c r="E44" i="20"/>
  <c r="E43" i="20"/>
  <c r="E42" i="20"/>
  <c r="E41" i="20"/>
  <c r="E40" i="20"/>
  <c r="E39" i="20"/>
  <c r="E38" i="20"/>
  <c r="E37" i="20"/>
  <c r="E36" i="20"/>
  <c r="E35" i="20"/>
  <c r="E34" i="20"/>
  <c r="E33" i="20"/>
  <c r="E32" i="20"/>
  <c r="E31" i="20"/>
  <c r="E30" i="20"/>
  <c r="E29" i="20"/>
  <c r="E28" i="20"/>
  <c r="E27" i="20"/>
  <c r="E26" i="20"/>
  <c r="E25" i="20"/>
  <c r="E24" i="20"/>
  <c r="E23" i="20"/>
  <c r="E22" i="20"/>
  <c r="E21" i="20"/>
  <c r="E20" i="20"/>
  <c r="E19" i="20"/>
  <c r="E18" i="20"/>
  <c r="E17" i="20"/>
  <c r="E16" i="20"/>
  <c r="E15" i="20"/>
  <c r="E14" i="20"/>
  <c r="E13" i="20"/>
  <c r="E12" i="20"/>
  <c r="E11" i="20"/>
  <c r="E10" i="20"/>
  <c r="E9" i="20"/>
  <c r="E8" i="20"/>
  <c r="E7" i="20"/>
  <c r="E6" i="20"/>
  <c r="E5" i="20"/>
  <c r="E4" i="20"/>
  <c r="E3" i="20"/>
  <c r="E2" i="20"/>
  <c r="E341" i="18"/>
  <c r="E340" i="18"/>
  <c r="E339" i="18"/>
  <c r="E338" i="18"/>
  <c r="E337" i="18"/>
  <c r="E336" i="18"/>
  <c r="E335" i="18"/>
  <c r="E334" i="18"/>
  <c r="E333" i="18"/>
  <c r="E332" i="18"/>
  <c r="E331" i="18"/>
  <c r="E330" i="18"/>
  <c r="E329" i="18"/>
  <c r="E328" i="18"/>
  <c r="E327" i="18"/>
  <c r="E326" i="18"/>
  <c r="E325" i="18"/>
  <c r="E324" i="18"/>
  <c r="E323" i="18"/>
  <c r="E322" i="18"/>
  <c r="E321" i="18"/>
  <c r="E320" i="18"/>
  <c r="E319" i="18"/>
  <c r="E318" i="18"/>
  <c r="E317" i="18"/>
  <c r="E316" i="18"/>
  <c r="E315" i="18"/>
  <c r="E314" i="18"/>
  <c r="E313" i="18"/>
  <c r="E312" i="18"/>
  <c r="E311" i="18"/>
  <c r="E310" i="18"/>
  <c r="E309" i="18"/>
  <c r="E308" i="18"/>
  <c r="E307" i="18"/>
  <c r="E306" i="18"/>
  <c r="E305" i="18"/>
  <c r="E304" i="18"/>
  <c r="E303" i="18"/>
  <c r="E302" i="18"/>
  <c r="E301" i="18"/>
  <c r="E300" i="18"/>
  <c r="E299" i="18"/>
  <c r="E298" i="18"/>
  <c r="E297" i="18"/>
  <c r="E296" i="18"/>
  <c r="E295" i="18"/>
  <c r="E294" i="18"/>
  <c r="E293" i="18"/>
  <c r="E292" i="18"/>
  <c r="E291" i="18"/>
  <c r="E290" i="18"/>
  <c r="E289" i="18"/>
  <c r="E288" i="18"/>
  <c r="E287" i="18"/>
  <c r="E286" i="18"/>
  <c r="E285" i="18"/>
  <c r="E284" i="18"/>
  <c r="E283" i="18"/>
  <c r="E282" i="18"/>
  <c r="E281" i="18"/>
  <c r="E280" i="18"/>
  <c r="E279" i="18"/>
  <c r="E278" i="18"/>
  <c r="E277" i="18"/>
  <c r="E276" i="18"/>
  <c r="E275" i="18"/>
  <c r="E274" i="18"/>
  <c r="E273" i="18"/>
  <c r="E272" i="18"/>
  <c r="E271" i="18"/>
  <c r="E270" i="18"/>
  <c r="E269" i="18"/>
  <c r="E268" i="18"/>
  <c r="E267" i="18"/>
  <c r="E266" i="18"/>
  <c r="E265" i="18"/>
  <c r="E264" i="18"/>
  <c r="E263" i="18"/>
  <c r="E262" i="18"/>
  <c r="E261" i="18"/>
  <c r="E260" i="18"/>
  <c r="E259" i="18"/>
  <c r="E258" i="18"/>
  <c r="E257" i="18"/>
  <c r="E256" i="18"/>
  <c r="E255" i="18"/>
  <c r="E254" i="18"/>
  <c r="E253" i="18"/>
  <c r="E252" i="18"/>
  <c r="E251" i="18"/>
  <c r="E250" i="18"/>
  <c r="E249" i="18"/>
  <c r="E248" i="18"/>
  <c r="E247" i="18"/>
  <c r="E246" i="18"/>
  <c r="E245" i="18"/>
  <c r="E244" i="18"/>
  <c r="E243" i="18"/>
  <c r="E242" i="18"/>
  <c r="E241" i="18"/>
  <c r="E240" i="18"/>
  <c r="E239" i="18"/>
  <c r="E238" i="18"/>
  <c r="E237" i="18"/>
  <c r="E236" i="18"/>
  <c r="E235" i="18"/>
  <c r="E234" i="18"/>
  <c r="E233" i="18"/>
  <c r="E232" i="18"/>
  <c r="E231" i="18"/>
  <c r="E230" i="18"/>
  <c r="E229" i="18"/>
  <c r="E228" i="18"/>
  <c r="E227" i="18"/>
  <c r="E226" i="18"/>
  <c r="E225" i="18"/>
  <c r="E224" i="18"/>
  <c r="E223" i="18"/>
  <c r="E222" i="18"/>
  <c r="E221" i="18"/>
  <c r="E220" i="18"/>
  <c r="E219" i="18"/>
  <c r="E218" i="18"/>
  <c r="E217" i="18"/>
  <c r="E216" i="18"/>
  <c r="E215" i="18"/>
  <c r="E214" i="18"/>
  <c r="E213" i="18"/>
  <c r="E212" i="18"/>
  <c r="E211" i="18"/>
  <c r="E210" i="18"/>
  <c r="E209" i="18"/>
  <c r="E208" i="18"/>
  <c r="E207" i="18"/>
  <c r="E206" i="18"/>
  <c r="E205" i="18"/>
  <c r="E204" i="18"/>
  <c r="E203" i="18"/>
  <c r="E202" i="18"/>
  <c r="E201" i="18"/>
  <c r="E200" i="18"/>
  <c r="E199" i="18"/>
  <c r="E198" i="18"/>
  <c r="E197" i="18"/>
  <c r="E196" i="18"/>
  <c r="E195" i="18"/>
  <c r="E194" i="18"/>
  <c r="E193" i="18"/>
  <c r="E192" i="18"/>
  <c r="E191" i="18"/>
  <c r="E190" i="18"/>
  <c r="E189" i="18"/>
  <c r="E188" i="18"/>
  <c r="E187" i="18"/>
  <c r="E186" i="18"/>
  <c r="E185" i="18"/>
  <c r="E184" i="18"/>
  <c r="E183" i="18"/>
  <c r="E182" i="18"/>
  <c r="E181" i="18"/>
  <c r="E180" i="18"/>
  <c r="E179" i="18"/>
  <c r="E178" i="18"/>
  <c r="E177" i="18"/>
  <c r="E176" i="18"/>
  <c r="E175" i="18"/>
  <c r="E174" i="18"/>
  <c r="E173" i="18"/>
  <c r="E172" i="18"/>
  <c r="E171" i="18"/>
  <c r="E170" i="18"/>
  <c r="E169" i="18"/>
  <c r="E168" i="18"/>
  <c r="E167" i="18"/>
  <c r="E166" i="18"/>
  <c r="E165" i="18"/>
  <c r="E164" i="18"/>
  <c r="E163" i="18"/>
  <c r="E162" i="18"/>
  <c r="E161" i="18"/>
  <c r="E160" i="18"/>
  <c r="E159" i="18"/>
  <c r="E158" i="18"/>
  <c r="E157" i="18"/>
  <c r="E156" i="18"/>
  <c r="E155" i="18"/>
  <c r="E154" i="18"/>
  <c r="E153" i="18"/>
  <c r="E152" i="18"/>
  <c r="E151" i="18"/>
  <c r="E150" i="18"/>
  <c r="E149" i="18"/>
  <c r="E148" i="18"/>
  <c r="E147" i="18"/>
  <c r="E146" i="18"/>
  <c r="E145" i="18"/>
  <c r="E144" i="18"/>
  <c r="E143" i="18"/>
  <c r="E142" i="18"/>
  <c r="E141" i="18"/>
  <c r="E140" i="18"/>
  <c r="E139" i="18"/>
  <c r="E138" i="18"/>
  <c r="E137" i="18"/>
  <c r="E136" i="18"/>
  <c r="E135" i="18"/>
  <c r="E134" i="18"/>
  <c r="E133" i="18"/>
  <c r="E132" i="18"/>
  <c r="E131" i="18"/>
  <c r="E130" i="18"/>
  <c r="E129" i="18"/>
  <c r="E128" i="18"/>
  <c r="E127" i="18"/>
  <c r="E126" i="18"/>
  <c r="E125" i="18"/>
  <c r="E124" i="18"/>
  <c r="E123" i="18"/>
  <c r="E122" i="18"/>
  <c r="E121" i="18"/>
  <c r="E120" i="18"/>
  <c r="E119" i="18"/>
  <c r="E118" i="18"/>
  <c r="E117" i="18"/>
  <c r="E116" i="18"/>
  <c r="E115" i="18"/>
  <c r="E114" i="18"/>
  <c r="E113" i="18"/>
  <c r="E112" i="18"/>
  <c r="E111" i="18"/>
  <c r="E110" i="18"/>
  <c r="E109" i="18"/>
  <c r="E108" i="18"/>
  <c r="E107" i="18"/>
  <c r="E106" i="18"/>
  <c r="E105" i="18"/>
  <c r="E104" i="18"/>
  <c r="E103" i="18"/>
  <c r="E102" i="18"/>
  <c r="E101" i="18"/>
  <c r="E100" i="18"/>
  <c r="E99" i="18"/>
  <c r="E98" i="18"/>
  <c r="E97" i="18"/>
  <c r="E96" i="18"/>
  <c r="E95" i="18"/>
  <c r="E94" i="18"/>
  <c r="E93" i="18"/>
  <c r="E92" i="18"/>
  <c r="E91" i="18"/>
  <c r="E90" i="18"/>
  <c r="E89" i="18"/>
  <c r="E88" i="18"/>
  <c r="E87" i="18"/>
  <c r="E86" i="18"/>
  <c r="E85" i="18"/>
  <c r="E84" i="18"/>
  <c r="E83" i="18"/>
  <c r="E82" i="18"/>
  <c r="E81" i="18"/>
  <c r="E80" i="18"/>
  <c r="E79" i="18"/>
  <c r="E78" i="18"/>
  <c r="E77" i="18"/>
  <c r="E76" i="18"/>
  <c r="E75" i="18"/>
  <c r="E74" i="18"/>
  <c r="E73" i="18"/>
  <c r="E72" i="18"/>
  <c r="E71" i="18"/>
  <c r="E70" i="18"/>
  <c r="E69" i="18"/>
  <c r="E68" i="18"/>
  <c r="E67" i="18"/>
  <c r="E66" i="18"/>
  <c r="E65" i="18"/>
  <c r="E64" i="18"/>
  <c r="E63" i="18"/>
  <c r="E62" i="18"/>
  <c r="E61" i="18"/>
  <c r="E60" i="18"/>
  <c r="E59" i="18"/>
  <c r="E58" i="18"/>
  <c r="E57" i="18"/>
  <c r="E56" i="18"/>
  <c r="E55" i="18"/>
  <c r="E54" i="18"/>
  <c r="E53" i="18"/>
  <c r="E52" i="18"/>
  <c r="E51" i="18"/>
  <c r="E50" i="18"/>
  <c r="E49" i="18"/>
  <c r="E48" i="18"/>
  <c r="E47" i="18"/>
  <c r="E46" i="18"/>
  <c r="E45" i="18"/>
  <c r="E44" i="18"/>
  <c r="E43" i="18"/>
  <c r="E42" i="18"/>
  <c r="E41" i="18"/>
  <c r="E40" i="18"/>
  <c r="E39" i="18"/>
  <c r="E38" i="18"/>
  <c r="E37" i="18"/>
  <c r="E36" i="18"/>
  <c r="E35" i="18"/>
  <c r="E34" i="18"/>
  <c r="E33" i="18"/>
  <c r="E32" i="18"/>
  <c r="E31" i="18"/>
  <c r="E30" i="18"/>
  <c r="E29" i="18"/>
  <c r="E28" i="18"/>
  <c r="E27" i="18"/>
  <c r="E26" i="18"/>
  <c r="E25" i="18"/>
  <c r="E24" i="18"/>
  <c r="E23" i="18"/>
  <c r="E22" i="18"/>
  <c r="E21" i="18"/>
  <c r="E20" i="18"/>
  <c r="E19" i="18"/>
  <c r="E18" i="18"/>
  <c r="E17" i="18"/>
  <c r="E16" i="18"/>
  <c r="E15" i="18"/>
  <c r="E14" i="18"/>
  <c r="E13" i="18"/>
  <c r="E12" i="18"/>
  <c r="E11" i="18"/>
  <c r="E10" i="18"/>
  <c r="E9" i="18"/>
  <c r="E8" i="18"/>
  <c r="E7" i="18"/>
  <c r="E6" i="18"/>
  <c r="E5" i="18"/>
  <c r="E4" i="18"/>
  <c r="E3" i="18"/>
  <c r="E2" i="18"/>
  <c r="E315" i="8"/>
  <c r="E316" i="8"/>
  <c r="E317" i="8"/>
  <c r="E318" i="8"/>
  <c r="E319" i="8"/>
  <c r="E320" i="8"/>
  <c r="E321" i="8"/>
  <c r="E322" i="8"/>
  <c r="E323" i="8"/>
  <c r="E324" i="8"/>
  <c r="E325" i="8"/>
  <c r="E326" i="8"/>
  <c r="E327" i="8"/>
  <c r="E328" i="8"/>
  <c r="E329" i="8"/>
  <c r="E330" i="8"/>
  <c r="E331" i="8"/>
  <c r="E332" i="8"/>
  <c r="E333" i="8"/>
  <c r="E334" i="8"/>
  <c r="E335" i="8"/>
  <c r="E336" i="8"/>
  <c r="E314" i="17"/>
  <c r="E313" i="17"/>
  <c r="E312" i="17"/>
  <c r="E311" i="17"/>
  <c r="E310" i="17"/>
  <c r="E309" i="17"/>
  <c r="E308" i="17"/>
  <c r="E307" i="17"/>
  <c r="E306" i="17"/>
  <c r="E305" i="17"/>
  <c r="E304" i="17"/>
  <c r="E303" i="17"/>
  <c r="E302" i="17"/>
  <c r="E301" i="17"/>
  <c r="E300" i="17"/>
  <c r="E299" i="17"/>
  <c r="E298" i="17"/>
  <c r="E297" i="17"/>
  <c r="E296" i="17"/>
  <c r="E295" i="17"/>
  <c r="E294" i="17"/>
  <c r="E293" i="17"/>
  <c r="E292" i="17"/>
  <c r="E291" i="17"/>
  <c r="E290" i="17"/>
  <c r="E289" i="17"/>
  <c r="E288" i="17"/>
  <c r="E287" i="17"/>
  <c r="E286" i="17"/>
  <c r="E285" i="17"/>
  <c r="E284" i="17"/>
  <c r="E283" i="17"/>
  <c r="E282" i="17"/>
  <c r="E281" i="17"/>
  <c r="E280" i="17"/>
  <c r="E279" i="17"/>
  <c r="E278" i="17"/>
  <c r="E277" i="17"/>
  <c r="E276" i="17"/>
  <c r="E275" i="17"/>
  <c r="E274" i="17"/>
  <c r="E273" i="17"/>
  <c r="E272" i="17"/>
  <c r="E271" i="17"/>
  <c r="E270" i="17"/>
  <c r="E269" i="17"/>
  <c r="E268" i="17"/>
  <c r="E267" i="17"/>
  <c r="E266" i="17"/>
  <c r="E265" i="17"/>
  <c r="E264" i="17"/>
  <c r="E263" i="17"/>
  <c r="E262" i="17"/>
  <c r="E261" i="17"/>
  <c r="E260" i="17"/>
  <c r="E259" i="17"/>
  <c r="E258" i="17"/>
  <c r="E257" i="17"/>
  <c r="E256" i="17"/>
  <c r="E255" i="17"/>
  <c r="E254" i="17"/>
  <c r="E253" i="17"/>
  <c r="E252" i="17"/>
  <c r="E251" i="17"/>
  <c r="E250" i="17"/>
  <c r="E249" i="17"/>
  <c r="E248" i="17"/>
  <c r="E247" i="17"/>
  <c r="E246" i="17"/>
  <c r="E245" i="17"/>
  <c r="E244" i="17"/>
  <c r="E243" i="17"/>
  <c r="E242" i="17"/>
  <c r="E241" i="17"/>
  <c r="E240" i="17"/>
  <c r="E239" i="17"/>
  <c r="E238" i="17"/>
  <c r="E237" i="17"/>
  <c r="E236" i="17"/>
  <c r="E235" i="17"/>
  <c r="E234" i="17"/>
  <c r="E233" i="17"/>
  <c r="E232" i="17"/>
  <c r="E231" i="17"/>
  <c r="E230" i="17"/>
  <c r="E229" i="17"/>
  <c r="E228" i="17"/>
  <c r="E227" i="17"/>
  <c r="E226" i="17"/>
  <c r="E225" i="17"/>
  <c r="E224" i="17"/>
  <c r="E223" i="17"/>
  <c r="E222" i="17"/>
  <c r="E221" i="17"/>
  <c r="E220" i="17"/>
  <c r="E219" i="17"/>
  <c r="E218" i="17"/>
  <c r="E217" i="17"/>
  <c r="E216" i="17"/>
  <c r="E215" i="17"/>
  <c r="E214" i="17"/>
  <c r="E213" i="17"/>
  <c r="E212" i="17"/>
  <c r="E211" i="17"/>
  <c r="E210" i="17"/>
  <c r="E209" i="17"/>
  <c r="E208" i="17"/>
  <c r="E207" i="17"/>
  <c r="E206" i="17"/>
  <c r="E205" i="17"/>
  <c r="E204" i="17"/>
  <c r="E203" i="17"/>
  <c r="E202" i="17"/>
  <c r="E201" i="17"/>
  <c r="E200" i="17"/>
  <c r="E199" i="17"/>
  <c r="E198" i="17"/>
  <c r="E197" i="17"/>
  <c r="E196" i="17"/>
  <c r="E195" i="17"/>
  <c r="E194" i="17"/>
  <c r="E193" i="17"/>
  <c r="E192" i="17"/>
  <c r="E191" i="17"/>
  <c r="E190" i="17"/>
  <c r="E189" i="17"/>
  <c r="E188" i="17"/>
  <c r="E187" i="17"/>
  <c r="E186" i="17"/>
  <c r="E185" i="17"/>
  <c r="E184" i="17"/>
  <c r="E183" i="17"/>
  <c r="E182" i="17"/>
  <c r="E181" i="17"/>
  <c r="E180" i="17"/>
  <c r="E179" i="17"/>
  <c r="E178" i="17"/>
  <c r="E177" i="17"/>
  <c r="E176" i="17"/>
  <c r="E175" i="17"/>
  <c r="E174" i="17"/>
  <c r="E173" i="17"/>
  <c r="E172" i="17"/>
  <c r="E171" i="17"/>
  <c r="E170" i="17"/>
  <c r="E169" i="17"/>
  <c r="E168" i="17"/>
  <c r="E167" i="17"/>
  <c r="E166" i="17"/>
  <c r="E165" i="17"/>
  <c r="E164" i="17"/>
  <c r="E163" i="17"/>
  <c r="E162" i="17"/>
  <c r="E161" i="17"/>
  <c r="E160" i="17"/>
  <c r="E159" i="17"/>
  <c r="E158" i="17"/>
  <c r="E157" i="17"/>
  <c r="E156" i="17"/>
  <c r="E155" i="17"/>
  <c r="E154" i="17"/>
  <c r="E153" i="17"/>
  <c r="E152" i="17"/>
  <c r="E151" i="17"/>
  <c r="E150" i="17"/>
  <c r="E149" i="17"/>
  <c r="E148" i="17"/>
  <c r="E147" i="17"/>
  <c r="E146" i="17"/>
  <c r="E145" i="17"/>
  <c r="E144" i="17"/>
  <c r="E143" i="17"/>
  <c r="E142" i="17"/>
  <c r="E141" i="17"/>
  <c r="E140" i="17"/>
  <c r="E139" i="17"/>
  <c r="E138" i="17"/>
  <c r="E137" i="17"/>
  <c r="E136" i="17"/>
  <c r="E135" i="17"/>
  <c r="E134" i="17"/>
  <c r="E133" i="17"/>
  <c r="E132" i="17"/>
  <c r="E131" i="17"/>
  <c r="E130" i="17"/>
  <c r="E129" i="17"/>
  <c r="E128" i="17"/>
  <c r="E127" i="17"/>
  <c r="E126" i="17"/>
  <c r="E125" i="17"/>
  <c r="E124" i="17"/>
  <c r="E123" i="17"/>
  <c r="E122" i="17"/>
  <c r="E121" i="17"/>
  <c r="E120" i="17"/>
  <c r="E119" i="17"/>
  <c r="E118" i="17"/>
  <c r="E117" i="17"/>
  <c r="E116" i="17"/>
  <c r="E115" i="17"/>
  <c r="E114" i="17"/>
  <c r="E113" i="17"/>
  <c r="E112" i="17"/>
  <c r="E111" i="17"/>
  <c r="E110" i="17"/>
  <c r="E109" i="17"/>
  <c r="E108" i="17"/>
  <c r="E107" i="17"/>
  <c r="E106" i="17"/>
  <c r="E105" i="17"/>
  <c r="E104" i="17"/>
  <c r="E103" i="17"/>
  <c r="E102" i="17"/>
  <c r="E101" i="17"/>
  <c r="E100" i="17"/>
  <c r="E99" i="17"/>
  <c r="E98" i="17"/>
  <c r="E97" i="17"/>
  <c r="E96" i="17"/>
  <c r="E95" i="17"/>
  <c r="E94" i="17"/>
  <c r="E93" i="17"/>
  <c r="E92" i="17"/>
  <c r="E91" i="17"/>
  <c r="E90" i="17"/>
  <c r="E89" i="17"/>
  <c r="E88" i="17"/>
  <c r="E87" i="17"/>
  <c r="E86" i="17"/>
  <c r="E85" i="17"/>
  <c r="E84" i="17"/>
  <c r="E83" i="17"/>
  <c r="E82" i="17"/>
  <c r="E81" i="17"/>
  <c r="E80" i="17"/>
  <c r="E79" i="17"/>
  <c r="E78" i="17"/>
  <c r="E77" i="17"/>
  <c r="E76" i="17"/>
  <c r="E75" i="17"/>
  <c r="E74" i="17"/>
  <c r="E73" i="17"/>
  <c r="E72" i="17"/>
  <c r="E71" i="17"/>
  <c r="E70" i="17"/>
  <c r="E69" i="17"/>
  <c r="E68" i="17"/>
  <c r="E67" i="17"/>
  <c r="E66" i="17"/>
  <c r="E65" i="17"/>
  <c r="E64" i="17"/>
  <c r="E63" i="17"/>
  <c r="E62" i="17"/>
  <c r="E61" i="17"/>
  <c r="E60" i="17"/>
  <c r="E59" i="17"/>
  <c r="E58" i="17"/>
  <c r="E57" i="17"/>
  <c r="E56" i="17"/>
  <c r="E55" i="17"/>
  <c r="E54" i="17"/>
  <c r="E53" i="17"/>
  <c r="E52" i="17"/>
  <c r="E51" i="17"/>
  <c r="E50" i="17"/>
  <c r="E49" i="17"/>
  <c r="E48" i="17"/>
  <c r="E47" i="17"/>
  <c r="E46" i="17"/>
  <c r="E45" i="17"/>
  <c r="E44" i="17"/>
  <c r="E43" i="17"/>
  <c r="E42" i="17"/>
  <c r="E41" i="17"/>
  <c r="E40" i="17"/>
  <c r="E39" i="17"/>
  <c r="E38" i="17"/>
  <c r="E37" i="17"/>
  <c r="E36" i="17"/>
  <c r="E35" i="17"/>
  <c r="E34" i="17"/>
  <c r="E33" i="17"/>
  <c r="E32" i="17"/>
  <c r="E31" i="17"/>
  <c r="E30" i="17"/>
  <c r="E29" i="17"/>
  <c r="E28" i="17"/>
  <c r="E27" i="17"/>
  <c r="E26" i="17"/>
  <c r="E25" i="17"/>
  <c r="E24" i="17"/>
  <c r="E23" i="17"/>
  <c r="E22" i="17"/>
  <c r="E21" i="17"/>
  <c r="E20" i="17"/>
  <c r="E19" i="17"/>
  <c r="E18" i="17"/>
  <c r="E17" i="17"/>
  <c r="E16" i="17"/>
  <c r="E15" i="17"/>
  <c r="E14" i="17"/>
  <c r="E13" i="17"/>
  <c r="E12" i="17"/>
  <c r="E11" i="17"/>
  <c r="E10" i="17"/>
  <c r="E9" i="17"/>
  <c r="E8" i="17"/>
  <c r="E7" i="17"/>
  <c r="E6" i="17"/>
  <c r="E5" i="17"/>
  <c r="E4" i="17"/>
  <c r="E3" i="17"/>
  <c r="E2" i="17"/>
  <c r="E333" i="16"/>
  <c r="E332" i="16"/>
  <c r="E331" i="16"/>
  <c r="E330" i="16"/>
  <c r="E329" i="16"/>
  <c r="E328" i="16"/>
  <c r="E327" i="16"/>
  <c r="E326" i="16"/>
  <c r="E325" i="16"/>
  <c r="E324" i="16"/>
  <c r="E323" i="16"/>
  <c r="E322" i="16"/>
  <c r="E321" i="16"/>
  <c r="E320" i="16"/>
  <c r="E319" i="16"/>
  <c r="E318" i="16"/>
  <c r="E317" i="16"/>
  <c r="E316" i="16"/>
  <c r="E315" i="16"/>
  <c r="E314" i="16"/>
  <c r="E313" i="16"/>
  <c r="E312" i="16"/>
  <c r="E311" i="16"/>
  <c r="E310" i="16"/>
  <c r="E309" i="16"/>
  <c r="E308" i="16"/>
  <c r="E307" i="16"/>
  <c r="E306" i="16"/>
  <c r="E305" i="16"/>
  <c r="E304" i="16"/>
  <c r="E303" i="16"/>
  <c r="E302" i="16"/>
  <c r="E301" i="16"/>
  <c r="E300" i="16"/>
  <c r="E299" i="16"/>
  <c r="E298" i="16"/>
  <c r="E297" i="16"/>
  <c r="E296" i="16"/>
  <c r="E295" i="16"/>
  <c r="E294" i="16"/>
  <c r="E293" i="16"/>
  <c r="E292" i="16"/>
  <c r="E291" i="16"/>
  <c r="E290" i="16"/>
  <c r="E289" i="16"/>
  <c r="E288" i="16"/>
  <c r="E287" i="16"/>
  <c r="E286" i="16"/>
  <c r="E285" i="16"/>
  <c r="E284" i="16"/>
  <c r="E283" i="16"/>
  <c r="E282" i="16"/>
  <c r="E281" i="16"/>
  <c r="E280" i="16"/>
  <c r="E279" i="16"/>
  <c r="E278" i="16"/>
  <c r="E277" i="16"/>
  <c r="E276" i="16"/>
  <c r="E275" i="16"/>
  <c r="E274" i="16"/>
  <c r="E273" i="16"/>
  <c r="E272" i="16"/>
  <c r="E271" i="16"/>
  <c r="E270" i="16"/>
  <c r="E269" i="16"/>
  <c r="E268" i="16"/>
  <c r="E267" i="16"/>
  <c r="E266" i="16"/>
  <c r="E265" i="16"/>
  <c r="E264" i="16"/>
  <c r="E263" i="16"/>
  <c r="E262" i="16"/>
  <c r="E261" i="16"/>
  <c r="E260" i="16"/>
  <c r="E259" i="16"/>
  <c r="E258" i="16"/>
  <c r="E257" i="16"/>
  <c r="E256" i="16"/>
  <c r="E255" i="16"/>
  <c r="E254" i="16"/>
  <c r="E253" i="16"/>
  <c r="E252" i="16"/>
  <c r="E251" i="16"/>
  <c r="E250" i="16"/>
  <c r="E249" i="16"/>
  <c r="E248" i="16"/>
  <c r="E247" i="16"/>
  <c r="E246" i="16"/>
  <c r="E245" i="16"/>
  <c r="E244" i="16"/>
  <c r="E243" i="16"/>
  <c r="E242" i="16"/>
  <c r="E241" i="16"/>
  <c r="E240" i="16"/>
  <c r="E239" i="16"/>
  <c r="E238" i="16"/>
  <c r="E237" i="16"/>
  <c r="E236" i="16"/>
  <c r="E235" i="16"/>
  <c r="E234" i="16"/>
  <c r="E233" i="16"/>
  <c r="E232" i="16"/>
  <c r="E231" i="16"/>
  <c r="E230" i="16"/>
  <c r="E229" i="16"/>
  <c r="E228" i="16"/>
  <c r="E227" i="16"/>
  <c r="E226" i="16"/>
  <c r="E225" i="16"/>
  <c r="E224" i="16"/>
  <c r="E223" i="16"/>
  <c r="E222" i="16"/>
  <c r="E221" i="16"/>
  <c r="E220" i="16"/>
  <c r="E219" i="16"/>
  <c r="E218" i="16"/>
  <c r="E217" i="16"/>
  <c r="E216" i="16"/>
  <c r="E215" i="16"/>
  <c r="E214" i="16"/>
  <c r="E213" i="16"/>
  <c r="E212" i="16"/>
  <c r="E211" i="16"/>
  <c r="E210" i="16"/>
  <c r="E209" i="16"/>
  <c r="E208" i="16"/>
  <c r="E207" i="16"/>
  <c r="E206" i="16"/>
  <c r="E205" i="16"/>
  <c r="E204" i="16"/>
  <c r="E203" i="16"/>
  <c r="E202" i="16"/>
  <c r="E201" i="16"/>
  <c r="E200" i="16"/>
  <c r="E199" i="16"/>
  <c r="E198" i="16"/>
  <c r="E197" i="16"/>
  <c r="E196" i="16"/>
  <c r="E195" i="16"/>
  <c r="E194" i="16"/>
  <c r="E193" i="16"/>
  <c r="E192" i="16"/>
  <c r="E191" i="16"/>
  <c r="E190" i="16"/>
  <c r="E189" i="16"/>
  <c r="E188" i="16"/>
  <c r="E187" i="16"/>
  <c r="E186" i="16"/>
  <c r="E185" i="16"/>
  <c r="E184" i="16"/>
  <c r="E183" i="16"/>
  <c r="E182" i="16"/>
  <c r="E181" i="16"/>
  <c r="E180" i="16"/>
  <c r="E179" i="16"/>
  <c r="E178" i="16"/>
  <c r="E177" i="16"/>
  <c r="E176" i="16"/>
  <c r="E175" i="16"/>
  <c r="E174" i="16"/>
  <c r="E173" i="16"/>
  <c r="E172" i="16"/>
  <c r="E171" i="16"/>
  <c r="E170" i="16"/>
  <c r="E169" i="16"/>
  <c r="E168" i="16"/>
  <c r="E167" i="16"/>
  <c r="E166" i="16"/>
  <c r="E165" i="16"/>
  <c r="E164" i="16"/>
  <c r="E163" i="16"/>
  <c r="E162" i="16"/>
  <c r="E161" i="16"/>
  <c r="E160" i="16"/>
  <c r="E159" i="16"/>
  <c r="E158" i="16"/>
  <c r="E157" i="16"/>
  <c r="E156" i="16"/>
  <c r="E155" i="16"/>
  <c r="E154" i="16"/>
  <c r="E153" i="16"/>
  <c r="E152" i="16"/>
  <c r="E151" i="16"/>
  <c r="E150" i="16"/>
  <c r="E149" i="16"/>
  <c r="E148" i="16"/>
  <c r="E147" i="16"/>
  <c r="E146" i="16"/>
  <c r="E145" i="16"/>
  <c r="E144" i="16"/>
  <c r="E143" i="16"/>
  <c r="E142" i="16"/>
  <c r="E141" i="16"/>
  <c r="E140" i="16"/>
  <c r="E139" i="16"/>
  <c r="E138" i="16"/>
  <c r="E137" i="16"/>
  <c r="E136" i="16"/>
  <c r="E135" i="16"/>
  <c r="E134" i="16"/>
  <c r="E133" i="16"/>
  <c r="E132" i="16"/>
  <c r="E131" i="16"/>
  <c r="E130" i="16"/>
  <c r="E129" i="16"/>
  <c r="E128" i="16"/>
  <c r="E127" i="16"/>
  <c r="E126" i="16"/>
  <c r="E125" i="16"/>
  <c r="E124" i="16"/>
  <c r="E123" i="16"/>
  <c r="E122" i="16"/>
  <c r="E121" i="16"/>
  <c r="E120" i="16"/>
  <c r="E119" i="16"/>
  <c r="E118" i="16"/>
  <c r="E117" i="16"/>
  <c r="E116" i="16"/>
  <c r="E115" i="16"/>
  <c r="E114" i="16"/>
  <c r="E113" i="16"/>
  <c r="E112" i="16"/>
  <c r="E111" i="16"/>
  <c r="E110" i="16"/>
  <c r="E109" i="16"/>
  <c r="E108" i="16"/>
  <c r="E107" i="16"/>
  <c r="E106" i="16"/>
  <c r="E105" i="16"/>
  <c r="E104" i="16"/>
  <c r="E103" i="16"/>
  <c r="E102" i="16"/>
  <c r="E101" i="16"/>
  <c r="E100" i="16"/>
  <c r="E99" i="16"/>
  <c r="E98" i="16"/>
  <c r="E97" i="16"/>
  <c r="E96" i="16"/>
  <c r="E95" i="16"/>
  <c r="E94" i="16"/>
  <c r="E93" i="16"/>
  <c r="E92" i="16"/>
  <c r="E91" i="16"/>
  <c r="E90" i="16"/>
  <c r="E89" i="16"/>
  <c r="E88" i="16"/>
  <c r="E87" i="16"/>
  <c r="E86" i="16"/>
  <c r="E85" i="16"/>
  <c r="E84" i="16"/>
  <c r="E83" i="16"/>
  <c r="E82" i="16"/>
  <c r="E81" i="16"/>
  <c r="E80" i="16"/>
  <c r="E79" i="16"/>
  <c r="E78" i="16"/>
  <c r="E77" i="16"/>
  <c r="E76" i="16"/>
  <c r="E75" i="16"/>
  <c r="E74" i="16"/>
  <c r="E73" i="16"/>
  <c r="E72" i="16"/>
  <c r="E71" i="16"/>
  <c r="E70" i="16"/>
  <c r="E69" i="16"/>
  <c r="E68" i="16"/>
  <c r="E67" i="16"/>
  <c r="E66" i="16"/>
  <c r="E65" i="16"/>
  <c r="E64" i="16"/>
  <c r="E63" i="16"/>
  <c r="E62" i="16"/>
  <c r="E61" i="16"/>
  <c r="E60" i="16"/>
  <c r="E59" i="16"/>
  <c r="E58" i="16"/>
  <c r="E57" i="16"/>
  <c r="E56" i="16"/>
  <c r="E55" i="16"/>
  <c r="E54" i="16"/>
  <c r="E53" i="16"/>
  <c r="E52" i="16"/>
  <c r="E51" i="16"/>
  <c r="E50" i="16"/>
  <c r="E49" i="16"/>
  <c r="E48" i="16"/>
  <c r="E47" i="16"/>
  <c r="E46" i="16"/>
  <c r="E45" i="16"/>
  <c r="E44" i="16"/>
  <c r="E43" i="16"/>
  <c r="E42" i="16"/>
  <c r="E41" i="16"/>
  <c r="E40" i="16"/>
  <c r="E39" i="16"/>
  <c r="E38" i="16"/>
  <c r="E37" i="16"/>
  <c r="E36" i="16"/>
  <c r="E35" i="16"/>
  <c r="E34" i="16"/>
  <c r="E33" i="16"/>
  <c r="E32" i="16"/>
  <c r="E31" i="16"/>
  <c r="E30" i="16"/>
  <c r="E29" i="16"/>
  <c r="E28" i="16"/>
  <c r="E27" i="16"/>
  <c r="E26" i="16"/>
  <c r="E25" i="16"/>
  <c r="E24" i="16"/>
  <c r="E23" i="16"/>
  <c r="E22" i="16"/>
  <c r="E21" i="16"/>
  <c r="E20" i="16"/>
  <c r="E19" i="16"/>
  <c r="E18" i="16"/>
  <c r="E17" i="16"/>
  <c r="E16" i="16"/>
  <c r="E15" i="16"/>
  <c r="E14" i="16"/>
  <c r="E13" i="16"/>
  <c r="E12" i="16"/>
  <c r="E11" i="16"/>
  <c r="E10" i="16"/>
  <c r="E9" i="16"/>
  <c r="E8" i="16"/>
  <c r="E7" i="16"/>
  <c r="E6" i="16"/>
  <c r="E5" i="16"/>
  <c r="E4" i="16"/>
  <c r="E3" i="16"/>
  <c r="E2" i="16"/>
  <c r="E337" i="15"/>
  <c r="E336" i="15"/>
  <c r="E335" i="15"/>
  <c r="E334" i="15"/>
  <c r="E333" i="15"/>
  <c r="E332" i="15"/>
  <c r="E331" i="15"/>
  <c r="E330" i="15"/>
  <c r="E329" i="15"/>
  <c r="E328" i="15"/>
  <c r="E327" i="15"/>
  <c r="E326" i="15"/>
  <c r="E325" i="15"/>
  <c r="E324" i="15"/>
  <c r="E323" i="15"/>
  <c r="E322" i="15"/>
  <c r="E321" i="15"/>
  <c r="E320" i="15"/>
  <c r="E319" i="15"/>
  <c r="E318" i="15"/>
  <c r="E317" i="15"/>
  <c r="E316" i="15"/>
  <c r="E315" i="15"/>
  <c r="E314" i="15"/>
  <c r="E313" i="15"/>
  <c r="E312" i="15"/>
  <c r="E311" i="15"/>
  <c r="E310" i="15"/>
  <c r="E309" i="15"/>
  <c r="E308" i="15"/>
  <c r="E307" i="15"/>
  <c r="E306" i="15"/>
  <c r="E305" i="15"/>
  <c r="E304" i="15"/>
  <c r="E303" i="15"/>
  <c r="E302" i="15"/>
  <c r="E301" i="15"/>
  <c r="E300" i="15"/>
  <c r="E299" i="15"/>
  <c r="E298" i="15"/>
  <c r="E297" i="15"/>
  <c r="E296" i="15"/>
  <c r="E295" i="15"/>
  <c r="E294" i="15"/>
  <c r="E293" i="15"/>
  <c r="E292" i="15"/>
  <c r="E291" i="15"/>
  <c r="E290" i="15"/>
  <c r="E289" i="15"/>
  <c r="E288" i="15"/>
  <c r="E287" i="15"/>
  <c r="E286" i="15"/>
  <c r="E285" i="15"/>
  <c r="E284" i="15"/>
  <c r="E283" i="15"/>
  <c r="E282" i="15"/>
  <c r="E281" i="15"/>
  <c r="E280" i="15"/>
  <c r="E279" i="15"/>
  <c r="E278" i="15"/>
  <c r="E277" i="15"/>
  <c r="E276" i="15"/>
  <c r="E275" i="15"/>
  <c r="E274" i="15"/>
  <c r="E273" i="15"/>
  <c r="E272" i="15"/>
  <c r="E271" i="15"/>
  <c r="E270" i="15"/>
  <c r="E269" i="15"/>
  <c r="E268" i="15"/>
  <c r="E267" i="15"/>
  <c r="E266" i="15"/>
  <c r="E265" i="15"/>
  <c r="E264" i="15"/>
  <c r="E263" i="15"/>
  <c r="E262" i="15"/>
  <c r="E261" i="15"/>
  <c r="E260" i="15"/>
  <c r="E259" i="15"/>
  <c r="E258" i="15"/>
  <c r="E257" i="15"/>
  <c r="E256" i="15"/>
  <c r="E255" i="15"/>
  <c r="E254" i="15"/>
  <c r="E253" i="15"/>
  <c r="E252" i="15"/>
  <c r="E251" i="15"/>
  <c r="E250" i="15"/>
  <c r="E249" i="15"/>
  <c r="E248" i="15"/>
  <c r="E247" i="15"/>
  <c r="E246" i="15"/>
  <c r="E245" i="15"/>
  <c r="E244" i="15"/>
  <c r="E243" i="15"/>
  <c r="E242" i="15"/>
  <c r="E241" i="15"/>
  <c r="E240" i="15"/>
  <c r="E239" i="15"/>
  <c r="E238" i="15"/>
  <c r="E237" i="15"/>
  <c r="E236" i="15"/>
  <c r="E235" i="15"/>
  <c r="E234" i="15"/>
  <c r="E233" i="15"/>
  <c r="E232" i="15"/>
  <c r="E231" i="15"/>
  <c r="E230" i="15"/>
  <c r="E229" i="15"/>
  <c r="E228" i="15"/>
  <c r="E227" i="15"/>
  <c r="E226" i="15"/>
  <c r="E225" i="15"/>
  <c r="E224" i="15"/>
  <c r="E223" i="15"/>
  <c r="E222" i="15"/>
  <c r="E221" i="15"/>
  <c r="E220" i="15"/>
  <c r="E219" i="15"/>
  <c r="E218" i="15"/>
  <c r="E217" i="15"/>
  <c r="E216" i="15"/>
  <c r="E215" i="15"/>
  <c r="E214" i="15"/>
  <c r="E213" i="15"/>
  <c r="E212" i="15"/>
  <c r="E211" i="15"/>
  <c r="E210" i="15"/>
  <c r="E209" i="15"/>
  <c r="E208" i="15"/>
  <c r="E207" i="15"/>
  <c r="E206" i="15"/>
  <c r="E205" i="15"/>
  <c r="E204" i="15"/>
  <c r="E203" i="15"/>
  <c r="E202" i="15"/>
  <c r="E201" i="15"/>
  <c r="E200" i="15"/>
  <c r="E199" i="15"/>
  <c r="E198" i="15"/>
  <c r="E197" i="15"/>
  <c r="E196" i="15"/>
  <c r="E195" i="15"/>
  <c r="E194" i="15"/>
  <c r="E193" i="15"/>
  <c r="E192" i="15"/>
  <c r="E191" i="15"/>
  <c r="E190" i="15"/>
  <c r="E189" i="15"/>
  <c r="E188" i="15"/>
  <c r="E187" i="15"/>
  <c r="E186" i="15"/>
  <c r="E185" i="15"/>
  <c r="E184" i="15"/>
  <c r="E183" i="15"/>
  <c r="E182" i="15"/>
  <c r="E181" i="15"/>
  <c r="E180" i="15"/>
  <c r="E179" i="15"/>
  <c r="E178" i="15"/>
  <c r="E177" i="15"/>
  <c r="E176" i="15"/>
  <c r="E175" i="15"/>
  <c r="E174" i="15"/>
  <c r="E173" i="15"/>
  <c r="E172" i="15"/>
  <c r="E171" i="15"/>
  <c r="E170" i="15"/>
  <c r="E169" i="15"/>
  <c r="E168" i="15"/>
  <c r="E167" i="15"/>
  <c r="E166" i="15"/>
  <c r="E165" i="15"/>
  <c r="E164" i="15"/>
  <c r="E163" i="15"/>
  <c r="E162" i="15"/>
  <c r="E161" i="15"/>
  <c r="E160" i="15"/>
  <c r="E159" i="15"/>
  <c r="E158" i="15"/>
  <c r="E157" i="15"/>
  <c r="E156" i="15"/>
  <c r="E155" i="15"/>
  <c r="E154" i="15"/>
  <c r="E153" i="15"/>
  <c r="E152" i="15"/>
  <c r="E151" i="15"/>
  <c r="E150" i="15"/>
  <c r="E149" i="15"/>
  <c r="E148" i="15"/>
  <c r="E147" i="15"/>
  <c r="E146" i="15"/>
  <c r="E145" i="15"/>
  <c r="E144" i="15"/>
  <c r="E143" i="15"/>
  <c r="E142" i="15"/>
  <c r="E141" i="15"/>
  <c r="E140" i="15"/>
  <c r="E139" i="15"/>
  <c r="E138" i="15"/>
  <c r="E137" i="15"/>
  <c r="E136" i="15"/>
  <c r="E135" i="15"/>
  <c r="E134" i="15"/>
  <c r="E133" i="15"/>
  <c r="E132" i="15"/>
  <c r="E131" i="15"/>
  <c r="E130" i="15"/>
  <c r="E129" i="15"/>
  <c r="E128" i="15"/>
  <c r="E127" i="15"/>
  <c r="E126" i="15"/>
  <c r="E125" i="15"/>
  <c r="E124" i="15"/>
  <c r="E123" i="15"/>
  <c r="E122" i="15"/>
  <c r="E121" i="15"/>
  <c r="E120" i="15"/>
  <c r="E119" i="15"/>
  <c r="E118" i="15"/>
  <c r="E117" i="15"/>
  <c r="E116" i="15"/>
  <c r="E115" i="15"/>
  <c r="E114" i="15"/>
  <c r="E113" i="15"/>
  <c r="E112" i="15"/>
  <c r="E111" i="15"/>
  <c r="E110" i="15"/>
  <c r="E109" i="15"/>
  <c r="E108" i="15"/>
  <c r="E107" i="15"/>
  <c r="E106" i="15"/>
  <c r="E105" i="15"/>
  <c r="E104" i="15"/>
  <c r="E103" i="15"/>
  <c r="E102" i="15"/>
  <c r="E101" i="15"/>
  <c r="E100" i="15"/>
  <c r="E99" i="15"/>
  <c r="E98" i="15"/>
  <c r="E97" i="15"/>
  <c r="E96" i="15"/>
  <c r="E95" i="15"/>
  <c r="E94" i="15"/>
  <c r="E93" i="15"/>
  <c r="E92" i="15"/>
  <c r="E91" i="15"/>
  <c r="E90" i="15"/>
  <c r="E89" i="15"/>
  <c r="E88" i="15"/>
  <c r="E87" i="15"/>
  <c r="E86" i="15"/>
  <c r="E85" i="15"/>
  <c r="E84" i="15"/>
  <c r="E83" i="15"/>
  <c r="E82" i="15"/>
  <c r="E81" i="15"/>
  <c r="E80" i="15"/>
  <c r="E79" i="15"/>
  <c r="E78" i="15"/>
  <c r="E77" i="15"/>
  <c r="E76" i="15"/>
  <c r="E75" i="15"/>
  <c r="E74" i="15"/>
  <c r="E73" i="15"/>
  <c r="E72" i="15"/>
  <c r="E71" i="15"/>
  <c r="E70" i="15"/>
  <c r="E69" i="15"/>
  <c r="E68" i="15"/>
  <c r="E67" i="15"/>
  <c r="E66" i="15"/>
  <c r="E65" i="15"/>
  <c r="E64" i="15"/>
  <c r="E63" i="15"/>
  <c r="E62" i="15"/>
  <c r="E61" i="15"/>
  <c r="E60" i="15"/>
  <c r="E59" i="15"/>
  <c r="E58" i="15"/>
  <c r="E57" i="15"/>
  <c r="E56" i="15"/>
  <c r="E55" i="15"/>
  <c r="E54" i="15"/>
  <c r="E53" i="15"/>
  <c r="E52" i="15"/>
  <c r="E51" i="15"/>
  <c r="E50" i="15"/>
  <c r="E49" i="15"/>
  <c r="E48" i="15"/>
  <c r="E47" i="15"/>
  <c r="E46" i="15"/>
  <c r="E45" i="15"/>
  <c r="E44" i="15"/>
  <c r="E43" i="15"/>
  <c r="E42" i="15"/>
  <c r="E41" i="15"/>
  <c r="E40" i="15"/>
  <c r="E39" i="15"/>
  <c r="E38" i="15"/>
  <c r="E37" i="15"/>
  <c r="E36" i="15"/>
  <c r="E35" i="15"/>
  <c r="E34" i="15"/>
  <c r="E33" i="15"/>
  <c r="E32" i="15"/>
  <c r="E31" i="15"/>
  <c r="E30" i="15"/>
  <c r="E29" i="15"/>
  <c r="E28" i="15"/>
  <c r="E27" i="15"/>
  <c r="E26" i="15"/>
  <c r="E25" i="15"/>
  <c r="E24" i="15"/>
  <c r="E23" i="15"/>
  <c r="E22" i="15"/>
  <c r="E21" i="15"/>
  <c r="E20" i="15"/>
  <c r="E19" i="15"/>
  <c r="E18" i="15"/>
  <c r="E17" i="15"/>
  <c r="E16" i="15"/>
  <c r="E15" i="15"/>
  <c r="E14" i="15"/>
  <c r="E13" i="15"/>
  <c r="E12" i="15"/>
  <c r="E11" i="15"/>
  <c r="E10" i="15"/>
  <c r="E9" i="15"/>
  <c r="E8" i="15"/>
  <c r="E7" i="15"/>
  <c r="E6" i="15"/>
  <c r="E5" i="15"/>
  <c r="E4" i="15"/>
  <c r="E3" i="15"/>
  <c r="E2" i="15"/>
  <c r="E331" i="14"/>
  <c r="E330" i="14"/>
  <c r="E329" i="14"/>
  <c r="E328" i="14"/>
  <c r="E327" i="14"/>
  <c r="E326" i="14"/>
  <c r="E325" i="14"/>
  <c r="E324" i="14"/>
  <c r="E323" i="14"/>
  <c r="E322" i="14"/>
  <c r="E321" i="14"/>
  <c r="E320" i="14"/>
  <c r="E319" i="14"/>
  <c r="E318" i="14"/>
  <c r="E317" i="14"/>
  <c r="E316" i="14"/>
  <c r="E315" i="14"/>
  <c r="E314" i="14"/>
  <c r="E313" i="14"/>
  <c r="E312" i="14"/>
  <c r="E311" i="14"/>
  <c r="E310" i="14"/>
  <c r="E309" i="14"/>
  <c r="E308" i="14"/>
  <c r="E307" i="14"/>
  <c r="E306" i="14"/>
  <c r="E305" i="14"/>
  <c r="E304" i="14"/>
  <c r="E303" i="14"/>
  <c r="E302" i="14"/>
  <c r="E301" i="14"/>
  <c r="E300" i="14"/>
  <c r="E299" i="14"/>
  <c r="E298" i="14"/>
  <c r="E297" i="14"/>
  <c r="E296" i="14"/>
  <c r="E295" i="14"/>
  <c r="E294" i="14"/>
  <c r="E293" i="14"/>
  <c r="E292" i="14"/>
  <c r="E291" i="14"/>
  <c r="E290" i="14"/>
  <c r="E289" i="14"/>
  <c r="E288" i="14"/>
  <c r="E287" i="14"/>
  <c r="E286" i="14"/>
  <c r="E285" i="14"/>
  <c r="E284" i="14"/>
  <c r="E283" i="14"/>
  <c r="E282" i="14"/>
  <c r="E281" i="14"/>
  <c r="E280" i="14"/>
  <c r="E279" i="14"/>
  <c r="E278" i="14"/>
  <c r="E277" i="14"/>
  <c r="E276" i="14"/>
  <c r="E275" i="14"/>
  <c r="E274" i="14"/>
  <c r="E273" i="14"/>
  <c r="E272" i="14"/>
  <c r="E271" i="14"/>
  <c r="E270" i="14"/>
  <c r="E269" i="14"/>
  <c r="E268" i="14"/>
  <c r="E267" i="14"/>
  <c r="E266" i="14"/>
  <c r="E265" i="14"/>
  <c r="E264" i="14"/>
  <c r="E263" i="14"/>
  <c r="E262" i="14"/>
  <c r="E261" i="14"/>
  <c r="E260" i="14"/>
  <c r="E259" i="14"/>
  <c r="E258" i="14"/>
  <c r="E257" i="14"/>
  <c r="E256" i="14"/>
  <c r="E255" i="14"/>
  <c r="E254" i="14"/>
  <c r="E253" i="14"/>
  <c r="E252" i="14"/>
  <c r="E251" i="14"/>
  <c r="E250" i="14"/>
  <c r="E249" i="14"/>
  <c r="E248" i="14"/>
  <c r="E247" i="14"/>
  <c r="E246" i="14"/>
  <c r="E245" i="14"/>
  <c r="E244" i="14"/>
  <c r="E243" i="14"/>
  <c r="E242" i="14"/>
  <c r="E241" i="14"/>
  <c r="E240" i="14"/>
  <c r="E239" i="14"/>
  <c r="E238" i="14"/>
  <c r="E237" i="14"/>
  <c r="E236" i="14"/>
  <c r="E235" i="14"/>
  <c r="E234" i="14"/>
  <c r="E233" i="14"/>
  <c r="E232" i="14"/>
  <c r="E231" i="14"/>
  <c r="E230" i="14"/>
  <c r="E229" i="14"/>
  <c r="E228" i="14"/>
  <c r="E227" i="14"/>
  <c r="E226" i="14"/>
  <c r="E225" i="14"/>
  <c r="E224" i="14"/>
  <c r="E223" i="14"/>
  <c r="E222" i="14"/>
  <c r="E221" i="14"/>
  <c r="E220" i="14"/>
  <c r="E219" i="14"/>
  <c r="E218" i="14"/>
  <c r="E217" i="14"/>
  <c r="E216" i="14"/>
  <c r="E215" i="14"/>
  <c r="E214" i="14"/>
  <c r="E213" i="14"/>
  <c r="E212" i="14"/>
  <c r="E211" i="14"/>
  <c r="E210" i="14"/>
  <c r="E209" i="14"/>
  <c r="E208" i="14"/>
  <c r="E207" i="14"/>
  <c r="E206" i="14"/>
  <c r="E205" i="14"/>
  <c r="E204" i="14"/>
  <c r="E203" i="14"/>
  <c r="E202" i="14"/>
  <c r="E201" i="14"/>
  <c r="E200" i="14"/>
  <c r="E199" i="14"/>
  <c r="E198" i="14"/>
  <c r="E197" i="14"/>
  <c r="E196" i="14"/>
  <c r="E195" i="14"/>
  <c r="E194" i="14"/>
  <c r="E193" i="14"/>
  <c r="E192" i="14"/>
  <c r="E191" i="14"/>
  <c r="E190" i="14"/>
  <c r="E189" i="14"/>
  <c r="E188" i="14"/>
  <c r="E187" i="14"/>
  <c r="E186" i="14"/>
  <c r="E185" i="14"/>
  <c r="E184" i="14"/>
  <c r="E183" i="14"/>
  <c r="E182" i="14"/>
  <c r="E181" i="14"/>
  <c r="E180" i="14"/>
  <c r="E179" i="14"/>
  <c r="E178" i="14"/>
  <c r="E177" i="14"/>
  <c r="E176" i="14"/>
  <c r="E175" i="14"/>
  <c r="E174" i="14"/>
  <c r="E173" i="14"/>
  <c r="E172" i="14"/>
  <c r="E171" i="14"/>
  <c r="E170" i="14"/>
  <c r="E169" i="14"/>
  <c r="E168" i="14"/>
  <c r="E167" i="14"/>
  <c r="E166" i="14"/>
  <c r="E165" i="14"/>
  <c r="E164" i="14"/>
  <c r="E163" i="14"/>
  <c r="E162" i="14"/>
  <c r="E161" i="14"/>
  <c r="E160" i="14"/>
  <c r="E159" i="14"/>
  <c r="E158" i="14"/>
  <c r="E157" i="14"/>
  <c r="E156" i="14"/>
  <c r="E155" i="14"/>
  <c r="E154" i="14"/>
  <c r="E153" i="14"/>
  <c r="E152" i="14"/>
  <c r="E151" i="14"/>
  <c r="E150" i="14"/>
  <c r="E149" i="14"/>
  <c r="E148" i="14"/>
  <c r="E147" i="14"/>
  <c r="E146" i="14"/>
  <c r="E145" i="14"/>
  <c r="E144" i="14"/>
  <c r="E143" i="14"/>
  <c r="E142" i="14"/>
  <c r="E141" i="14"/>
  <c r="E140" i="14"/>
  <c r="E139" i="14"/>
  <c r="E138" i="14"/>
  <c r="E137" i="14"/>
  <c r="E136" i="14"/>
  <c r="E135" i="14"/>
  <c r="E134" i="14"/>
  <c r="E133" i="14"/>
  <c r="E132" i="14"/>
  <c r="E131" i="14"/>
  <c r="E130" i="14"/>
  <c r="E129" i="14"/>
  <c r="E128" i="14"/>
  <c r="E127" i="14"/>
  <c r="E126" i="14"/>
  <c r="E125" i="14"/>
  <c r="E124" i="14"/>
  <c r="E123" i="14"/>
  <c r="E122" i="14"/>
  <c r="E121" i="14"/>
  <c r="E120" i="14"/>
  <c r="E119" i="14"/>
  <c r="E118" i="14"/>
  <c r="E117" i="14"/>
  <c r="E116" i="14"/>
  <c r="E115" i="14"/>
  <c r="E114" i="14"/>
  <c r="E113" i="14"/>
  <c r="E112" i="14"/>
  <c r="E111" i="14"/>
  <c r="E110" i="14"/>
  <c r="E109" i="14"/>
  <c r="E108" i="14"/>
  <c r="E107" i="14"/>
  <c r="E106" i="14"/>
  <c r="E105" i="14"/>
  <c r="E104" i="14"/>
  <c r="E103" i="14"/>
  <c r="E102" i="14"/>
  <c r="E101" i="14"/>
  <c r="E100" i="14"/>
  <c r="E99" i="14"/>
  <c r="E98" i="14"/>
  <c r="E97" i="14"/>
  <c r="E96" i="14"/>
  <c r="E95" i="14"/>
  <c r="E94" i="14"/>
  <c r="E93" i="14"/>
  <c r="E92" i="14"/>
  <c r="E91" i="14"/>
  <c r="E90" i="14"/>
  <c r="E89" i="14"/>
  <c r="E88" i="14"/>
  <c r="E87" i="14"/>
  <c r="E86" i="14"/>
  <c r="E85" i="14"/>
  <c r="E84" i="14"/>
  <c r="E83" i="14"/>
  <c r="E82" i="14"/>
  <c r="E81" i="14"/>
  <c r="E80" i="14"/>
  <c r="E79" i="14"/>
  <c r="E78" i="14"/>
  <c r="E77" i="14"/>
  <c r="E76" i="14"/>
  <c r="E75" i="14"/>
  <c r="E74" i="14"/>
  <c r="E73" i="14"/>
  <c r="E72" i="14"/>
  <c r="E71" i="14"/>
  <c r="E70" i="14"/>
  <c r="E69" i="14"/>
  <c r="E68" i="14"/>
  <c r="E67" i="14"/>
  <c r="E66" i="14"/>
  <c r="E65" i="14"/>
  <c r="E64" i="14"/>
  <c r="E63" i="14"/>
  <c r="E62" i="14"/>
  <c r="E61" i="14"/>
  <c r="E60" i="14"/>
  <c r="E59" i="14"/>
  <c r="E58" i="14"/>
  <c r="E57" i="14"/>
  <c r="E56" i="14"/>
  <c r="E55" i="14"/>
  <c r="E54" i="14"/>
  <c r="E53" i="14"/>
  <c r="E52" i="14"/>
  <c r="E51" i="14"/>
  <c r="E50" i="14"/>
  <c r="E49" i="14"/>
  <c r="E48" i="14"/>
  <c r="E47" i="14"/>
  <c r="E46" i="14"/>
  <c r="E45" i="14"/>
  <c r="E44" i="14"/>
  <c r="E43" i="14"/>
  <c r="E42" i="14"/>
  <c r="E41" i="14"/>
  <c r="E40" i="14"/>
  <c r="E39" i="14"/>
  <c r="E38" i="14"/>
  <c r="E37" i="14"/>
  <c r="E36" i="14"/>
  <c r="E35" i="14"/>
  <c r="E34" i="14"/>
  <c r="E33" i="14"/>
  <c r="E32" i="14"/>
  <c r="E31" i="14"/>
  <c r="E30" i="14"/>
  <c r="E29" i="14"/>
  <c r="E28" i="14"/>
  <c r="E27" i="14"/>
  <c r="E26" i="14"/>
  <c r="E25" i="14"/>
  <c r="E24" i="14"/>
  <c r="E23" i="14"/>
  <c r="E22" i="14"/>
  <c r="E21" i="14"/>
  <c r="E20" i="14"/>
  <c r="E19" i="14"/>
  <c r="E18" i="14"/>
  <c r="E17" i="14"/>
  <c r="E16" i="14"/>
  <c r="E15" i="14"/>
  <c r="E14" i="14"/>
  <c r="E13" i="14"/>
  <c r="E12" i="14"/>
  <c r="E11" i="14"/>
  <c r="E10" i="14"/>
  <c r="E9" i="14"/>
  <c r="E8" i="14"/>
  <c r="E7" i="14"/>
  <c r="E6" i="14"/>
  <c r="E5" i="14"/>
  <c r="E4" i="14"/>
  <c r="E3" i="14"/>
  <c r="E2" i="14"/>
  <c r="E325" i="13"/>
  <c r="E324" i="13"/>
  <c r="E323" i="13"/>
  <c r="E322" i="13"/>
  <c r="E321" i="13"/>
  <c r="E320" i="13"/>
  <c r="E319" i="13"/>
  <c r="E318" i="13"/>
  <c r="E317" i="13"/>
  <c r="E316" i="13"/>
  <c r="E315" i="13"/>
  <c r="E314" i="13"/>
  <c r="E313" i="13"/>
  <c r="E312" i="13"/>
  <c r="E311" i="13"/>
  <c r="E310" i="13"/>
  <c r="E309" i="13"/>
  <c r="E308" i="13"/>
  <c r="E307" i="13"/>
  <c r="E306" i="13"/>
  <c r="E305" i="13"/>
  <c r="E304" i="13"/>
  <c r="E303" i="13"/>
  <c r="E302" i="13"/>
  <c r="E301" i="13"/>
  <c r="E300" i="13"/>
  <c r="E299" i="13"/>
  <c r="E298" i="13"/>
  <c r="E297" i="13"/>
  <c r="E296" i="13"/>
  <c r="E295" i="13"/>
  <c r="E294" i="13"/>
  <c r="E293" i="13"/>
  <c r="E292" i="13"/>
  <c r="E291" i="13"/>
  <c r="E290" i="13"/>
  <c r="E289" i="13"/>
  <c r="E288" i="13"/>
  <c r="E287" i="13"/>
  <c r="E286" i="13"/>
  <c r="E285" i="13"/>
  <c r="E284" i="13"/>
  <c r="E283" i="13"/>
  <c r="E282" i="13"/>
  <c r="E281" i="13"/>
  <c r="E280" i="13"/>
  <c r="E279" i="13"/>
  <c r="E278" i="13"/>
  <c r="E277" i="13"/>
  <c r="E276" i="13"/>
  <c r="E275" i="13"/>
  <c r="E274" i="13"/>
  <c r="E273" i="13"/>
  <c r="E272" i="13"/>
  <c r="E271" i="13"/>
  <c r="E270" i="13"/>
  <c r="E269" i="13"/>
  <c r="E268" i="13"/>
  <c r="E267" i="13"/>
  <c r="E266" i="13"/>
  <c r="E265" i="13"/>
  <c r="E264" i="13"/>
  <c r="E263" i="13"/>
  <c r="E262" i="13"/>
  <c r="E261" i="13"/>
  <c r="E260" i="13"/>
  <c r="E259" i="13"/>
  <c r="E258" i="13"/>
  <c r="E257" i="13"/>
  <c r="E256" i="13"/>
  <c r="E255" i="13"/>
  <c r="E254" i="13"/>
  <c r="E253" i="13"/>
  <c r="E252" i="13"/>
  <c r="E251" i="13"/>
  <c r="E250" i="13"/>
  <c r="E249" i="13"/>
  <c r="E248" i="13"/>
  <c r="E247" i="13"/>
  <c r="E246" i="13"/>
  <c r="E245" i="13"/>
  <c r="E244" i="13"/>
  <c r="E243" i="13"/>
  <c r="E242" i="13"/>
  <c r="E241" i="13"/>
  <c r="E240" i="13"/>
  <c r="E239" i="13"/>
  <c r="E238" i="13"/>
  <c r="E237" i="13"/>
  <c r="E236" i="13"/>
  <c r="E235" i="13"/>
  <c r="E234" i="13"/>
  <c r="E233" i="13"/>
  <c r="E232" i="13"/>
  <c r="E231" i="13"/>
  <c r="E230" i="13"/>
  <c r="E229" i="13"/>
  <c r="E228" i="13"/>
  <c r="E227" i="13"/>
  <c r="E226" i="13"/>
  <c r="E225" i="13"/>
  <c r="E224" i="13"/>
  <c r="E223" i="13"/>
  <c r="E222" i="13"/>
  <c r="E221" i="13"/>
  <c r="E220" i="13"/>
  <c r="E219" i="13"/>
  <c r="E218" i="13"/>
  <c r="E217" i="13"/>
  <c r="E216" i="13"/>
  <c r="E215" i="13"/>
  <c r="E214" i="13"/>
  <c r="E213" i="13"/>
  <c r="E212" i="13"/>
  <c r="E211" i="13"/>
  <c r="E210" i="13"/>
  <c r="E209" i="13"/>
  <c r="E208" i="13"/>
  <c r="E207" i="13"/>
  <c r="E206" i="13"/>
  <c r="E205" i="13"/>
  <c r="E204" i="13"/>
  <c r="E203" i="13"/>
  <c r="E202" i="13"/>
  <c r="E201" i="13"/>
  <c r="E200" i="13"/>
  <c r="E199" i="13"/>
  <c r="E198" i="13"/>
  <c r="E197" i="13"/>
  <c r="E196" i="13"/>
  <c r="E195" i="13"/>
  <c r="E194" i="13"/>
  <c r="E193" i="13"/>
  <c r="E192" i="13"/>
  <c r="E191" i="13"/>
  <c r="E190" i="13"/>
  <c r="E189" i="13"/>
  <c r="E188" i="13"/>
  <c r="E187" i="13"/>
  <c r="E186" i="13"/>
  <c r="E185" i="13"/>
  <c r="E184" i="13"/>
  <c r="E183" i="13"/>
  <c r="E182" i="13"/>
  <c r="E181" i="13"/>
  <c r="E180" i="13"/>
  <c r="E179" i="13"/>
  <c r="E178" i="13"/>
  <c r="E177" i="13"/>
  <c r="E176" i="13"/>
  <c r="E175" i="13"/>
  <c r="E174" i="13"/>
  <c r="E173" i="13"/>
  <c r="E172" i="13"/>
  <c r="E171" i="13"/>
  <c r="E170" i="13"/>
  <c r="E169" i="13"/>
  <c r="E168" i="13"/>
  <c r="E167" i="13"/>
  <c r="E166" i="13"/>
  <c r="E165" i="13"/>
  <c r="E164" i="13"/>
  <c r="E163" i="13"/>
  <c r="E162" i="13"/>
  <c r="E161" i="13"/>
  <c r="E160" i="13"/>
  <c r="E159" i="13"/>
  <c r="E158" i="13"/>
  <c r="E157" i="13"/>
  <c r="E156" i="13"/>
  <c r="E155" i="13"/>
  <c r="E154" i="13"/>
  <c r="E153" i="13"/>
  <c r="E152" i="13"/>
  <c r="E151" i="13"/>
  <c r="E150" i="13"/>
  <c r="E149" i="13"/>
  <c r="E148" i="13"/>
  <c r="E147" i="13"/>
  <c r="E146" i="13"/>
  <c r="E145" i="13"/>
  <c r="E144" i="13"/>
  <c r="E143" i="13"/>
  <c r="E142" i="13"/>
  <c r="E141" i="13"/>
  <c r="E140" i="13"/>
  <c r="E139" i="13"/>
  <c r="E138" i="13"/>
  <c r="E137" i="13"/>
  <c r="E136" i="13"/>
  <c r="E135" i="13"/>
  <c r="E134" i="13"/>
  <c r="E133" i="13"/>
  <c r="E132" i="13"/>
  <c r="E131" i="13"/>
  <c r="E130" i="13"/>
  <c r="E129" i="13"/>
  <c r="E128" i="13"/>
  <c r="E127" i="13"/>
  <c r="E126" i="13"/>
  <c r="E125" i="13"/>
  <c r="E124" i="13"/>
  <c r="E123" i="13"/>
  <c r="E122" i="13"/>
  <c r="E121" i="13"/>
  <c r="E120" i="13"/>
  <c r="E119" i="13"/>
  <c r="E118" i="13"/>
  <c r="E117" i="13"/>
  <c r="E116" i="13"/>
  <c r="E115" i="13"/>
  <c r="E114" i="13"/>
  <c r="E113" i="13"/>
  <c r="E112" i="13"/>
  <c r="E111" i="13"/>
  <c r="E110" i="13"/>
  <c r="E109" i="13"/>
  <c r="E108" i="13"/>
  <c r="E107" i="13"/>
  <c r="E106" i="13"/>
  <c r="E105" i="13"/>
  <c r="E104" i="13"/>
  <c r="E103" i="13"/>
  <c r="E102" i="13"/>
  <c r="E101" i="13"/>
  <c r="E100" i="13"/>
  <c r="E99" i="13"/>
  <c r="E98" i="13"/>
  <c r="E97" i="13"/>
  <c r="E96" i="13"/>
  <c r="E95" i="13"/>
  <c r="E94" i="13"/>
  <c r="E93" i="13"/>
  <c r="E92" i="13"/>
  <c r="E91" i="13"/>
  <c r="E90" i="13"/>
  <c r="E89" i="13"/>
  <c r="E88" i="13"/>
  <c r="E87" i="13"/>
  <c r="E86" i="13"/>
  <c r="E85" i="13"/>
  <c r="E84" i="13"/>
  <c r="E83" i="13"/>
  <c r="E82" i="13"/>
  <c r="E81" i="13"/>
  <c r="E80" i="13"/>
  <c r="E79" i="13"/>
  <c r="E78" i="13"/>
  <c r="E77" i="13"/>
  <c r="E76" i="13"/>
  <c r="E75" i="13"/>
  <c r="E74" i="13"/>
  <c r="E73" i="13"/>
  <c r="E72" i="13"/>
  <c r="E71" i="13"/>
  <c r="E70" i="13"/>
  <c r="E69" i="13"/>
  <c r="E68" i="13"/>
  <c r="E67" i="13"/>
  <c r="E66" i="13"/>
  <c r="E65" i="13"/>
  <c r="E64" i="13"/>
  <c r="E63" i="13"/>
  <c r="E62" i="13"/>
  <c r="E61" i="13"/>
  <c r="E60" i="13"/>
  <c r="E59" i="13"/>
  <c r="E58" i="13"/>
  <c r="E57" i="13"/>
  <c r="E56" i="13"/>
  <c r="E55" i="13"/>
  <c r="E54" i="13"/>
  <c r="E53" i="13"/>
  <c r="E52" i="13"/>
  <c r="E51" i="13"/>
  <c r="E50" i="13"/>
  <c r="E49" i="13"/>
  <c r="E48" i="13"/>
  <c r="E47" i="13"/>
  <c r="E46" i="13"/>
  <c r="E45" i="13"/>
  <c r="E44" i="13"/>
  <c r="E43" i="13"/>
  <c r="E42" i="13"/>
  <c r="E41" i="13"/>
  <c r="E40" i="13"/>
  <c r="E39" i="13"/>
  <c r="E38" i="13"/>
  <c r="E37" i="13"/>
  <c r="E36" i="13"/>
  <c r="E35" i="13"/>
  <c r="E34" i="13"/>
  <c r="E33" i="13"/>
  <c r="E32" i="13"/>
  <c r="E31" i="13"/>
  <c r="E30" i="13"/>
  <c r="E29" i="13"/>
  <c r="E28" i="13"/>
  <c r="E27" i="13"/>
  <c r="E26" i="13"/>
  <c r="E25" i="13"/>
  <c r="E24" i="13"/>
  <c r="E23" i="13"/>
  <c r="E22" i="13"/>
  <c r="E21" i="13"/>
  <c r="E20" i="13"/>
  <c r="E19" i="13"/>
  <c r="E18" i="13"/>
  <c r="E17" i="13"/>
  <c r="E16" i="13"/>
  <c r="E15" i="13"/>
  <c r="E14" i="13"/>
  <c r="E13" i="13"/>
  <c r="E12" i="13"/>
  <c r="E11" i="13"/>
  <c r="E10" i="13"/>
  <c r="E9" i="13"/>
  <c r="E8" i="13"/>
  <c r="E7" i="13"/>
  <c r="E6" i="13"/>
  <c r="E5" i="13"/>
  <c r="E4" i="13"/>
  <c r="E3" i="13"/>
  <c r="E2" i="13"/>
  <c r="E356" i="11"/>
  <c r="E355" i="11"/>
  <c r="E354" i="11"/>
  <c r="E353" i="11"/>
  <c r="E352" i="11"/>
  <c r="E351" i="11"/>
  <c r="E350" i="11"/>
  <c r="E349" i="11"/>
  <c r="E348" i="11"/>
  <c r="E347" i="11"/>
  <c r="E346" i="11"/>
  <c r="E345" i="11"/>
  <c r="E344" i="11"/>
  <c r="E343" i="11"/>
  <c r="E342" i="11"/>
  <c r="E341" i="11"/>
  <c r="E340" i="11"/>
  <c r="E339" i="11"/>
  <c r="E338" i="11"/>
  <c r="E337" i="11"/>
  <c r="E336" i="11"/>
  <c r="E335" i="11"/>
  <c r="E334" i="11"/>
  <c r="E333" i="11"/>
  <c r="E332" i="11"/>
  <c r="E331" i="11"/>
  <c r="E330" i="11"/>
  <c r="E329" i="11"/>
  <c r="E328" i="11"/>
  <c r="E327" i="11"/>
  <c r="E326" i="11"/>
  <c r="E325" i="11"/>
  <c r="E324" i="11"/>
  <c r="E323" i="11"/>
  <c r="E322" i="11"/>
  <c r="E321" i="11"/>
  <c r="E320" i="11"/>
  <c r="E319" i="11"/>
  <c r="E318" i="11"/>
  <c r="E317" i="11"/>
  <c r="E316" i="11"/>
  <c r="E315" i="11"/>
  <c r="E314" i="11"/>
  <c r="E313" i="11"/>
  <c r="E312" i="11"/>
  <c r="E311" i="11"/>
  <c r="E310" i="11"/>
  <c r="E309" i="11"/>
  <c r="E308" i="11"/>
  <c r="E307" i="11"/>
  <c r="E306" i="11"/>
  <c r="E305" i="11"/>
  <c r="E304" i="11"/>
  <c r="E303" i="11"/>
  <c r="E302" i="11"/>
  <c r="E301" i="11"/>
  <c r="E300" i="11"/>
  <c r="E299" i="11"/>
  <c r="E298" i="11"/>
  <c r="E297" i="11"/>
  <c r="E296" i="11"/>
  <c r="E295" i="11"/>
  <c r="E294" i="11"/>
  <c r="E293" i="11"/>
  <c r="E292" i="11"/>
  <c r="E291" i="11"/>
  <c r="E290" i="11"/>
  <c r="E289" i="11"/>
  <c r="E288" i="11"/>
  <c r="E287" i="11"/>
  <c r="E286" i="11"/>
  <c r="E285" i="11"/>
  <c r="E284" i="11"/>
  <c r="E283" i="11"/>
  <c r="E282" i="11"/>
  <c r="E281" i="11"/>
  <c r="E280" i="11"/>
  <c r="E279" i="11"/>
  <c r="E278" i="11"/>
  <c r="E277" i="11"/>
  <c r="E276" i="11"/>
  <c r="E275" i="11"/>
  <c r="E274" i="11"/>
  <c r="E273" i="11"/>
  <c r="E272" i="11"/>
  <c r="E271" i="11"/>
  <c r="E270" i="11"/>
  <c r="E269" i="11"/>
  <c r="E268" i="11"/>
  <c r="E267" i="11"/>
  <c r="E266" i="11"/>
  <c r="E265" i="11"/>
  <c r="E264" i="11"/>
  <c r="E263" i="11"/>
  <c r="E262" i="11"/>
  <c r="E261" i="11"/>
  <c r="E260" i="11"/>
  <c r="E259" i="11"/>
  <c r="E258" i="11"/>
  <c r="E257" i="11"/>
  <c r="E256" i="11"/>
  <c r="E255" i="11"/>
  <c r="E254" i="11"/>
  <c r="E253" i="11"/>
  <c r="E252" i="11"/>
  <c r="E251" i="11"/>
  <c r="E250" i="11"/>
  <c r="E249" i="11"/>
  <c r="E248" i="11"/>
  <c r="E247" i="11"/>
  <c r="E246" i="11"/>
  <c r="E245" i="11"/>
  <c r="E244" i="11"/>
  <c r="E243" i="11"/>
  <c r="E242" i="11"/>
  <c r="E241" i="11"/>
  <c r="E240" i="11"/>
  <c r="E239" i="11"/>
  <c r="E238" i="11"/>
  <c r="E237" i="11"/>
  <c r="E236" i="11"/>
  <c r="E235" i="11"/>
  <c r="E234" i="11"/>
  <c r="E233" i="11"/>
  <c r="E232" i="11"/>
  <c r="E231" i="11"/>
  <c r="E230" i="11"/>
  <c r="E229" i="11"/>
  <c r="E228" i="11"/>
  <c r="E227" i="11"/>
  <c r="E226" i="11"/>
  <c r="E225" i="11"/>
  <c r="E224" i="11"/>
  <c r="E223" i="11"/>
  <c r="E222" i="11"/>
  <c r="E221" i="11"/>
  <c r="E220" i="11"/>
  <c r="E219" i="11"/>
  <c r="E218" i="11"/>
  <c r="E217" i="11"/>
  <c r="E216" i="11"/>
  <c r="E215" i="11"/>
  <c r="E214" i="11"/>
  <c r="E213" i="11"/>
  <c r="E212" i="11"/>
  <c r="E211" i="11"/>
  <c r="E210" i="11"/>
  <c r="E209" i="11"/>
  <c r="E208" i="11"/>
  <c r="E207" i="11"/>
  <c r="E206" i="11"/>
  <c r="E205" i="11"/>
  <c r="E204" i="11"/>
  <c r="E203" i="11"/>
  <c r="E202" i="11"/>
  <c r="E201" i="11"/>
  <c r="E200" i="11"/>
  <c r="E199" i="11"/>
  <c r="E198" i="11"/>
  <c r="E197" i="11"/>
  <c r="E196" i="11"/>
  <c r="E195" i="11"/>
  <c r="E194" i="11"/>
  <c r="E193" i="11"/>
  <c r="E192" i="11"/>
  <c r="E191" i="11"/>
  <c r="E190" i="11"/>
  <c r="E189" i="11"/>
  <c r="E188" i="11"/>
  <c r="E187" i="11"/>
  <c r="E186" i="11"/>
  <c r="E185" i="11"/>
  <c r="E184" i="11"/>
  <c r="E183" i="11"/>
  <c r="E182" i="11"/>
  <c r="E181" i="11"/>
  <c r="E180" i="11"/>
  <c r="E179" i="11"/>
  <c r="E178" i="11"/>
  <c r="E177" i="11"/>
  <c r="E176" i="11"/>
  <c r="E175" i="11"/>
  <c r="E174" i="11"/>
  <c r="E173" i="11"/>
  <c r="E172" i="11"/>
  <c r="E171" i="11"/>
  <c r="E170" i="11"/>
  <c r="E169" i="11"/>
  <c r="E168" i="11"/>
  <c r="E167" i="11"/>
  <c r="E166" i="11"/>
  <c r="E165" i="11"/>
  <c r="E164" i="11"/>
  <c r="E163" i="11"/>
  <c r="E162" i="11"/>
  <c r="E161" i="11"/>
  <c r="E160" i="11"/>
  <c r="E159" i="11"/>
  <c r="E158" i="11"/>
  <c r="E157" i="11"/>
  <c r="E156" i="11"/>
  <c r="E155" i="11"/>
  <c r="E154" i="11"/>
  <c r="E153" i="11"/>
  <c r="E152" i="11"/>
  <c r="E151" i="11"/>
  <c r="E150" i="11"/>
  <c r="E149" i="11"/>
  <c r="E148" i="11"/>
  <c r="E147" i="11"/>
  <c r="E146" i="11"/>
  <c r="E145" i="11"/>
  <c r="E144" i="11"/>
  <c r="E143" i="11"/>
  <c r="E142" i="11"/>
  <c r="E141" i="11"/>
  <c r="E140" i="11"/>
  <c r="E139" i="11"/>
  <c r="E138" i="11"/>
  <c r="E137" i="11"/>
  <c r="E136" i="11"/>
  <c r="E135" i="11"/>
  <c r="E134" i="11"/>
  <c r="E133" i="11"/>
  <c r="E132" i="11"/>
  <c r="E131" i="11"/>
  <c r="E130" i="11"/>
  <c r="E129" i="11"/>
  <c r="E128" i="11"/>
  <c r="E127" i="11"/>
  <c r="E126" i="11"/>
  <c r="E125" i="11"/>
  <c r="E124" i="11"/>
  <c r="E123" i="11"/>
  <c r="E122" i="11"/>
  <c r="E121" i="11"/>
  <c r="E120" i="11"/>
  <c r="E119" i="11"/>
  <c r="E118" i="11"/>
  <c r="E117" i="11"/>
  <c r="E116" i="11"/>
  <c r="E115" i="11"/>
  <c r="E114" i="11"/>
  <c r="E113" i="11"/>
  <c r="E112" i="11"/>
  <c r="E111" i="11"/>
  <c r="E110" i="11"/>
  <c r="E109" i="11"/>
  <c r="E108" i="11"/>
  <c r="E107" i="11"/>
  <c r="E106" i="11"/>
  <c r="E105" i="11"/>
  <c r="E104" i="11"/>
  <c r="E103" i="11"/>
  <c r="E102" i="11"/>
  <c r="E101" i="11"/>
  <c r="E100" i="11"/>
  <c r="E99" i="11"/>
  <c r="E98" i="11"/>
  <c r="E97" i="11"/>
  <c r="E96" i="11"/>
  <c r="E95" i="11"/>
  <c r="E94" i="11"/>
  <c r="E93" i="11"/>
  <c r="E92" i="11"/>
  <c r="E91" i="11"/>
  <c r="E90" i="11"/>
  <c r="E89" i="11"/>
  <c r="E88" i="11"/>
  <c r="E87" i="11"/>
  <c r="E86" i="11"/>
  <c r="E85" i="11"/>
  <c r="E84" i="11"/>
  <c r="E83" i="11"/>
  <c r="E82" i="11"/>
  <c r="E81" i="11"/>
  <c r="E80" i="11"/>
  <c r="E79" i="11"/>
  <c r="E78" i="11"/>
  <c r="E77" i="11"/>
  <c r="E76" i="11"/>
  <c r="E75" i="11"/>
  <c r="E74" i="11"/>
  <c r="E73" i="11"/>
  <c r="E72" i="11"/>
  <c r="E71" i="11"/>
  <c r="E70" i="11"/>
  <c r="E69" i="11"/>
  <c r="E68" i="11"/>
  <c r="E67" i="11"/>
  <c r="E66" i="11"/>
  <c r="E65" i="11"/>
  <c r="E64" i="11"/>
  <c r="E63" i="11"/>
  <c r="E62" i="11"/>
  <c r="E61" i="11"/>
  <c r="E60" i="11"/>
  <c r="E59" i="11"/>
  <c r="E58" i="11"/>
  <c r="E57" i="11"/>
  <c r="E56" i="11"/>
  <c r="E55" i="11"/>
  <c r="E54" i="11"/>
  <c r="E53" i="11"/>
  <c r="E52" i="11"/>
  <c r="E51" i="11"/>
  <c r="E50" i="11"/>
  <c r="E49" i="11"/>
  <c r="E48" i="11"/>
  <c r="E47" i="11"/>
  <c r="E46" i="11"/>
  <c r="E45" i="11"/>
  <c r="E44" i="11"/>
  <c r="E43" i="11"/>
  <c r="E42" i="11"/>
  <c r="E41" i="11"/>
  <c r="E40" i="11"/>
  <c r="E39" i="11"/>
  <c r="E38" i="11"/>
  <c r="E37" i="11"/>
  <c r="E36" i="11"/>
  <c r="E35" i="11"/>
  <c r="E34" i="11"/>
  <c r="E33" i="11"/>
  <c r="E32" i="11"/>
  <c r="E31" i="11"/>
  <c r="E30" i="11"/>
  <c r="E29" i="11"/>
  <c r="E28" i="11"/>
  <c r="E27" i="11"/>
  <c r="E26" i="11"/>
  <c r="E25" i="11"/>
  <c r="E24" i="11"/>
  <c r="E23" i="11"/>
  <c r="E22" i="11"/>
  <c r="E21" i="11"/>
  <c r="E20" i="11"/>
  <c r="E19" i="11"/>
  <c r="E18" i="11"/>
  <c r="E17" i="11"/>
  <c r="E16" i="11"/>
  <c r="E15" i="11"/>
  <c r="E14" i="11"/>
  <c r="E13" i="11"/>
  <c r="E12" i="11"/>
  <c r="E11" i="11"/>
  <c r="E10" i="11"/>
  <c r="E9" i="11"/>
  <c r="E8" i="11"/>
  <c r="E7" i="11"/>
  <c r="E6" i="11"/>
  <c r="E5" i="11"/>
  <c r="E4" i="11"/>
  <c r="E3" i="11"/>
  <c r="E2" i="11"/>
  <c r="E315" i="12" l="1"/>
  <c r="E314" i="12"/>
  <c r="E313" i="12"/>
  <c r="E312" i="12"/>
  <c r="E311" i="12"/>
  <c r="E310" i="12"/>
  <c r="E309" i="12"/>
  <c r="E308" i="12"/>
  <c r="E307" i="12"/>
  <c r="E306" i="12"/>
  <c r="E305" i="12"/>
  <c r="E304" i="12"/>
  <c r="E303" i="12"/>
  <c r="E302" i="12"/>
  <c r="E301" i="12"/>
  <c r="E300" i="12"/>
  <c r="E299" i="12"/>
  <c r="E298" i="12"/>
  <c r="E297" i="12"/>
  <c r="E296" i="12"/>
  <c r="E295" i="12"/>
  <c r="E294" i="12"/>
  <c r="E293" i="12"/>
  <c r="E292" i="12"/>
  <c r="E291" i="12"/>
  <c r="E290" i="12"/>
  <c r="E289" i="12"/>
  <c r="E288" i="12"/>
  <c r="E287" i="12"/>
  <c r="E286" i="12"/>
  <c r="E285" i="12"/>
  <c r="E284" i="12"/>
  <c r="E283" i="12"/>
  <c r="E282" i="12"/>
  <c r="E281" i="12"/>
  <c r="E280" i="12"/>
  <c r="E279" i="12"/>
  <c r="E278" i="12"/>
  <c r="E277" i="12"/>
  <c r="E276" i="12"/>
  <c r="E275" i="12"/>
  <c r="E274" i="12"/>
  <c r="E273" i="12"/>
  <c r="E272" i="12"/>
  <c r="E271" i="12"/>
  <c r="E270" i="12"/>
  <c r="E269" i="12"/>
  <c r="E268" i="12"/>
  <c r="E267" i="12"/>
  <c r="E266" i="12"/>
  <c r="E265" i="12"/>
  <c r="E264" i="12"/>
  <c r="E263" i="12"/>
  <c r="E262" i="12"/>
  <c r="E261" i="12"/>
  <c r="E260" i="12"/>
  <c r="E259" i="12"/>
  <c r="E258" i="12"/>
  <c r="E257" i="12"/>
  <c r="E256" i="12"/>
  <c r="E255" i="12"/>
  <c r="E254" i="12"/>
  <c r="E253" i="12"/>
  <c r="E252" i="12"/>
  <c r="E251" i="12"/>
  <c r="E250" i="12"/>
  <c r="E249" i="12"/>
  <c r="E248" i="12"/>
  <c r="E247" i="12"/>
  <c r="E246" i="12"/>
  <c r="E245" i="12"/>
  <c r="E244" i="12"/>
  <c r="E243" i="12"/>
  <c r="E242" i="12"/>
  <c r="E241" i="12"/>
  <c r="E240" i="12"/>
  <c r="E239" i="12"/>
  <c r="E238" i="12"/>
  <c r="E237" i="12"/>
  <c r="E236" i="12"/>
  <c r="E235" i="12"/>
  <c r="E234" i="12"/>
  <c r="E233" i="12"/>
  <c r="E232" i="12"/>
  <c r="E231" i="12"/>
  <c r="E230" i="12"/>
  <c r="E229" i="12"/>
  <c r="E228" i="12"/>
  <c r="E227" i="12"/>
  <c r="E226" i="12"/>
  <c r="E225" i="12"/>
  <c r="E224" i="12"/>
  <c r="E223" i="12"/>
  <c r="E222" i="12"/>
  <c r="E221" i="12"/>
  <c r="E220" i="12"/>
  <c r="E219" i="12"/>
  <c r="E218" i="12"/>
  <c r="E217" i="12"/>
  <c r="E216" i="12"/>
  <c r="E215" i="12"/>
  <c r="E214" i="12"/>
  <c r="E213" i="12"/>
  <c r="E212" i="12"/>
  <c r="E211" i="12"/>
  <c r="E210" i="12"/>
  <c r="E209" i="12"/>
  <c r="E208" i="12"/>
  <c r="E207" i="12"/>
  <c r="E206" i="12"/>
  <c r="E205" i="12"/>
  <c r="E204" i="12"/>
  <c r="E203" i="12"/>
  <c r="E202" i="12"/>
  <c r="E201" i="12"/>
  <c r="E200" i="12"/>
  <c r="E199" i="12"/>
  <c r="E198" i="12"/>
  <c r="E197" i="12"/>
  <c r="E196" i="12"/>
  <c r="E195" i="12"/>
  <c r="E194" i="12"/>
  <c r="E193" i="12"/>
  <c r="E192" i="12"/>
  <c r="E191" i="12"/>
  <c r="E190" i="12"/>
  <c r="E189" i="12"/>
  <c r="E188" i="12"/>
  <c r="E187" i="12"/>
  <c r="E186" i="12"/>
  <c r="E185" i="12"/>
  <c r="E184" i="12"/>
  <c r="E183" i="12"/>
  <c r="E182" i="12"/>
  <c r="E181" i="12"/>
  <c r="E180" i="12"/>
  <c r="E179" i="12"/>
  <c r="E178" i="12"/>
  <c r="E177" i="12"/>
  <c r="E176" i="12"/>
  <c r="E175" i="12"/>
  <c r="E174" i="12"/>
  <c r="E173" i="12"/>
  <c r="E172" i="12"/>
  <c r="E171" i="12"/>
  <c r="E170" i="12"/>
  <c r="E169" i="12"/>
  <c r="E168" i="12"/>
  <c r="E167" i="12"/>
  <c r="E166" i="12"/>
  <c r="E165" i="12"/>
  <c r="E164" i="12"/>
  <c r="E163" i="12"/>
  <c r="E162" i="12"/>
  <c r="E161" i="12"/>
  <c r="E160" i="12"/>
  <c r="E159" i="12"/>
  <c r="E158" i="12"/>
  <c r="E157" i="12"/>
  <c r="E156" i="12"/>
  <c r="E155" i="12"/>
  <c r="E154" i="12"/>
  <c r="E153" i="12"/>
  <c r="E152" i="12"/>
  <c r="E151" i="12"/>
  <c r="E150" i="12"/>
  <c r="E149" i="12"/>
  <c r="E148" i="12"/>
  <c r="E147" i="12"/>
  <c r="E146" i="12"/>
  <c r="E145" i="12"/>
  <c r="E144" i="12"/>
  <c r="E143" i="12"/>
  <c r="E142" i="12"/>
  <c r="E141" i="12"/>
  <c r="E140" i="12"/>
  <c r="E139" i="12"/>
  <c r="E138" i="12"/>
  <c r="E137" i="12"/>
  <c r="E136" i="12"/>
  <c r="E135" i="12"/>
  <c r="E134" i="12"/>
  <c r="E133" i="12"/>
  <c r="E132" i="12"/>
  <c r="E131" i="12"/>
  <c r="E130" i="12"/>
  <c r="E129" i="12"/>
  <c r="E128" i="12"/>
  <c r="E127" i="12"/>
  <c r="E126" i="12"/>
  <c r="E125" i="12"/>
  <c r="E124" i="12"/>
  <c r="E123" i="12"/>
  <c r="E122" i="12"/>
  <c r="E121" i="12"/>
  <c r="E120" i="12"/>
  <c r="E119" i="12"/>
  <c r="E118" i="12"/>
  <c r="E117" i="12"/>
  <c r="E116" i="12"/>
  <c r="E115" i="12"/>
  <c r="E114" i="12"/>
  <c r="E113" i="12"/>
  <c r="E112" i="12"/>
  <c r="E111" i="12"/>
  <c r="E110" i="12"/>
  <c r="E109" i="12"/>
  <c r="E108" i="12"/>
  <c r="E107" i="12"/>
  <c r="E106" i="12"/>
  <c r="E105" i="12"/>
  <c r="E104" i="12"/>
  <c r="E103" i="12"/>
  <c r="E102" i="12"/>
  <c r="E101" i="12"/>
  <c r="E100" i="12"/>
  <c r="E99" i="12"/>
  <c r="E98" i="12"/>
  <c r="E97" i="12"/>
  <c r="E96" i="12"/>
  <c r="E95" i="12"/>
  <c r="E94" i="12"/>
  <c r="E93" i="12"/>
  <c r="E92" i="12"/>
  <c r="E91" i="12"/>
  <c r="E90" i="12"/>
  <c r="E89" i="12"/>
  <c r="E88" i="12"/>
  <c r="E87" i="12"/>
  <c r="E86" i="12"/>
  <c r="E85" i="12"/>
  <c r="E84" i="12"/>
  <c r="E83" i="12"/>
  <c r="E82" i="12"/>
  <c r="E81" i="12"/>
  <c r="E80" i="12"/>
  <c r="E79" i="12"/>
  <c r="E78" i="12"/>
  <c r="E77" i="12"/>
  <c r="E76" i="12"/>
  <c r="E75" i="12"/>
  <c r="E74" i="12"/>
  <c r="E73" i="12"/>
  <c r="E72" i="12"/>
  <c r="E71" i="12"/>
  <c r="E70" i="12"/>
  <c r="E69" i="12"/>
  <c r="E68" i="12"/>
  <c r="E67" i="12"/>
  <c r="E66" i="12"/>
  <c r="E65" i="12"/>
  <c r="E64" i="12"/>
  <c r="E63" i="12"/>
  <c r="E62" i="12"/>
  <c r="E61" i="12"/>
  <c r="E60" i="12"/>
  <c r="E59" i="12"/>
  <c r="E58" i="12"/>
  <c r="E57" i="12"/>
  <c r="E56" i="12"/>
  <c r="E55" i="12"/>
  <c r="E54" i="12"/>
  <c r="E53" i="12"/>
  <c r="E52" i="12"/>
  <c r="E51" i="12"/>
  <c r="E50" i="12"/>
  <c r="E49" i="12"/>
  <c r="E48" i="12"/>
  <c r="E47" i="12"/>
  <c r="E46" i="12"/>
  <c r="E45" i="12"/>
  <c r="E44" i="12"/>
  <c r="E43" i="12"/>
  <c r="E42" i="12"/>
  <c r="E41" i="12"/>
  <c r="E40" i="12"/>
  <c r="E39" i="12"/>
  <c r="E38" i="12"/>
  <c r="E37" i="12"/>
  <c r="E36" i="12"/>
  <c r="E35" i="12"/>
  <c r="E34" i="12"/>
  <c r="E33" i="12"/>
  <c r="E32" i="12"/>
  <c r="E31" i="12"/>
  <c r="E30" i="12"/>
  <c r="E29" i="12"/>
  <c r="E28" i="12"/>
  <c r="E27" i="12"/>
  <c r="E26" i="12"/>
  <c r="E25" i="12"/>
  <c r="E24" i="12"/>
  <c r="E23" i="12"/>
  <c r="E22" i="12"/>
  <c r="E21" i="12"/>
  <c r="E20" i="12"/>
  <c r="E19" i="12"/>
  <c r="E18" i="12"/>
  <c r="E17" i="12"/>
  <c r="E16" i="12"/>
  <c r="E15" i="12"/>
  <c r="E14" i="12"/>
  <c r="E13" i="12"/>
  <c r="E12" i="12"/>
  <c r="E11" i="12"/>
  <c r="E10" i="12"/>
  <c r="E9" i="12"/>
  <c r="E8" i="12"/>
  <c r="E7" i="12"/>
  <c r="E6" i="12"/>
  <c r="E5" i="12"/>
  <c r="E4" i="12"/>
  <c r="E3" i="12"/>
  <c r="E2" i="12"/>
  <c r="E3" i="8" l="1"/>
  <c r="E4" i="8"/>
  <c r="E5" i="8"/>
  <c r="E6"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E151" i="8"/>
  <c r="E152" i="8"/>
  <c r="E153" i="8"/>
  <c r="E154" i="8"/>
  <c r="E155" i="8"/>
  <c r="E156" i="8"/>
  <c r="E157" i="8"/>
  <c r="E158" i="8"/>
  <c r="E159" i="8"/>
  <c r="E160" i="8"/>
  <c r="E161" i="8"/>
  <c r="E162" i="8"/>
  <c r="E163" i="8"/>
  <c r="E164" i="8"/>
  <c r="E165" i="8"/>
  <c r="E166" i="8"/>
  <c r="E167" i="8"/>
  <c r="E168" i="8"/>
  <c r="E169" i="8"/>
  <c r="E170" i="8"/>
  <c r="E171" i="8"/>
  <c r="E172" i="8"/>
  <c r="E173" i="8"/>
  <c r="E174" i="8"/>
  <c r="E175" i="8"/>
  <c r="E176" i="8"/>
  <c r="E177" i="8"/>
  <c r="E178" i="8"/>
  <c r="E179" i="8"/>
  <c r="E180" i="8"/>
  <c r="E181" i="8"/>
  <c r="E182" i="8"/>
  <c r="E183" i="8"/>
  <c r="E184" i="8"/>
  <c r="E185" i="8"/>
  <c r="E186" i="8"/>
  <c r="E187" i="8"/>
  <c r="E188" i="8"/>
  <c r="E189" i="8"/>
  <c r="E190" i="8"/>
  <c r="E191" i="8"/>
  <c r="E192" i="8"/>
  <c r="E193" i="8"/>
  <c r="E194" i="8"/>
  <c r="E195" i="8"/>
  <c r="E196" i="8"/>
  <c r="E197" i="8"/>
  <c r="E198" i="8"/>
  <c r="E199" i="8"/>
  <c r="E200" i="8"/>
  <c r="E201" i="8"/>
  <c r="E202" i="8"/>
  <c r="E203" i="8"/>
  <c r="E204" i="8"/>
  <c r="E205" i="8"/>
  <c r="E206" i="8"/>
  <c r="E207" i="8"/>
  <c r="E208" i="8"/>
  <c r="E209" i="8"/>
  <c r="E210" i="8"/>
  <c r="E211" i="8"/>
  <c r="E212" i="8"/>
  <c r="E213" i="8"/>
  <c r="E214" i="8"/>
  <c r="E215" i="8"/>
  <c r="E216" i="8"/>
  <c r="E217" i="8"/>
  <c r="E218" i="8"/>
  <c r="E219" i="8"/>
  <c r="E220" i="8"/>
  <c r="E221" i="8"/>
  <c r="E222" i="8"/>
  <c r="E223" i="8"/>
  <c r="E224" i="8"/>
  <c r="E225" i="8"/>
  <c r="E226" i="8"/>
  <c r="E227" i="8"/>
  <c r="E228" i="8"/>
  <c r="E229" i="8"/>
  <c r="E230" i="8"/>
  <c r="E231" i="8"/>
  <c r="E232" i="8"/>
  <c r="E233" i="8"/>
  <c r="E234" i="8"/>
  <c r="E235" i="8"/>
  <c r="E236" i="8"/>
  <c r="E237" i="8"/>
  <c r="E238" i="8"/>
  <c r="E239" i="8"/>
  <c r="E240" i="8"/>
  <c r="E241" i="8"/>
  <c r="E242" i="8"/>
  <c r="E243" i="8"/>
  <c r="E244" i="8"/>
  <c r="E245" i="8"/>
  <c r="E246" i="8"/>
  <c r="E247" i="8"/>
  <c r="E248" i="8"/>
  <c r="E249" i="8"/>
  <c r="E250" i="8"/>
  <c r="E251" i="8"/>
  <c r="E252" i="8"/>
  <c r="E253" i="8"/>
  <c r="E254" i="8"/>
  <c r="E255" i="8"/>
  <c r="E256" i="8"/>
  <c r="E257" i="8"/>
  <c r="E258" i="8"/>
  <c r="E259" i="8"/>
  <c r="E260" i="8"/>
  <c r="E261" i="8"/>
  <c r="E262" i="8"/>
  <c r="E263" i="8"/>
  <c r="E264" i="8"/>
  <c r="E265" i="8"/>
  <c r="E266" i="8"/>
  <c r="E267" i="8"/>
  <c r="E268" i="8"/>
  <c r="E269" i="8"/>
  <c r="E270" i="8"/>
  <c r="E271" i="8"/>
  <c r="E272" i="8"/>
  <c r="E273" i="8"/>
  <c r="E274" i="8"/>
  <c r="E275" i="8"/>
  <c r="E276" i="8"/>
  <c r="E277" i="8"/>
  <c r="E278" i="8"/>
  <c r="E279" i="8"/>
  <c r="E280" i="8"/>
  <c r="E281" i="8"/>
  <c r="E282" i="8"/>
  <c r="E283" i="8"/>
  <c r="E284" i="8"/>
  <c r="E285" i="8"/>
  <c r="E286" i="8"/>
  <c r="E287" i="8"/>
  <c r="E288" i="8"/>
  <c r="E289" i="8"/>
  <c r="E290" i="8"/>
  <c r="E291" i="8"/>
  <c r="E292" i="8"/>
  <c r="E293" i="8"/>
  <c r="E294" i="8"/>
  <c r="E295" i="8"/>
  <c r="E296" i="8"/>
  <c r="E297" i="8"/>
  <c r="E298" i="8"/>
  <c r="E299" i="8"/>
  <c r="E300" i="8"/>
  <c r="E301" i="8"/>
  <c r="E302" i="8"/>
  <c r="E303" i="8"/>
  <c r="E304" i="8"/>
  <c r="E305" i="8"/>
  <c r="E306" i="8"/>
  <c r="E307" i="8"/>
  <c r="E308" i="8"/>
  <c r="E309" i="8"/>
  <c r="E310" i="8"/>
  <c r="E311" i="8"/>
  <c r="E312" i="8"/>
  <c r="E313" i="8"/>
  <c r="E314" i="8"/>
  <c r="E2" i="8"/>
</calcChain>
</file>

<file path=xl/sharedStrings.xml><?xml version="1.0" encoding="utf-8"?>
<sst xmlns="http://schemas.openxmlformats.org/spreadsheetml/2006/main" count="5370" uniqueCount="2686">
  <si>
    <t>COMPANY</t>
  </si>
  <si>
    <t>CONTACT</t>
  </si>
  <si>
    <t>ADDRESS 1</t>
  </si>
  <si>
    <t>CITY</t>
  </si>
  <si>
    <t>STATE</t>
  </si>
  <si>
    <t>ZIP</t>
  </si>
  <si>
    <t>TELEPHONE</t>
  </si>
  <si>
    <t>MOBILE</t>
  </si>
  <si>
    <t>LAST RESULTS</t>
  </si>
  <si>
    <t>E MAIL</t>
  </si>
  <si>
    <t>Web Site</t>
  </si>
  <si>
    <t>GROUP NAME</t>
  </si>
  <si>
    <t>Dallas, TX 75244</t>
  </si>
  <si>
    <t>Dallas</t>
  </si>
  <si>
    <t>Frisco, TX  75034</t>
  </si>
  <si>
    <t>Greenville, TX  75402</t>
  </si>
  <si>
    <t>TX</t>
  </si>
  <si>
    <t>OK</t>
  </si>
  <si>
    <t>Oklahoma City</t>
  </si>
  <si>
    <t>Frisco</t>
  </si>
  <si>
    <t>Greenville</t>
  </si>
  <si>
    <r>
      <rPr>
        <sz val="12"/>
        <color rgb="FF363434"/>
        <rFont val="Arial"/>
        <family val="2"/>
      </rPr>
      <t>,t.</t>
    </r>
  </si>
  <si>
    <r>
      <rPr>
        <sz val="16"/>
        <color rgb="FF363434"/>
        <rFont val="Times New Roman"/>
        <family val="1"/>
      </rPr>
      <t>;</t>
    </r>
    <r>
      <rPr>
        <vertAlign val="subscript"/>
        <sz val="10"/>
        <color rgb="FF363434"/>
        <rFont val="Times New Roman"/>
        <family val="1"/>
      </rPr>
      <t>e</t>
    </r>
    <r>
      <rPr>
        <sz val="16"/>
        <color rgb="FF363434"/>
        <rFont val="Times New Roman"/>
        <family val="1"/>
      </rPr>
      <t>:</t>
    </r>
    <r>
      <rPr>
        <vertAlign val="subscript"/>
        <sz val="10"/>
        <color rgb="FF696767"/>
        <rFont val="Times New Roman"/>
        <family val="1"/>
      </rPr>
      <t>·</t>
    </r>
    <r>
      <rPr>
        <sz val="16"/>
        <color rgb="FF363434"/>
        <rFont val="Times New Roman"/>
        <family val="1"/>
      </rPr>
      <t xml:space="preserve">-   </t>
    </r>
    <r>
      <rPr>
        <vertAlign val="subscript"/>
        <sz val="14"/>
        <color rgb="FF363434"/>
        <rFont val="Times New Roman"/>
        <family val="1"/>
      </rPr>
      <t>J</t>
    </r>
  </si>
  <si>
    <r>
      <rPr>
        <vertAlign val="superscript"/>
        <sz val="26"/>
        <color rgb="FF363434"/>
        <rFont val="Times New Roman"/>
        <family val="1"/>
      </rPr>
      <t>,</t>
    </r>
    <r>
      <rPr>
        <b/>
        <sz val="10"/>
        <color rgb="FF363434"/>
        <rFont val="Arial"/>
        <family val="2"/>
      </rPr>
      <t>f</t>
    </r>
    <r>
      <rPr>
        <b/>
        <sz val="10"/>
        <color rgb="FF363434"/>
        <rFont val="Times New Roman"/>
        <family val="1"/>
      </rPr>
      <t>:</t>
    </r>
    <r>
      <rPr>
        <vertAlign val="superscript"/>
        <sz val="26"/>
        <color rgb="FF363434"/>
        <rFont val="Times New Roman"/>
        <family val="1"/>
      </rPr>
      <t>--</t>
    </r>
    <r>
      <rPr>
        <sz val="10"/>
        <color rgb="FF696767"/>
        <rFont val="Arial"/>
        <family val="2"/>
      </rPr>
      <t>·</t>
    </r>
    <r>
      <rPr>
        <sz val="10"/>
        <color rgb="FF696767"/>
        <rFont val="Times New Roman"/>
        <family val="1"/>
      </rPr>
      <t xml:space="preserve"> </t>
    </r>
    <r>
      <rPr>
        <sz val="10"/>
        <color rgb="FF363434"/>
        <rFont val="Times New Roman"/>
        <family val="1"/>
      </rPr>
      <t>-</t>
    </r>
    <r>
      <rPr>
        <vertAlign val="superscript"/>
        <sz val="26"/>
        <color rgb="FF363434"/>
        <rFont val="Times New Roman"/>
        <family val="1"/>
      </rPr>
      <t>:</t>
    </r>
    <r>
      <rPr>
        <sz val="10"/>
        <color rgb="FF363434"/>
        <rFont val="Arial"/>
        <family val="2"/>
      </rPr>
      <t>'.</t>
    </r>
    <r>
      <rPr>
        <sz val="10"/>
        <color rgb="FF363434"/>
        <rFont val="Times New Roman"/>
        <family val="1"/>
      </rPr>
      <t>:</t>
    </r>
    <r>
      <rPr>
        <vertAlign val="superscript"/>
        <sz val="26"/>
        <color rgb="FF363434"/>
        <rFont val="Times New Roman"/>
        <family val="1"/>
      </rPr>
      <t>,</t>
    </r>
    <r>
      <rPr>
        <sz val="10"/>
        <color rgb="FF363434"/>
        <rFont val="Arial"/>
        <family val="2"/>
      </rPr>
      <t>'</t>
    </r>
    <r>
      <rPr>
        <sz val="10"/>
        <color rgb="FF363434"/>
        <rFont val="Times New Roman"/>
        <family val="1"/>
      </rPr>
      <t xml:space="preserve">     </t>
    </r>
    <r>
      <rPr>
        <sz val="11"/>
        <color rgb="FF363434"/>
        <rFont val="Times New Roman"/>
        <family val="1"/>
      </rPr>
      <t>1  ·.   _.·</t>
    </r>
  </si>
  <si>
    <r>
      <rPr>
        <sz val="20"/>
        <color rgb="FF363434"/>
        <rFont val="Times New Roman"/>
        <family val="1"/>
      </rPr>
      <t>f:"1</t>
    </r>
    <r>
      <rPr>
        <sz val="20"/>
        <color rgb="FF363434"/>
        <rFont val="Arial"/>
        <family val="2"/>
      </rPr>
      <t xml:space="preserve">1  ·.  </t>
    </r>
    <r>
      <rPr>
        <b/>
        <sz val="11"/>
        <color rgb="FF363434"/>
        <rFont val="Arial"/>
        <family val="2"/>
      </rPr>
      <t xml:space="preserve">1/.\:;:;!        </t>
    </r>
    <r>
      <rPr>
        <sz val="42"/>
        <color rgb="FF363434"/>
        <rFont val="Arial"/>
        <family val="2"/>
      </rPr>
      <t>lli</t>
    </r>
  </si>
  <si>
    <r>
      <rPr>
        <sz val="12"/>
        <color rgb="FF363434"/>
        <rFont val="Arial"/>
        <family val="2"/>
      </rPr>
      <t>BEFORE THE CORPORATION COMMISSION</t>
    </r>
  </si>
  <si>
    <r>
      <rPr>
        <sz val="34"/>
        <color rgb="FF363434"/>
        <rFont val="Times New Roman"/>
        <family val="1"/>
      </rPr>
      <t xml:space="preserve">I   </t>
    </r>
    <r>
      <rPr>
        <sz val="13"/>
        <color rgb="FF363434"/>
        <rFont val="Arial"/>
        <family val="2"/>
      </rPr>
      <t>OC</t>
    </r>
    <r>
      <rPr>
        <sz val="13"/>
        <color rgb="FF363434"/>
        <rFont val="Times New Roman"/>
        <family val="1"/>
      </rPr>
      <t xml:space="preserve">T 2  8  </t>
    </r>
    <r>
      <rPr>
        <sz val="14"/>
        <color rgb="FF363434"/>
        <rFont val="Times New Roman"/>
        <family val="1"/>
      </rPr>
      <t xml:space="preserve">2016   </t>
    </r>
    <r>
      <rPr>
        <sz val="14"/>
        <color rgb="FF696767"/>
        <rFont val="Times New Roman"/>
        <family val="1"/>
      </rPr>
      <t xml:space="preserve">, </t>
    </r>
    <r>
      <rPr>
        <sz val="14"/>
        <color rgb="FF363434"/>
        <rFont val="Times New Roman"/>
        <family val="1"/>
      </rPr>
      <t>'; .,:;:</t>
    </r>
  </si>
  <si>
    <r>
      <rPr>
        <sz val="12"/>
        <color rgb="FF363434"/>
        <rFont val="Arial"/>
        <family val="2"/>
      </rPr>
      <t>OF THE STATE OF OKLAHOMA</t>
    </r>
  </si>
  <si>
    <r>
      <rPr>
        <u/>
        <sz val="12"/>
        <color rgb="FF363434"/>
        <rFont val="Arial"/>
        <family val="2"/>
      </rPr>
      <t>APPLICANT</t>
    </r>
    <r>
      <rPr>
        <sz val="12"/>
        <color rgb="FF363434"/>
        <rFont val="Arial"/>
        <family val="2"/>
      </rPr>
      <t>:                       GASTAR EXPLORATION INC.</t>
    </r>
  </si>
  <si>
    <r>
      <rPr>
        <sz val="12"/>
        <color rgb="FF363434"/>
        <rFont val="Arial"/>
        <family val="2"/>
      </rPr>
      <t>R</t>
    </r>
    <r>
      <rPr>
        <u/>
        <sz val="12"/>
        <color rgb="FF363434"/>
        <rFont val="Arial"/>
        <family val="2"/>
      </rPr>
      <t>E</t>
    </r>
    <r>
      <rPr>
        <sz val="12"/>
        <color rgb="FF363434"/>
        <rFont val="Arial"/>
        <family val="2"/>
      </rPr>
      <t xml:space="preserve">LIEF SOUGHT:              POOLING </t>
    </r>
    <r>
      <rPr>
        <u/>
        <sz val="12"/>
        <color rgb="FF363434"/>
        <rFont val="Arial"/>
        <family val="2"/>
      </rPr>
      <t>LEGAL DESCRIPTION</t>
    </r>
    <r>
      <rPr>
        <sz val="12"/>
        <color rgb="FF363434"/>
        <rFont val="Arial"/>
        <family val="2"/>
      </rPr>
      <t>:     SECTION 32,</t>
    </r>
  </si>
  <si>
    <r>
      <rPr>
        <sz val="12"/>
        <color rgb="FF363434"/>
        <rFont val="Arial"/>
        <family val="2"/>
      </rPr>
      <t>TOWNSHIP 18 NORTH,</t>
    </r>
  </si>
  <si>
    <r>
      <rPr>
        <sz val="12"/>
        <color rgb="FF363434"/>
        <rFont val="Arial"/>
        <family val="2"/>
      </rPr>
      <t>RANGE 6 WEST,</t>
    </r>
  </si>
  <si>
    <r>
      <rPr>
        <sz val="12"/>
        <color rgb="FF363434"/>
        <rFont val="Arial"/>
        <family val="2"/>
      </rPr>
      <t>KINGFISHER  COUNTY, OKLAHOMA</t>
    </r>
  </si>
  <si>
    <r>
      <rPr>
        <b/>
        <sz val="11"/>
        <color rgb="FF363434"/>
        <rFont val="Arial"/>
        <family val="2"/>
      </rPr>
      <t>NOTICE OF H</t>
    </r>
    <r>
      <rPr>
        <b/>
        <u/>
        <sz val="11"/>
        <color rgb="FF363434"/>
        <rFont val="Arial"/>
        <family val="2"/>
      </rPr>
      <t>E</t>
    </r>
    <r>
      <rPr>
        <b/>
        <sz val="11"/>
        <color rgb="FF363434"/>
        <rFont val="Arial"/>
        <family val="2"/>
      </rPr>
      <t>ARING</t>
    </r>
  </si>
  <si>
    <r>
      <rPr>
        <sz val="9"/>
        <color rgb="FF363434"/>
        <rFont val="Arial"/>
        <family val="2"/>
      </rPr>
      <t>COURT CLERi-&lt;.'S OFF!CE - OKC</t>
    </r>
  </si>
  <si>
    <r>
      <rPr>
        <sz val="9"/>
        <color rgb="FF363434"/>
        <rFont val="Arial"/>
        <family val="2"/>
      </rPr>
      <t>CORPORATION  COMMISSION</t>
    </r>
  </si>
  <si>
    <r>
      <rPr>
        <sz val="9"/>
        <color rgb="FF363434"/>
        <rFont val="Arial"/>
        <family val="2"/>
      </rPr>
      <t>)                     OF OKLAHOMA</t>
    </r>
  </si>
  <si>
    <r>
      <rPr>
        <sz val="12"/>
        <color rgb="FF363434"/>
        <rFont val="Times New Roman"/>
        <family val="1"/>
      </rPr>
      <t>)</t>
    </r>
  </si>
  <si>
    <r>
      <rPr>
        <sz val="12"/>
        <color rgb="FF363434"/>
        <rFont val="Arial"/>
        <family val="2"/>
      </rPr>
      <t>) CAUSE CD NO.</t>
    </r>
  </si>
  <si>
    <r>
      <rPr>
        <sz val="13"/>
        <color rgb="FF363434"/>
        <rFont val="Times New Roman"/>
        <family val="1"/>
      </rPr>
      <t>)</t>
    </r>
    <r>
      <rPr>
        <sz val="13"/>
        <color rgb="FF363434"/>
        <rFont val="Arial"/>
        <family val="2"/>
      </rPr>
      <t xml:space="preserve"> </t>
    </r>
    <r>
      <rPr>
        <u/>
        <sz val="13"/>
        <color rgb="FF363434"/>
        <rFont val="Arial"/>
        <family val="2"/>
      </rPr>
      <t>2</t>
    </r>
    <r>
      <rPr>
        <sz val="13"/>
        <color rgb="FF363434"/>
        <rFont val="Arial"/>
        <family val="2"/>
      </rPr>
      <t xml:space="preserve">016 </t>
    </r>
    <r>
      <rPr>
        <sz val="15"/>
        <color rgb="FF363434"/>
        <rFont val="Arial"/>
        <family val="2"/>
      </rPr>
      <t>0 4 88 2</t>
    </r>
  </si>
  <si>
    <r>
      <rPr>
        <sz val="12"/>
        <color rgb="FF363434"/>
        <rFont val="Arial"/>
        <family val="2"/>
      </rPr>
      <t>)</t>
    </r>
  </si>
  <si>
    <r>
      <rPr>
        <sz val="11"/>
        <color rgb="FF363434"/>
        <rFont val="Arial"/>
        <family val="2"/>
      </rPr>
      <t xml:space="preserve">STATE OF OKLAHOMA TO:   A.M. Mouser;  Adam Lane Duffy;  Alberta Hayden;  Alberta Hayden;  Alice May Renshaw;   Alice May Renshaw;  Altman Engineering, Inc.;  Amy J. Falken; Amy Branch Blake;  Angela Renee Rozniata;  Angela Renee Rozniata;  Anna Elizabeth Dolton; Anna Elizabeth Dolton;  Anna Elizabeth Dolton;  Annette Vaden;  Annette Vaden;  Annette Vaden; Arthur Milton Mouser, Jr., a/k/a Arthur Mouser, Jr.;  Barbara Chaney;  Barbara Chaney;  Barrett Drilling Company;  Bessylee D. Penland;   Bessylee D. Penland;   Bessylee D. Penland;   Bethel Shover Corder;  Bethel Shover Corder; Bethel Shover Corder; Bedard and Hale Drilling Company; Bedard Minerals, LLC;   Bonnie Renshaw;   Bonnie Renshaw;   Bonnie Renshaw;   Brook  Willie; Brooksie Jeanne Agnich;  Brooksie Jeanne Agnich;  Brooksie Jeanne Agnich;  Brown and Borelli, Inc.;  Burleigh B. Renshaw;  Carol J. Castonguay Trustee of the Carol J. Castonguay Living Trust dated May 13, 1991;  Carol </t>
    </r>
    <r>
      <rPr>
        <sz val="12"/>
        <color rgb="FF363434"/>
        <rFont val="Arial"/>
        <family val="2"/>
      </rPr>
      <t xml:space="preserve">L. </t>
    </r>
    <r>
      <rPr>
        <sz val="11"/>
        <color rgb="FF363434"/>
        <rFont val="Arial"/>
        <family val="2"/>
      </rPr>
      <t>Jameson and William Madison Jameson, Co-Trustees of the Carol</t>
    </r>
  </si>
  <si>
    <r>
      <rPr>
        <sz val="11"/>
        <color rgb="FF363434"/>
        <rFont val="Arial"/>
        <family val="2"/>
      </rPr>
      <t xml:space="preserve">L. Jameson 1996 Revocable Trust dated the 25th day of November, 1996;  Carol </t>
    </r>
    <r>
      <rPr>
        <sz val="12"/>
        <color rgb="FF363434"/>
        <rFont val="Arial"/>
        <family val="2"/>
      </rPr>
      <t xml:space="preserve">L. </t>
    </r>
    <r>
      <rPr>
        <sz val="11"/>
        <color rgb="FF363434"/>
        <rFont val="Arial"/>
        <family val="2"/>
      </rPr>
      <t>Ridgeway;</t>
    </r>
  </si>
  <si>
    <r>
      <rPr>
        <sz val="11"/>
        <color rgb="FF363434"/>
        <rFont val="Arial"/>
        <family val="2"/>
      </rPr>
      <t>Chancey  Dawn  Duffy-Hailey;     Chaparral  Energy,  L.L.C.;    Chesapeake  Exploration,  L.L.C.; Christopher Borelli;  Christopher H. Chaney;  Clinton James Duffy;  Cynthia A. Renshaw;  Daniel Brown;  Daryl Jean Wilcox Jehle;  David Brown;  David E. Renshaw;  David E. Renshaw;  David</t>
    </r>
  </si>
  <si>
    <r>
      <rPr>
        <sz val="11"/>
        <color rgb="FF363434"/>
        <rFont val="Arial"/>
        <family val="2"/>
      </rPr>
      <t>E. Renshaw;  David E. Renshaw;  David Ellery Renshaw, Jr.;  David Ellery Renshaw, Jr.;  David Ernest Renshaw;  David H. Ingle and Twila Rae Ingle, HW, JT;  Dean A. Fleshman &amp; Carole S. Johnson,  Trustees;   Dennis  Wilcox;   Devon Energy  Production  Company,  L.P., successor  by merger with Ocean Energy, Inc., successor by merger with Seagull Energy E&amp;P Inc., successor by merger with Seagull Midcon Inc.;  Diana Bogle;  Donald Corder;  Donald Lee Wilcox;  Dorothy Braun Poole;   Dorothy  Dolton Brewton;   Dorothy Lee Hoskins,  as Trustee  of the Dorothy Lee Hoskins Trust Dated September 23, 1996;   Dover Lee M. Gorton;   Elly B. Beard and Trudy K. Martin, Trustee of the Elly B. Beard 2007 Trust;  Eula Madge Shover Wilcox;   F.W. Brown and Barbara Borelli Brown, HW, JTWROS;  Francis J. Borelli, Ill;  Frank E McGinity;  Fred W. Brown;</t>
    </r>
  </si>
  <si>
    <r>
      <rPr>
        <sz val="11"/>
        <color rgb="FF363434"/>
        <rFont val="Arial"/>
        <family val="2"/>
      </rPr>
      <t>G. Michael Borelli;  Gloria Wilcox;  Greg Borelli, Special;  Inland Land LLC;  Iola Corder;  Ivan L. Gorton;  James Willard Duffy;  J. Patrick Borelli;  J.T. Shover and Vi Shover;  J.T. Shover and Vi Shover; J.T. Shover and Vi Shover;  James Powers Branch; Jarod William Clifton Hayden;  JoAnn</t>
    </r>
  </si>
  <si>
    <r>
      <rPr>
        <sz val="11"/>
        <color rgb="FF363434"/>
        <rFont val="Arial"/>
        <family val="2"/>
      </rPr>
      <t>C. Riggs;  Joe B. Renshaw;  Joe B. Renshaw;  Joe B. Renshaw;  Joe L. Thompson;  John Charles Renshaw, Jr.;  John Clifford Shover;  John M. Beard;  John M. Beard &amp; Elly 8. Beard, Trustees of the John M. Beard Trust dated 11/06/92 as amended and restated January 28, 1994 FBO John M. Beard;  Joy Lynn States;  Joy Lynn States and Maydonna States, HW, JT;  Judy Corder Thomas</t>
    </r>
  </si>
  <si>
    <r>
      <rPr>
        <sz val="11"/>
        <color rgb="FF363434"/>
        <rFont val="Arial"/>
        <family val="2"/>
      </rPr>
      <t xml:space="preserve">;  Julia Agnich Klein;  Karen Branch Walker;  Kathy Corder;  KayLonni Dawn Williams;  Kent Tyler Williams;   Kerry Brown McPhail f/k/a Kenny Brown;  Kristen Branch Trigg;  Leo George States; Leonard </t>
    </r>
    <r>
      <rPr>
        <sz val="10"/>
        <color rgb="FF363434"/>
        <rFont val="Arial"/>
        <family val="2"/>
      </rPr>
      <t xml:space="preserve">&amp; </t>
    </r>
    <r>
      <rPr>
        <sz val="11"/>
        <color rgb="FF363434"/>
        <rFont val="Arial"/>
        <family val="2"/>
      </rPr>
      <t>Helen Penney; Linda June Olmstead;  Linda K. Borelli;  Louise Shepherd Mouser, a/k/a Martha Louise  Shepherd  Mouser;   Louise  Shepherd  Mouser,  a/k/a  Martha  Louise  Shepherd Mouser;  Madge Shover Wilcox;  Marie E. Wilcox, Life Estate;  Mary Mouser, a/k/a Mary Mouser</t>
    </r>
  </si>
  <si>
    <r>
      <rPr>
        <sz val="11"/>
        <color rgb="FF363434"/>
        <rFont val="Arial"/>
        <family val="2"/>
      </rPr>
      <t>Branc   -a</t>
    </r>
    <r>
      <rPr>
        <sz val="11"/>
        <color rgb="FF825D54"/>
        <rFont val="Arial"/>
        <family val="2"/>
      </rPr>
      <t xml:space="preserve">{ </t>
    </r>
    <r>
      <rPr>
        <sz val="11"/>
        <color rgb="FF363434"/>
        <rFont val="Arial"/>
        <family val="2"/>
      </rPr>
      <t>k/ a</t>
    </r>
    <r>
      <rPr>
        <sz val="11"/>
        <color rgb="FFF49C82"/>
        <rFont val="Arial"/>
        <family val="2"/>
      </rPr>
      <t xml:space="preserve">b </t>
    </r>
    <r>
      <rPr>
        <sz val="11"/>
        <color rgb="FF363434"/>
        <rFont val="Arial"/>
        <family val="2"/>
      </rPr>
      <t>Ma ry Ann r,.itou se'</t>
    </r>
    <r>
      <rPr>
        <sz val="11"/>
        <color rgb="FF825D54"/>
        <rFont val="Arial"/>
        <family val="2"/>
      </rPr>
      <t xml:space="preserve">f </t>
    </r>
    <r>
      <rPr>
        <sz val="11"/>
        <color rgb="FF363434"/>
        <rFont val="Arial"/>
        <family val="2"/>
      </rPr>
      <t xml:space="preserve">Branch </t>
    </r>
    <r>
      <rPr>
        <sz val="11"/>
        <color rgb="FF825D54"/>
        <rFont val="Arial"/>
        <family val="2"/>
      </rPr>
      <t xml:space="preserve">; </t>
    </r>
    <r>
      <rPr>
        <sz val="11"/>
        <color rgb="FFF49C82"/>
        <rFont val="Arial"/>
        <family val="2"/>
      </rPr>
      <t>·</t>
    </r>
    <r>
      <rPr>
        <sz val="11"/>
        <color rgb="FF363434"/>
        <rFont val="Arial"/>
        <family val="2"/>
      </rPr>
      <t>Ma ry</t>
    </r>
    <r>
      <rPr>
        <sz val="11"/>
        <color rgb="FFF49C82"/>
        <rFont val="Arial"/>
        <family val="2"/>
      </rPr>
      <t>_</t>
    </r>
    <r>
      <rPr>
        <sz val="11"/>
        <color rgb="FF363434"/>
        <rFont val="Arial"/>
        <family val="2"/>
      </rPr>
      <t xml:space="preserve">Mp0     </t>
    </r>
    <r>
      <rPr>
        <sz val="11"/>
        <color rgb="FF604B46"/>
        <rFont val="Arial"/>
        <family val="2"/>
      </rPr>
      <t xml:space="preserve">i  </t>
    </r>
    <r>
      <rPr>
        <sz val="11"/>
        <color rgb="FF363434"/>
        <rFont val="Arial"/>
        <family val="2"/>
      </rPr>
      <t>e</t>
    </r>
    <r>
      <rPr>
        <vertAlign val="superscript"/>
        <sz val="7"/>
        <color rgb="FFF49C82"/>
        <rFont val="Arial"/>
        <family val="2"/>
      </rPr>
      <t>1</t>
    </r>
    <r>
      <rPr>
        <sz val="11"/>
        <color rgb="FF363434"/>
        <rFont val="Arial"/>
        <family val="2"/>
      </rPr>
      <t xml:space="preserve">r  a/k/a      </t>
    </r>
    <r>
      <rPr>
        <sz val="12"/>
        <color rgb="FF363434"/>
        <rFont val="Arial"/>
        <family val="2"/>
      </rPr>
      <t xml:space="preserve">ry </t>
    </r>
    <r>
      <rPr>
        <sz val="11"/>
        <color rgb="FF363434"/>
        <rFont val="Arial"/>
        <family val="2"/>
      </rPr>
      <t xml:space="preserve">Mouser Branch, </t>
    </r>
    <r>
      <rPr>
        <i/>
        <sz val="14"/>
        <color rgb="FF363434"/>
        <rFont val="Arial"/>
        <family val="2"/>
      </rPr>
      <t>al</t>
    </r>
    <r>
      <rPr>
        <i/>
        <sz val="14"/>
        <color rgb="FF604B46"/>
        <rFont val="Arial"/>
        <family val="2"/>
      </rPr>
      <t>l&lt;£</t>
    </r>
    <r>
      <rPr>
        <i/>
        <sz val="14"/>
        <color rgb="FF363434"/>
        <rFont val="Arial"/>
        <family val="2"/>
      </rPr>
      <t xml:space="preserve">a </t>
    </r>
    <r>
      <rPr>
        <sz val="11"/>
        <color rgb="FF363434"/>
        <rFont val="Arial"/>
        <family val="2"/>
      </rPr>
      <t>ary Ann</t>
    </r>
  </si>
  <si>
    <r>
      <rPr>
        <sz val="7"/>
        <color rgb="FFA16E60"/>
        <rFont val="Arial"/>
        <family val="2"/>
      </rPr>
      <t>0</t>
    </r>
    <r>
      <rPr>
        <sz val="7"/>
        <color rgb="FFA16E60"/>
        <rFont val="Times New Roman"/>
        <family val="1"/>
      </rPr>
      <t xml:space="preserve">                                                                                                                         </t>
    </r>
    <r>
      <rPr>
        <sz val="7"/>
        <color rgb="FF825D54"/>
        <rFont val="Times New Roman"/>
        <family val="1"/>
      </rPr>
      <t>1</t>
    </r>
    <r>
      <rPr>
        <sz val="7"/>
        <color rgb="FFF49C82"/>
        <rFont val="Times New Roman"/>
        <family val="1"/>
      </rPr>
      <t>0</t>
    </r>
  </si>
  <si>
    <r>
      <rPr>
        <sz val="11"/>
        <color rgb="FF363434"/>
        <rFont val="Arial"/>
        <family val="2"/>
      </rPr>
      <t>Mouser Branch;  Mary Mouser, a/k/a Mary Mouser Branch, a/k/a Mary Ann Mouser Branch;  Mary</t>
    </r>
  </si>
  <si>
    <r>
      <rPr>
        <sz val="9"/>
        <color rgb="FF363434"/>
        <rFont val="Arial"/>
        <family val="2"/>
      </rPr>
      <t>APPLICANT:           GASTAR EXPLORATION INC</t>
    </r>
    <r>
      <rPr>
        <sz val="9"/>
        <color rgb="FF504F4F"/>
        <rFont val="Arial"/>
        <family val="2"/>
      </rPr>
      <t xml:space="preserve">. </t>
    </r>
    <r>
      <rPr>
        <sz val="9"/>
        <color rgb="FF363434"/>
        <rFont val="Arial"/>
        <family val="2"/>
      </rPr>
      <t>CAUSE CD NO.:  201,  ---      NOTICE OF HEARING</t>
    </r>
  </si>
  <si>
    <r>
      <rPr>
        <sz val="10"/>
        <color rgb="FF363434"/>
        <rFont val="Arial"/>
        <family val="2"/>
      </rPr>
      <t xml:space="preserve">Mouser,  a/k/a  Mary  Mouser  Branch,  a/k/a  Mary  Ann  Mouser  Branch;    Maudleigh  Renshaw; Maudleigh Renshaw; Maudleigh Renshaw;  Mayme Alberta Keith Renshaw;  Mayme Alberta Keith Renshaw;  Mayme Alberta Keith Renshaw;  Michael J. &amp; Gwendolyn </t>
    </r>
    <r>
      <rPr>
        <sz val="12"/>
        <color rgb="FF363434"/>
        <rFont val="Times New Roman"/>
        <family val="1"/>
      </rPr>
      <t>J</t>
    </r>
    <r>
      <rPr>
        <sz val="12"/>
        <color rgb="FF363434"/>
        <rFont val="Arial"/>
        <family val="2"/>
      </rPr>
      <t xml:space="preserve">. </t>
    </r>
    <r>
      <rPr>
        <sz val="10"/>
        <color rgb="FF363434"/>
        <rFont val="Arial"/>
        <family val="2"/>
      </rPr>
      <t xml:space="preserve">Francis, h&amp;w;  Melva Ruth Drury;  Merle G. Gorton;   MFP </t>
    </r>
    <r>
      <rPr>
        <sz val="12"/>
        <color rgb="FF363434"/>
        <rFont val="Times New Roman"/>
        <family val="1"/>
      </rPr>
      <t>11,</t>
    </r>
    <r>
      <rPr>
        <sz val="12"/>
        <color rgb="FF363434"/>
        <rFont val="Arial"/>
        <family val="2"/>
      </rPr>
      <t xml:space="preserve"> </t>
    </r>
    <r>
      <rPr>
        <sz val="10"/>
        <color rgb="FF363434"/>
        <rFont val="Arial"/>
        <family val="2"/>
      </rPr>
      <t xml:space="preserve">Petroleum Limited Partnership;   Nena Burton Renshaw;   Nita Renshaw;  Noram Petroleum Corporation;  Norma Lee States;  Oklahoma Energy Acquisitions, LP; Oliver Dene States;  Oliver M. Renshaw;  Pamela Anderson;  Pat Borelli Family Trust;  Patrick H. Chaney;  Patrick H. Chaney;   Pearl H. Shover;  Pebble Fry;  Raymond Willie;   Raymond Willie; Raymond Willie;   Rescate Royalties, LP.;  Sandra Corder;   Southern Methodist University;  Teal Royalties, LLC;  Teolis, LLC ;  Tessie Renshaw;  Thompson Living Trust;  Twenty/Twenty  Oil &amp; Gas,  Inc.;   Velma Corder;   Vernon W. Shover;   Vernon W.  Shover, Ruby M. Shover, John </t>
    </r>
    <r>
      <rPr>
        <sz val="11"/>
        <color rgb="FF363434"/>
        <rFont val="Arial"/>
        <family val="2"/>
      </rPr>
      <t xml:space="preserve">L. </t>
    </r>
    <r>
      <rPr>
        <sz val="10"/>
        <color rgb="FF363434"/>
        <rFont val="Arial"/>
        <family val="2"/>
      </rPr>
      <t>Shover, and Nancy L. Combs, JTWROS;  Vernon Woodard Corder;  Virgie M. Mclemore;  Virginia Lee Brewton Seeligson;  Virginia Shutler Trust;  W.R. Renshaw (Possibly Deceased on 3/11/1957 in Maricopa County, AZ, See note 4);  Waller Family Enterprises, LLC;  William D. Kiser, Trustee</t>
    </r>
  </si>
  <si>
    <r>
      <rPr>
        <sz val="10"/>
        <color rgb="FF363434"/>
        <rFont val="Arial"/>
        <family val="2"/>
      </rPr>
      <t>of the William D. Kiser2013 Trust; William Glenn Shover, Assumed Deceased Per ADH 2804/195, dated 6/3/15;  William Jap Renshaw;  Wilma Joan Duffy; Richard Mack;  and all persons, owners, producers,  operators,  purchasers  and  takers  of  oil  and  gas  and  all  other interested  persons, particularly in Kingfisher County, Oklahoma,  and if any of the individuals are deceased, or if any of  the  companies  are  no  longer  in  existence,  the  unknown  heirs,  executors,  administrators, devisees, trustees, successors and assigns, immediate and remote, of the named parties.</t>
    </r>
  </si>
  <si>
    <r>
      <rPr>
        <sz val="10"/>
        <color rgb="FF363434"/>
        <rFont val="Arial"/>
        <family val="2"/>
      </rPr>
      <t>NOTICE IS HEREBY GIVEN that the Applicant in this cause is requesting the Commission pool the  interests, designate an operator,  and  adjudicate  the  rights and equities  of oil and gas owners in  the  Mississippian  and  Woodford  common  sources  of  supply underlying  Section  32, Township 18 North</t>
    </r>
    <r>
      <rPr>
        <sz val="10"/>
        <color rgb="FF504F4F"/>
        <rFont val="Arial"/>
        <family val="2"/>
      </rPr>
      <t xml:space="preserve">, </t>
    </r>
    <r>
      <rPr>
        <sz val="10"/>
        <color rgb="FF363434"/>
        <rFont val="Arial"/>
        <family val="2"/>
      </rPr>
      <t>Range 6 West, Kingfisher County, Oklahoma.</t>
    </r>
  </si>
  <si>
    <r>
      <rPr>
        <sz val="10"/>
        <color rgb="FF363434"/>
        <rFont val="Arial"/>
        <family val="2"/>
      </rPr>
      <t>NOTICE IS FURTHER GIVEN that the Applicant in this cause is requesting the following special  relief:    to  designate  the  Applicant  or  some  other  party  as  Operator  of  the  unit  well. Applicant is further requesting that the Order to be entered in this cause be made effective on a date prior to  the date of the  Order.   Applicant may request up to  one year from the date  of the Order to enter in this cause, with which to commence the initial well.</t>
    </r>
  </si>
  <si>
    <r>
      <rPr>
        <sz val="10"/>
        <color rgb="FF363434"/>
        <rFont val="Arial"/>
        <family val="2"/>
      </rPr>
      <t xml:space="preserve">NOTICE </t>
    </r>
    <r>
      <rPr>
        <sz val="12"/>
        <color rgb="FF363434"/>
        <rFont val="Arial"/>
        <family val="2"/>
      </rPr>
      <t xml:space="preserve">1S </t>
    </r>
    <r>
      <rPr>
        <sz val="10"/>
        <color rgb="FF363434"/>
        <rFont val="Arial"/>
        <family val="2"/>
      </rPr>
      <t>FURTHER GIVEN that this cause be set before an Administrative Law Judge for hearing, taking of evidence and reporting to the Commission.</t>
    </r>
  </si>
  <si>
    <r>
      <rPr>
        <sz val="10"/>
        <color rgb="FF363434"/>
        <rFont val="Arial"/>
        <family val="2"/>
      </rPr>
      <t>NOTICE IS FURTHER GIVEN that this cause will be heard before an Administrative Law Judge  on  the  Initial  Hearing  Docket  at  the  Corporation  Commission,  Jim  Thorpe  Building, Oklahoma City, Oklahoma, at 8:30 a.m., on the 22nd day of November, 2016, and that this Notice be published as required by law and the Rules of the Commission.</t>
    </r>
  </si>
  <si>
    <r>
      <rPr>
        <u/>
        <sz val="10"/>
        <color rgb="FF363434"/>
        <rFont val="Arial"/>
        <family val="2"/>
      </rPr>
      <t>NOTICE  IS  FURTHER  GIVEN  that  the  Applicant  and  interested  parties  may  present</t>
    </r>
    <r>
      <rPr>
        <sz val="10"/>
        <color rgb="FF363434"/>
        <rFont val="Arial"/>
        <family val="2"/>
      </rPr>
      <t xml:space="preserve"> </t>
    </r>
    <r>
      <rPr>
        <u/>
        <sz val="10"/>
        <color rgb="FF363434"/>
        <rFont val="Arial"/>
        <family val="2"/>
      </rPr>
      <t>testimony  by  telephone.   The  cost  of telephonic  communication  shall be paid by the person or</t>
    </r>
    <r>
      <rPr>
        <sz val="10"/>
        <color rgb="FF363434"/>
        <rFont val="Arial"/>
        <family val="2"/>
      </rPr>
      <t xml:space="preserve"> </t>
    </r>
    <r>
      <rPr>
        <u/>
        <sz val="10"/>
        <color rgb="FF363434"/>
        <rFont val="Arial"/>
        <family val="2"/>
      </rPr>
      <t>persons requesting its use.  Interested parties who wish to participate by telephone shall contact</t>
    </r>
    <r>
      <rPr>
        <sz val="10"/>
        <color rgb="FF363434"/>
        <rFont val="Arial"/>
        <family val="2"/>
      </rPr>
      <t xml:space="preserve"> </t>
    </r>
    <r>
      <rPr>
        <u/>
        <sz val="10"/>
        <color rgb="FF363434"/>
        <rFont val="Arial"/>
        <family val="2"/>
      </rPr>
      <t>the  Applicant  or  Applicant's  attorney,  prior  to  the  hearing  date,  and  provide  their  name  and</t>
    </r>
    <r>
      <rPr>
        <sz val="10"/>
        <color rgb="FF363434"/>
        <rFont val="Arial"/>
        <family val="2"/>
      </rPr>
      <t xml:space="preserve"> </t>
    </r>
    <r>
      <rPr>
        <u/>
        <sz val="10"/>
        <color rgb="FF363434"/>
        <rFont val="Arial"/>
        <family val="2"/>
      </rPr>
      <t>telephone number.</t>
    </r>
  </si>
  <si>
    <r>
      <rPr>
        <sz val="9"/>
        <color rgb="FF363434"/>
        <rFont val="Arial"/>
        <family val="2"/>
      </rPr>
      <t>APPLICANT:           GASTAR EXPLORATION INC.</t>
    </r>
  </si>
  <si>
    <r>
      <rPr>
        <sz val="9"/>
        <color rgb="FF363434"/>
        <rFont val="Arial"/>
        <family val="2"/>
      </rPr>
      <t>CAUSE CD NO.:      201</t>
    </r>
    <r>
      <rPr>
        <u/>
        <sz val="9"/>
        <color rgb="FF363434"/>
        <rFont val="Arial"/>
        <family val="2"/>
      </rPr>
      <t>      </t>
    </r>
    <r>
      <rPr>
        <sz val="9"/>
        <color rgb="FF363434"/>
        <rFont val="Arial"/>
        <family val="2"/>
      </rPr>
      <t xml:space="preserve">           _ NOTICE OF HEARING</t>
    </r>
  </si>
  <si>
    <r>
      <rPr>
        <sz val="11"/>
        <color rgb="FF363434"/>
        <rFont val="Arial"/>
        <family val="2"/>
      </rPr>
      <t xml:space="preserve">NOTICE IS FURTHER GIVEN that all interested persons may appear and be heard.  For information concerning this action, contact </t>
    </r>
    <r>
      <rPr>
        <b/>
        <sz val="11"/>
        <color rgb="FF363434"/>
        <rFont val="Arial"/>
        <family val="2"/>
      </rPr>
      <t xml:space="preserve">JACK ELLIOTT, Gastar Exploration Inc., 1331 Lamar, Suite  650,  Houston,  TX  77010,  Email:  jelliott@gastar.com;  Office:  (405)  772-1522,  </t>
    </r>
    <r>
      <rPr>
        <sz val="11"/>
        <color rgb="FF363434"/>
        <rFont val="Arial"/>
        <family val="2"/>
      </rPr>
      <t xml:space="preserve">OR RICHARD  </t>
    </r>
    <r>
      <rPr>
        <sz val="12"/>
        <color rgb="FF363434"/>
        <rFont val="Arial"/>
        <family val="2"/>
      </rPr>
      <t xml:space="preserve">K. </t>
    </r>
    <r>
      <rPr>
        <sz val="11"/>
        <color rgb="FF363434"/>
        <rFont val="Arial"/>
        <family val="2"/>
      </rPr>
      <t>BOOKS,  Attorney,  Two  Leadership  Square,  211  North  Robinson,  Suite  1300, Oklahoma City, OK 73102, Telephone: (405) 232-3722.</t>
    </r>
  </si>
  <si>
    <r>
      <rPr>
        <sz val="11"/>
        <color rgb="FF363434"/>
        <rFont val="Arial"/>
        <family val="2"/>
      </rPr>
      <t>CORPORATION COMMISSION OF OKLAHOMA</t>
    </r>
  </si>
  <si>
    <r>
      <rPr>
        <sz val="11"/>
        <color rgb="FF363434"/>
        <rFont val="Arial"/>
        <family val="2"/>
      </rPr>
      <t>Bob Anthony, CHAIRMAN</t>
    </r>
  </si>
  <si>
    <r>
      <rPr>
        <sz val="11"/>
        <color rgb="FF363434"/>
        <rFont val="Arial"/>
        <family val="2"/>
      </rPr>
      <t>Dana L. Murphy, VICE CHAIRMAN</t>
    </r>
  </si>
  <si>
    <r>
      <rPr>
        <sz val="11"/>
        <color rgb="FF363434"/>
        <rFont val="Arial"/>
        <family val="2"/>
      </rPr>
      <t>J. Todd Hiett, COMMISSIONER</t>
    </r>
  </si>
  <si>
    <r>
      <rPr>
        <sz val="11"/>
        <color rgb="FF363434"/>
        <rFont val="Arial"/>
        <family val="2"/>
      </rPr>
      <t>DONE AND PERFORMED TH1S 28th DAY OF OCTOBER, 2016.</t>
    </r>
  </si>
  <si>
    <r>
      <rPr>
        <sz val="11"/>
        <color rgb="FF363434"/>
        <rFont val="Arial"/>
        <family val="2"/>
      </rPr>
      <t>BY ORDER OF THE COMMISSION</t>
    </r>
  </si>
  <si>
    <r>
      <rPr>
        <u/>
        <sz val="11"/>
        <color rgb="FF363434"/>
        <rFont val="Arial"/>
        <family val="2"/>
      </rPr>
      <t>Peggy Mitchell, Secretary</t>
    </r>
  </si>
  <si>
    <r>
      <rPr>
        <sz val="12"/>
        <color rgb="FF363434"/>
        <rFont val="Arial"/>
        <family val="2"/>
      </rPr>
      <t>BEFORE THE CORPORATION COMMISSION OF THE STATE OF OKLAHOMA</t>
    </r>
  </si>
  <si>
    <r>
      <rPr>
        <sz val="12"/>
        <color rgb="FF363434"/>
        <rFont val="Arial"/>
        <family val="2"/>
      </rPr>
      <t>APP</t>
    </r>
    <r>
      <rPr>
        <u/>
        <sz val="12"/>
        <color rgb="FF363434"/>
        <rFont val="Arial"/>
        <family val="2"/>
      </rPr>
      <t>L</t>
    </r>
    <r>
      <rPr>
        <sz val="12"/>
        <color rgb="FF363434"/>
        <rFont val="Arial"/>
        <family val="2"/>
      </rPr>
      <t>ICANT:</t>
    </r>
  </si>
  <si>
    <r>
      <rPr>
        <u/>
        <sz val="12"/>
        <color rgb="FF363434"/>
        <rFont val="Arial"/>
        <family val="2"/>
      </rPr>
      <t>RELiEF SOUGHT</t>
    </r>
    <r>
      <rPr>
        <sz val="12"/>
        <color rgb="FF363434"/>
        <rFont val="Arial"/>
        <family val="2"/>
      </rPr>
      <t>:</t>
    </r>
  </si>
  <si>
    <r>
      <rPr>
        <sz val="12"/>
        <color rgb="FF363434"/>
        <rFont val="Arial"/>
        <family val="2"/>
      </rPr>
      <t>GASTAR EXPLORATION  INC.</t>
    </r>
  </si>
  <si>
    <r>
      <rPr>
        <sz val="12"/>
        <color rgb="FF363434"/>
        <rFont val="Arial"/>
        <family val="2"/>
      </rPr>
      <t>POOLING</t>
    </r>
  </si>
  <si>
    <r>
      <rPr>
        <sz val="9"/>
        <color rgb="FF363434"/>
        <rFont val="Arial"/>
        <family val="2"/>
      </rPr>
      <t xml:space="preserve">)  COURT CLER/\'S OFFICE </t>
    </r>
    <r>
      <rPr>
        <sz val="9"/>
        <color rgb="FF4D4B4B"/>
        <rFont val="Arial"/>
        <family val="2"/>
      </rPr>
      <t xml:space="preserve">- </t>
    </r>
    <r>
      <rPr>
        <sz val="9"/>
        <color rgb="FF363434"/>
        <rFont val="Arial"/>
        <family val="2"/>
      </rPr>
      <t>OKC CORPORATION COMMISSlmJ</t>
    </r>
  </si>
  <si>
    <r>
      <rPr>
        <sz val="9"/>
        <color rgb="FF363434"/>
        <rFont val="Arial"/>
        <family val="2"/>
      </rPr>
      <t>)                   OF OKLA.HOMA</t>
    </r>
  </si>
  <si>
    <r>
      <rPr>
        <sz val="12"/>
        <color rgb="FF363434"/>
        <rFont val="Arial"/>
        <family val="2"/>
      </rPr>
      <t>) CAUSE CO NO.</t>
    </r>
  </si>
  <si>
    <r>
      <rPr>
        <sz val="12"/>
        <color rgb="FF363434"/>
        <rFont val="Arial"/>
        <family val="2"/>
      </rPr>
      <t>LEGAL D</t>
    </r>
    <r>
      <rPr>
        <u/>
        <sz val="12"/>
        <color rgb="FF363434"/>
        <rFont val="Arial"/>
        <family val="2"/>
      </rPr>
      <t>E</t>
    </r>
    <r>
      <rPr>
        <sz val="12"/>
        <color rgb="FF363434"/>
        <rFont val="Arial"/>
        <family val="2"/>
      </rPr>
      <t>SCRIPTION:     SECTION 32,</t>
    </r>
  </si>
  <si>
    <r>
      <rPr>
        <sz val="12"/>
        <color rgb="FF363434"/>
        <rFont val="Arial"/>
        <family val="2"/>
      </rPr>
      <t>KINGFISHER COUNTY, OKLAHOMA</t>
    </r>
  </si>
  <si>
    <r>
      <rPr>
        <b/>
        <u/>
        <sz val="12"/>
        <color rgb="FF363434"/>
        <rFont val="Arial"/>
        <family val="2"/>
      </rPr>
      <t>APPLICATION</t>
    </r>
  </si>
  <si>
    <r>
      <rPr>
        <sz val="15"/>
        <color rgb="FF363434"/>
        <rFont val="Times New Roman"/>
        <family val="1"/>
      </rPr>
      <t>)201</t>
    </r>
    <r>
      <rPr>
        <u/>
        <sz val="15"/>
        <color rgb="FF363434"/>
        <rFont val="Times New Roman"/>
        <family val="1"/>
      </rPr>
      <t>604882</t>
    </r>
  </si>
  <si>
    <r>
      <rPr>
        <sz val="12"/>
        <color rgb="FF363434"/>
        <rFont val="Arial"/>
        <family val="2"/>
      </rPr>
      <t>COMES  NOW  Applicant and shows the Honorable  Corporation  Commission as follows:</t>
    </r>
  </si>
  <si>
    <r>
      <rPr>
        <sz val="12"/>
        <color rgb="FF363434"/>
        <rFont val="Arial"/>
        <family val="2"/>
      </rPr>
      <t>1.        P</t>
    </r>
    <r>
      <rPr>
        <u/>
        <sz val="12"/>
        <color rgb="FF363434"/>
        <rFont val="Arial"/>
        <family val="2"/>
      </rPr>
      <t>ar</t>
    </r>
    <r>
      <rPr>
        <sz val="12"/>
        <color rgb="FF363434"/>
        <rFont val="Arial"/>
        <family val="2"/>
      </rPr>
      <t>ties: Applicant, Gastar Exploration Inc., 1331 Lamar, Suite 650, Houston, TX 77010, is the owner of the right to drill a well as to the Mississippian  and Woodford common sources of supply underlying the above-described lands, by virtue of valid and subsisting oil and gas leases owned by Applicant  covering portions of said lands.   The Respondents to this Application are shown on the Exhibit "A" attached hereto.</t>
    </r>
  </si>
  <si>
    <r>
      <rPr>
        <sz val="12"/>
        <color rgb="FF363434"/>
        <rFont val="Times New Roman"/>
        <family val="1"/>
      </rPr>
      <t>2.</t>
    </r>
    <r>
      <rPr>
        <sz val="12"/>
        <color rgb="FF363434"/>
        <rFont val="Arial"/>
        <family val="2"/>
      </rPr>
      <t xml:space="preserve">         </t>
    </r>
    <r>
      <rPr>
        <u/>
        <sz val="12"/>
        <color rgb="FF363434"/>
        <rFont val="Arial"/>
        <family val="2"/>
      </rPr>
      <t>Allegation of Facts</t>
    </r>
    <r>
      <rPr>
        <sz val="12"/>
        <color rgb="FF363434"/>
        <rFont val="Arial"/>
        <family val="2"/>
      </rPr>
      <t>:</t>
    </r>
  </si>
  <si>
    <r>
      <rPr>
        <sz val="12"/>
        <color rgb="FF363434"/>
        <rFont val="Arial"/>
        <family val="2"/>
      </rPr>
      <t>a.        Section 32, Township 18 North, Range 6 West,  Kingfisher County, Oklahoma,  constitutes  a  640-acre  horizontal  drilling  and  spacing  unit,  as  defined  by Title 52, Section 87.1, Okla. Stat., for the Mississippian and Woodford common sources of supply, pursuant to the Order to issue in Cause CD No. 201501924.</t>
    </r>
  </si>
  <si>
    <r>
      <rPr>
        <sz val="12"/>
        <color rgb="FF363434"/>
        <rFont val="Times New Roman"/>
        <family val="1"/>
      </rPr>
      <t>b.</t>
    </r>
    <r>
      <rPr>
        <sz val="12"/>
        <color rgb="FF363434"/>
        <rFont val="Arial"/>
        <family val="2"/>
      </rPr>
      <t xml:space="preserve">         Applicant has conducted a diligent and meaningful search of the local county assessor's records, county treasurer's records, county deed records regarding the property involved for return addresses on recorded instruments, county probate records, city and county telephone directories and other sources of such information to locate each Respondent,  and  has  made  a  bona  fide  effort  to  reach  an  agreement  as  to  the development of said unit with each Respondent located </t>
    </r>
    <r>
      <rPr>
        <sz val="13"/>
        <color rgb="FF363434"/>
        <rFont val="Times New Roman"/>
        <family val="1"/>
      </rPr>
      <t>by</t>
    </r>
    <r>
      <rPr>
        <sz val="13"/>
        <color rgb="FF363434"/>
        <rFont val="Arial"/>
        <family val="2"/>
      </rPr>
      <t xml:space="preserve"> </t>
    </r>
    <r>
      <rPr>
        <sz val="12"/>
        <color rgb="FF363434"/>
        <rFont val="Arial"/>
        <family val="2"/>
      </rPr>
      <t>such search.</t>
    </r>
  </si>
  <si>
    <r>
      <rPr>
        <sz val="12"/>
        <color rgb="FF363434"/>
        <rFont val="Arial"/>
        <family val="2"/>
      </rPr>
      <t>c.        Applicant has drilled or proposes to drill a well on said "drilling and spacing units" to test the common sources of supply set out above, and the avoiding of the drilling of unnecessary  wells, the prevention of waste, and the protection of correlative rights require that the Commission order all owners to pool their interests and to drill and develop the "drilling and spacing units" and common sources of supply as a unit.</t>
    </r>
  </si>
  <si>
    <r>
      <rPr>
        <sz val="12"/>
        <color rgb="FF363434"/>
        <rFont val="Times New Roman"/>
        <family val="1"/>
      </rPr>
      <t>3.</t>
    </r>
    <r>
      <rPr>
        <sz val="12"/>
        <color rgb="FF363434"/>
        <rFont val="Arial"/>
        <family val="2"/>
      </rPr>
      <t xml:space="preserve">         </t>
    </r>
    <r>
      <rPr>
        <u/>
        <sz val="12"/>
        <color rgb="FF363434"/>
        <rFont val="Arial"/>
        <family val="2"/>
      </rPr>
      <t>Legal Authority</t>
    </r>
    <r>
      <rPr>
        <sz val="12"/>
        <color rgb="FF363434"/>
        <rFont val="Arial"/>
        <family val="2"/>
      </rPr>
      <t>:  Title 52, Section 87.1, Okla. Stat.</t>
    </r>
  </si>
  <si>
    <r>
      <rPr>
        <sz val="6"/>
        <color rgb="FFF6A389"/>
        <rFont val="Times New Roman"/>
        <family val="1"/>
      </rPr>
      <t>,,.,h1</t>
    </r>
    <r>
      <rPr>
        <sz val="6"/>
        <color rgb="FFF6A389"/>
        <rFont val="Arial"/>
        <family val="2"/>
      </rPr>
      <t xml:space="preserve">      ioc•1r:te1t-   wa      rEt-   1eve(    f    </t>
    </r>
    <r>
      <rPr>
        <sz val="5"/>
        <color rgb="FFF9BCAA"/>
        <rFont val="Arial"/>
        <family val="2"/>
      </rPr>
      <t>)</t>
    </r>
    <r>
      <rPr>
        <sz val="5"/>
        <color rgb="FFF6A389"/>
        <rFont val="Arial"/>
        <family val="2"/>
      </rPr>
      <t xml:space="preserve">r;         </t>
    </r>
    <r>
      <rPr>
        <sz val="6"/>
        <color rgb="FFF6A389"/>
        <rFont val="Times New Roman"/>
        <family val="1"/>
      </rPr>
      <t>gieaLlta.,</t>
    </r>
    <r>
      <rPr>
        <sz val="6"/>
        <color rgb="FFF6A389"/>
        <rFont val="Arial"/>
        <family val="2"/>
      </rPr>
      <t xml:space="preserve">   </t>
    </r>
    <r>
      <rPr>
        <sz val="5"/>
        <color rgb="FFF9BCAA"/>
        <rFont val="Arial"/>
        <family val="2"/>
      </rPr>
      <t>)</t>
    </r>
    <r>
      <rPr>
        <sz val="5"/>
        <color rgb="FFF6A389"/>
        <rFont val="Arial"/>
        <family val="2"/>
      </rPr>
      <t xml:space="preserve">r;.    </t>
    </r>
    <r>
      <rPr>
        <sz val="6"/>
        <color rgb="FFF6A389"/>
        <rFont val="Times New Roman"/>
        <family val="1"/>
      </rPr>
      <t>It</t>
    </r>
    <r>
      <rPr>
        <sz val="6"/>
        <color rgb="FFF6A389"/>
        <rFont val="Arial"/>
        <family val="2"/>
      </rPr>
      <t xml:space="preserve">    i·   t-he   i ntE </t>
    </r>
    <r>
      <rPr>
        <vertAlign val="superscript"/>
        <sz val="6"/>
        <color rgb="FFF6A389"/>
        <rFont val="Arial"/>
        <family val="2"/>
      </rPr>
      <t>1</t>
    </r>
    <r>
      <rPr>
        <sz val="6"/>
        <color rgb="FFF6A389"/>
        <rFont val="Arial"/>
        <family val="2"/>
      </rPr>
      <t>l e</t>
    </r>
    <r>
      <rPr>
        <sz val="6"/>
        <color rgb="FFF9BCAA"/>
        <rFont val="Arial"/>
        <family val="2"/>
      </rPr>
      <t xml:space="preserve">c </t>
    </r>
    <r>
      <rPr>
        <sz val="6"/>
        <color rgb="FFF6A389"/>
        <rFont val="Arial"/>
        <family val="2"/>
      </rPr>
      <t xml:space="preserve">t-u         i: r </t>
    </r>
    <r>
      <rPr>
        <sz val="6"/>
        <color rgb="FFF9BCAA"/>
        <rFont val="Arial"/>
        <family val="2"/>
      </rPr>
      <t xml:space="preserve">c </t>
    </r>
    <r>
      <rPr>
        <sz val="6"/>
        <color rgb="FFF6A389"/>
        <rFont val="Arial"/>
        <family val="2"/>
      </rPr>
      <t xml:space="preserve">- e  r t v     </t>
    </r>
    <r>
      <rPr>
        <sz val="6"/>
        <color rgb="FFF9BCAA"/>
        <rFont val="Arial"/>
        <family val="2"/>
      </rPr>
      <t xml:space="preserve">) </t>
    </r>
    <r>
      <rPr>
        <sz val="6"/>
        <color rgb="FFF6A389"/>
        <rFont val="Arial"/>
        <family val="2"/>
      </rPr>
      <t>f      giea,    I  c.    Pc   ;E       1</t>
    </r>
    <r>
      <rPr>
        <sz val="6"/>
        <color rgb="FFF9BCAA"/>
        <rFont val="Arial"/>
        <family val="2"/>
      </rPr>
      <t xml:space="preserve">c </t>
    </r>
    <r>
      <rPr>
        <sz val="6"/>
        <color rgb="FFF6A389"/>
        <rFont val="Arial"/>
        <family val="2"/>
      </rPr>
      <t xml:space="preserve">:1   </t>
    </r>
    <r>
      <rPr>
        <sz val="6"/>
        <color rgb="FFF9BCAA"/>
        <rFont val="Arial"/>
        <family val="2"/>
      </rPr>
      <t xml:space="preserve">) </t>
    </r>
    <r>
      <rPr>
        <sz val="6"/>
        <color rgb="FFF6A389"/>
        <rFont val="Arial"/>
        <family val="2"/>
      </rPr>
      <t xml:space="preserve">f  </t>
    </r>
    <r>
      <rPr>
        <sz val="6"/>
        <color rgb="FF363434"/>
        <rFont val="Arial"/>
        <family val="2"/>
      </rPr>
      <t>"</t>
    </r>
    <r>
      <rPr>
        <sz val="6"/>
        <color rgb="FFF6A389"/>
        <rFont val="Arial"/>
        <family val="2"/>
      </rPr>
      <t>·l:!</t>
    </r>
  </si>
  <si>
    <r>
      <rPr>
        <sz val="6"/>
        <color rgb="FFF6A389"/>
        <rFont val="Times New Roman"/>
        <family val="1"/>
      </rPr>
      <t xml:space="preserve">d,  </t>
    </r>
    <r>
      <rPr>
        <sz val="6"/>
        <color rgb="FFF6A389"/>
        <rFont val="Arial"/>
        <family val="2"/>
      </rPr>
      <t xml:space="preserve"> </t>
    </r>
    <r>
      <rPr>
        <sz val="5"/>
        <color rgb="FFF6A389"/>
        <rFont val="Arial"/>
        <family val="2"/>
      </rPr>
      <t xml:space="preserve">,mrnt   </t>
    </r>
    <r>
      <rPr>
        <sz val="6"/>
        <color rgb="FFF6A389"/>
        <rFont val="Times New Roman"/>
        <family val="1"/>
      </rPr>
      <t>by</t>
    </r>
    <r>
      <rPr>
        <sz val="6"/>
        <color rgb="FFF6A389"/>
        <rFont val="Arial"/>
        <family val="2"/>
      </rPr>
      <t xml:space="preserve"> </t>
    </r>
    <r>
      <rPr>
        <sz val="5"/>
        <color rgb="FFF6A389"/>
        <rFont val="Arial"/>
        <family val="2"/>
      </rPr>
      <t>any</t>
    </r>
    <r>
      <rPr>
        <sz val="5"/>
        <color rgb="FFF9BCAA"/>
        <rFont val="Arial"/>
        <family val="2"/>
      </rPr>
      <t>)</t>
    </r>
    <r>
      <rPr>
        <sz val="5"/>
        <color rgb="FFF6A389"/>
        <rFont val="Arial"/>
        <family val="2"/>
      </rPr>
      <t xml:space="preserve">h      </t>
    </r>
    <r>
      <rPr>
        <sz val="5"/>
        <color rgb="FFF9BCAA"/>
        <rFont val="Arial"/>
        <family val="2"/>
      </rPr>
      <t xml:space="preserve">) </t>
    </r>
    <r>
      <rPr>
        <sz val="5"/>
        <color rgb="FFF6A389"/>
        <rFont val="Arial"/>
        <family val="2"/>
      </rPr>
      <t xml:space="preserve">t h e r:   </t>
    </r>
    <r>
      <rPr>
        <sz val="6"/>
        <color rgb="FFF6A389"/>
        <rFont val="Times New Roman"/>
        <family val="1"/>
      </rPr>
      <t>t-</t>
    </r>
    <r>
      <rPr>
        <sz val="6"/>
        <color rgb="FFF6A389"/>
        <rFont val="Arial"/>
        <family val="2"/>
      </rPr>
      <t xml:space="preserve">h    ,           </t>
    </r>
    <r>
      <rPr>
        <sz val="5"/>
        <color rgb="FFF6A389"/>
        <rFont val="Arial"/>
        <family val="2"/>
      </rPr>
      <t xml:space="preserve">1       ,   e              gie         </t>
    </r>
    <r>
      <rPr>
        <sz val="4"/>
        <color rgb="FFF9BCAA"/>
        <rFont val="Times New Roman"/>
        <family val="1"/>
      </rPr>
      <t>:</t>
    </r>
    <r>
      <rPr>
        <sz val="4"/>
        <color rgb="FFF9BCAA"/>
        <rFont val="Arial"/>
        <family val="2"/>
      </rPr>
      <t xml:space="preserve">i </t>
    </r>
    <r>
      <rPr>
        <sz val="4"/>
        <color rgb="FFF6A389"/>
        <rFont val="Arial"/>
        <family val="2"/>
      </rPr>
      <t xml:space="preserve">t-     .,      </t>
    </r>
    <r>
      <rPr>
        <sz val="5"/>
        <color rgb="FFF9BCAA"/>
        <rFont val="Arial"/>
        <family val="2"/>
      </rPr>
      <t>)</t>
    </r>
    <r>
      <rPr>
        <sz val="5"/>
        <color rgb="FFF6A389"/>
        <rFont val="Arial"/>
        <family val="2"/>
      </rPr>
      <t xml:space="preserve">m     ub.     t:Lbc-r   </t>
    </r>
    <r>
      <rPr>
        <sz val="5"/>
        <color rgb="FFF9BCAA"/>
        <rFont val="Arial"/>
        <family val="2"/>
      </rPr>
      <t xml:space="preserve">c    </t>
    </r>
    <r>
      <rPr>
        <sz val="5"/>
        <color rgb="FFF6A389"/>
        <rFont val="Arial"/>
        <family val="2"/>
      </rPr>
      <t>r  Eilt1</t>
    </r>
    <r>
      <rPr>
        <sz val="5"/>
        <color rgb="FFF9BCAA"/>
        <rFont val="Arial"/>
        <family val="2"/>
      </rPr>
      <t xml:space="preserve">) </t>
    </r>
    <r>
      <rPr>
        <sz val="5"/>
        <color rgb="FFF6A389"/>
        <rFont val="Arial"/>
        <family val="2"/>
      </rPr>
      <t xml:space="preserve">vdl        </t>
    </r>
    <r>
      <rPr>
        <sz val="6"/>
        <color rgb="FFF9BCAA"/>
        <rFont val="Times New Roman"/>
        <family val="1"/>
      </rPr>
      <t>)</t>
    </r>
    <r>
      <rPr>
        <sz val="6"/>
        <color rgb="FFF9BCAA"/>
        <rFont val="Arial"/>
        <family val="2"/>
      </rPr>
      <t xml:space="preserve"> </t>
    </r>
    <r>
      <rPr>
        <sz val="6"/>
        <color rgb="FFF6A389"/>
        <rFont val="Arial"/>
        <family val="2"/>
      </rPr>
      <t xml:space="preserve">f    </t>
    </r>
    <r>
      <rPr>
        <sz val="4"/>
        <color rgb="FFF6A389"/>
        <rFont val="Arial"/>
        <family val="2"/>
      </rPr>
      <t xml:space="preserve">t-1--        </t>
    </r>
    <r>
      <rPr>
        <sz val="5"/>
        <color rgb="FFF6A389"/>
        <rFont val="Arial"/>
        <family val="2"/>
      </rPr>
      <t xml:space="preserve">wat-erm,HK   1            </t>
    </r>
    <r>
      <rPr>
        <sz val="5"/>
        <color rgb="FFF9BCAA"/>
        <rFont val="Arial"/>
        <family val="2"/>
      </rPr>
      <t>)</t>
    </r>
    <r>
      <rPr>
        <sz val="5"/>
        <color rgb="FFF6A389"/>
        <rFont val="Arial"/>
        <family val="2"/>
      </rPr>
      <t xml:space="preserve">t-  </t>
    </r>
    <r>
      <rPr>
        <sz val="6"/>
        <color rgb="FFF6A389"/>
        <rFont val="Times New Roman"/>
        <family val="1"/>
      </rPr>
      <t>b1tE</t>
    </r>
    <r>
      <rPr>
        <sz val="6"/>
        <color rgb="FFF6A389"/>
        <rFont val="Arial"/>
        <family val="2"/>
      </rPr>
      <t xml:space="preserve"> :l.</t>
    </r>
  </si>
  <si>
    <r>
      <rPr>
        <sz val="9"/>
        <color rgb="FF363434"/>
        <rFont val="Arial"/>
        <family val="2"/>
      </rPr>
      <t>APPLICANT:            GASTAR EXPLORATION INC.</t>
    </r>
  </si>
  <si>
    <r>
      <rPr>
        <sz val="10"/>
        <color rgb="FF363434"/>
        <rFont val="Arial"/>
        <family val="2"/>
      </rPr>
      <t>CAUSE CD NO.:      201</t>
    </r>
    <r>
      <rPr>
        <u/>
        <sz val="10"/>
        <color rgb="FF363434"/>
        <rFont val="Arial"/>
        <family val="2"/>
      </rPr>
      <t>      </t>
    </r>
    <r>
      <rPr>
        <sz val="10"/>
        <color rgb="FF363434"/>
        <rFont val="Arial"/>
        <family val="2"/>
      </rPr>
      <t xml:space="preserve">             _</t>
    </r>
  </si>
  <si>
    <r>
      <rPr>
        <sz val="9"/>
        <color rgb="FF363434"/>
        <rFont val="Arial"/>
        <family val="2"/>
      </rPr>
      <t>APPLICATION</t>
    </r>
  </si>
  <si>
    <r>
      <rPr>
        <sz val="12"/>
        <color rgb="FF363434"/>
        <rFont val="Arial"/>
        <family val="2"/>
      </rPr>
      <t xml:space="preserve">4.       </t>
    </r>
    <r>
      <rPr>
        <u/>
        <sz val="12"/>
        <color rgb="FF363434"/>
        <rFont val="Arial"/>
        <family val="2"/>
      </rPr>
      <t>Relief  Sought:</t>
    </r>
    <r>
      <rPr>
        <sz val="12"/>
        <color rgb="FF363434"/>
        <rFont val="Arial"/>
        <family val="2"/>
      </rPr>
      <t xml:space="preserve">    Applicant  requests  the  Commission  pool  the  interests, designate an operator, provide for the development of the unit, including the drilling of the proposed well and all subsequent wells, where applicable, and adjudicate the rights and equities of oil and gas owners in such drilling and spacing unit and common sources of supply  covered  hereby,  all  to  be  upon  such  terms  and  conditions  as  are  just  and reasonable and which will afford </t>
    </r>
    <r>
      <rPr>
        <sz val="13"/>
        <color rgb="FF363434"/>
        <rFont val="Arial"/>
        <family val="2"/>
      </rPr>
      <t xml:space="preserve">all </t>
    </r>
    <r>
      <rPr>
        <sz val="12"/>
        <color rgb="FF363434"/>
        <rFont val="Arial"/>
        <family val="2"/>
      </rPr>
      <t xml:space="preserve">of such owners the opportunity to recover or receive without  unnecessary  expense  their  just  and  fair  share  of  all  hydrocarbon  substances produced therefrom, and that the Commission make definite provisions </t>
    </r>
    <r>
      <rPr>
        <sz val="11"/>
        <color rgb="FF363434"/>
        <rFont val="Arial"/>
        <family val="2"/>
      </rPr>
      <t xml:space="preserve">tor </t>
    </r>
    <r>
      <rPr>
        <sz val="12"/>
        <color rgb="FF363434"/>
        <rFont val="Arial"/>
        <family val="2"/>
      </rPr>
      <t xml:space="preserve">the payment of all actual costs and expenses, not to exceed reasonable costs and expenses of drilling and development, including a reasonable charge for supervision.  Applicant may request </t>
    </r>
    <r>
      <rPr>
        <sz val="11"/>
        <color rgb="FF363434"/>
        <rFont val="Arial"/>
        <family val="2"/>
      </rPr>
      <t xml:space="preserve">up </t>
    </r>
    <r>
      <rPr>
        <sz val="12"/>
        <color rgb="FF363434"/>
        <rFont val="Arial"/>
        <family val="2"/>
      </rPr>
      <t xml:space="preserve">to </t>
    </r>
    <r>
      <rPr>
        <sz val="11"/>
        <color rgb="FF363434"/>
        <rFont val="Arial"/>
        <family val="2"/>
      </rPr>
      <t xml:space="preserve">one year from the date of the Order to </t>
    </r>
    <r>
      <rPr>
        <sz val="12"/>
        <color rgb="FF363434"/>
        <rFont val="Arial"/>
        <family val="2"/>
      </rPr>
      <t>enter in this cause, within which to commence the  initial well.   Applicant further requests that each of the common  sources of supply named in this Application be aggregated with the others and pooled as a single unit.</t>
    </r>
  </si>
  <si>
    <r>
      <rPr>
        <sz val="12"/>
        <color rgb="FF363434"/>
        <rFont val="Arial"/>
        <family val="2"/>
      </rPr>
      <t xml:space="preserve">WHEREFORE, Applicant prays that after notice </t>
    </r>
    <r>
      <rPr>
        <sz val="11"/>
        <color rgb="FF363434"/>
        <rFont val="Arial"/>
        <family val="2"/>
      </rPr>
      <t xml:space="preserve">and </t>
    </r>
    <r>
      <rPr>
        <sz val="12"/>
        <color rgb="FF363434"/>
        <rFont val="Arial"/>
        <family val="2"/>
      </rPr>
      <t xml:space="preserve">hearing </t>
    </r>
    <r>
      <rPr>
        <sz val="11"/>
        <color rgb="FF363434"/>
        <rFont val="Arial"/>
        <family val="2"/>
      </rPr>
      <t xml:space="preserve">as </t>
    </r>
    <r>
      <rPr>
        <sz val="12"/>
        <color rgb="FF363434"/>
        <rFont val="Arial"/>
        <family val="2"/>
      </rPr>
      <t xml:space="preserve">required by law, </t>
    </r>
    <r>
      <rPr>
        <sz val="11"/>
        <color rgb="FF363434"/>
        <rFont val="Arial"/>
        <family val="2"/>
      </rPr>
      <t xml:space="preserve">all </t>
    </r>
    <r>
      <rPr>
        <sz val="12"/>
        <color rgb="FF363434"/>
        <rFont val="Arial"/>
        <family val="2"/>
      </rPr>
      <t>oil and gas interests be pooled and the rights and equities of all oil and gas owners be adjudicated.</t>
    </r>
  </si>
  <si>
    <r>
      <rPr>
        <sz val="12"/>
        <color rgb="FF363434"/>
        <rFont val="Arial"/>
        <family val="2"/>
      </rPr>
      <t>Respectfully submitted,</t>
    </r>
  </si>
  <si>
    <r>
      <rPr>
        <sz val="12"/>
        <color rgb="FF363434"/>
        <rFont val="Arial"/>
        <family val="2"/>
      </rPr>
      <t>oks,    BA#</t>
    </r>
  </si>
  <si>
    <r>
      <rPr>
        <sz val="12"/>
        <color rgb="FF363434"/>
        <rFont val="Arial"/>
        <family val="2"/>
      </rPr>
      <t xml:space="preserve">,    OOKS, BROWN </t>
    </r>
    <r>
      <rPr>
        <sz val="11"/>
        <color rgb="FF363434"/>
        <rFont val="Arial"/>
        <family val="2"/>
      </rPr>
      <t xml:space="preserve">&amp; </t>
    </r>
    <r>
      <rPr>
        <sz val="12"/>
        <color rgb="FF363434"/>
        <rFont val="Arial"/>
        <family val="2"/>
      </rPr>
      <t>NELSON</t>
    </r>
  </si>
  <si>
    <r>
      <rPr>
        <sz val="12"/>
        <color rgb="FF363434"/>
        <rFont val="Arial"/>
        <family val="2"/>
      </rPr>
      <t>Two Leadership Square</t>
    </r>
  </si>
  <si>
    <r>
      <rPr>
        <sz val="12"/>
        <color rgb="FF363434"/>
        <rFont val="Arial"/>
        <family val="2"/>
      </rPr>
      <t xml:space="preserve">211 North Robinson; Ste. 1300 Oklahoma City, Oklahoma  73102 </t>
    </r>
    <r>
      <rPr>
        <sz val="11"/>
        <color rgb="FF363434"/>
        <rFont val="Arial"/>
        <family val="2"/>
      </rPr>
      <t xml:space="preserve">(405) </t>
    </r>
    <r>
      <rPr>
        <sz val="12"/>
        <color rgb="FF363434"/>
        <rFont val="Arial"/>
        <family val="2"/>
      </rPr>
      <t>232-3722</t>
    </r>
  </si>
  <si>
    <r>
      <rPr>
        <sz val="12"/>
        <color rgb="FF363434"/>
        <rFont val="Arial"/>
        <family val="2"/>
      </rPr>
      <t>ATTORNEY FOR APPLICANT</t>
    </r>
  </si>
  <si>
    <r>
      <rPr>
        <sz val="11"/>
        <color rgb="FF363434"/>
        <rFont val="Courier New"/>
        <family val="3"/>
      </rPr>
      <t>-2-</t>
    </r>
  </si>
  <si>
    <r>
      <rPr>
        <sz val="6"/>
        <color rgb="FFF6A389"/>
        <rFont val="Times New Roman"/>
        <family val="1"/>
      </rPr>
      <t>,,.,h1</t>
    </r>
    <r>
      <rPr>
        <sz val="6"/>
        <color rgb="FFF6A389"/>
        <rFont val="Arial"/>
        <family val="2"/>
      </rPr>
      <t xml:space="preserve">      ioc•1r:te1 </t>
    </r>
    <r>
      <rPr>
        <sz val="4"/>
        <color rgb="FFF6A389"/>
        <rFont val="Arial"/>
        <family val="2"/>
      </rPr>
      <t xml:space="preserve">t-    </t>
    </r>
    <r>
      <rPr>
        <sz val="6"/>
        <color rgb="FFF6A389"/>
        <rFont val="Arial"/>
        <family val="2"/>
      </rPr>
      <t xml:space="preserve">wa      rEt-   1eve(    f    </t>
    </r>
    <r>
      <rPr>
        <sz val="5"/>
        <color rgb="FFF9BCAA"/>
        <rFont val="Arial"/>
        <family val="2"/>
      </rPr>
      <t>)</t>
    </r>
    <r>
      <rPr>
        <sz val="5"/>
        <color rgb="FFF6A389"/>
        <rFont val="Arial"/>
        <family val="2"/>
      </rPr>
      <t xml:space="preserve">r;            </t>
    </r>
    <r>
      <rPr>
        <sz val="6"/>
        <color rgb="FFF6A389"/>
        <rFont val="Times New Roman"/>
        <family val="1"/>
      </rPr>
      <t>gieaL</t>
    </r>
    <r>
      <rPr>
        <sz val="6"/>
        <color rgb="FFF6A389"/>
        <rFont val="Arial"/>
        <family val="2"/>
      </rPr>
      <t xml:space="preserve"> ita.,  </t>
    </r>
    <r>
      <rPr>
        <sz val="5"/>
        <color rgb="FFF9BCAA"/>
        <rFont val="Arial"/>
        <family val="2"/>
      </rPr>
      <t>)</t>
    </r>
    <r>
      <rPr>
        <sz val="5"/>
        <color rgb="FFF6A389"/>
        <rFont val="Arial"/>
        <family val="2"/>
      </rPr>
      <t xml:space="preserve">r;.    </t>
    </r>
    <r>
      <rPr>
        <sz val="6"/>
        <color rgb="FFF6A389"/>
        <rFont val="Times New Roman"/>
        <family val="1"/>
      </rPr>
      <t>It</t>
    </r>
    <r>
      <rPr>
        <sz val="6"/>
        <color rgb="FFF6A389"/>
        <rFont val="Arial"/>
        <family val="2"/>
      </rPr>
      <t xml:space="preserve">    i·                       </t>
    </r>
    <r>
      <rPr>
        <vertAlign val="superscript"/>
        <sz val="6"/>
        <color rgb="FFF6A389"/>
        <rFont val="Arial"/>
        <family val="2"/>
      </rPr>
      <t xml:space="preserve">1 </t>
    </r>
    <r>
      <rPr>
        <sz val="6"/>
        <color rgb="FFF6A389"/>
        <rFont val="Arial"/>
        <family val="2"/>
      </rPr>
      <t xml:space="preserve">l e </t>
    </r>
    <r>
      <rPr>
        <sz val="6"/>
        <color rgb="FFF9BCAA"/>
        <rFont val="Arial"/>
        <family val="2"/>
      </rPr>
      <t xml:space="preserve">c </t>
    </r>
    <r>
      <rPr>
        <sz val="6"/>
        <color rgb="FFF6A389"/>
        <rFont val="Arial"/>
        <family val="2"/>
      </rPr>
      <t xml:space="preserve">t-u         i: r </t>
    </r>
    <r>
      <rPr>
        <sz val="6"/>
        <color rgb="FFF9BCAA"/>
        <rFont val="Arial"/>
        <family val="2"/>
      </rPr>
      <t xml:space="preserve">c </t>
    </r>
    <r>
      <rPr>
        <sz val="6"/>
        <color rgb="FFF6A389"/>
        <rFont val="Arial"/>
        <family val="2"/>
      </rPr>
      <t xml:space="preserve">- e  r t v     </t>
    </r>
    <r>
      <rPr>
        <sz val="6"/>
        <color rgb="FFF9BCAA"/>
        <rFont val="Arial"/>
        <family val="2"/>
      </rPr>
      <t xml:space="preserve">) </t>
    </r>
    <r>
      <rPr>
        <sz val="6"/>
        <color rgb="FFF6A389"/>
        <rFont val="Arial"/>
        <family val="2"/>
      </rPr>
      <t xml:space="preserve">f      giea,   I   c.    Pc   ;E       1 </t>
    </r>
    <r>
      <rPr>
        <sz val="6"/>
        <color rgb="FFF9BCAA"/>
        <rFont val="Arial"/>
        <family val="2"/>
      </rPr>
      <t xml:space="preserve">c </t>
    </r>
    <r>
      <rPr>
        <sz val="6"/>
        <color rgb="FFF6A389"/>
        <rFont val="Arial"/>
        <family val="2"/>
      </rPr>
      <t xml:space="preserve">:1    </t>
    </r>
    <r>
      <rPr>
        <sz val="6"/>
        <color rgb="FFF9BCAA"/>
        <rFont val="Arial"/>
        <family val="2"/>
      </rPr>
      <t>)</t>
    </r>
    <r>
      <rPr>
        <sz val="6"/>
        <color rgb="FFF6A389"/>
        <rFont val="Arial"/>
        <family val="2"/>
      </rPr>
      <t>f   +!:!</t>
    </r>
  </si>
  <si>
    <r>
      <rPr>
        <sz val="6"/>
        <color rgb="FFF6A389"/>
        <rFont val="Times New Roman"/>
        <family val="1"/>
      </rPr>
      <t xml:space="preserve">d,   </t>
    </r>
    <r>
      <rPr>
        <sz val="5"/>
        <color rgb="FFF6A389"/>
        <rFont val="Arial"/>
        <family val="2"/>
      </rPr>
      <t>,mrn</t>
    </r>
    <r>
      <rPr>
        <sz val="5"/>
        <color rgb="FFF6A389"/>
        <rFont val="Times New Roman"/>
        <family val="1"/>
      </rPr>
      <t xml:space="preserve">t   </t>
    </r>
    <r>
      <rPr>
        <sz val="6"/>
        <color rgb="FFF6A389"/>
        <rFont val="Times New Roman"/>
        <family val="1"/>
      </rPr>
      <t xml:space="preserve">by </t>
    </r>
    <r>
      <rPr>
        <sz val="5"/>
        <color rgb="FFF6A389"/>
        <rFont val="Arial"/>
        <family val="2"/>
      </rPr>
      <t>an</t>
    </r>
    <r>
      <rPr>
        <sz val="5"/>
        <color rgb="FFF6A389"/>
        <rFont val="Times New Roman"/>
        <family val="1"/>
      </rPr>
      <t>y</t>
    </r>
    <r>
      <rPr>
        <sz val="5"/>
        <color rgb="FFF9BCAA"/>
        <rFont val="Times New Roman"/>
        <family val="1"/>
      </rPr>
      <t>)</t>
    </r>
    <r>
      <rPr>
        <sz val="5"/>
        <color rgb="FFF6A389"/>
        <rFont val="Times New Roman"/>
        <family val="1"/>
      </rPr>
      <t xml:space="preserve">h      </t>
    </r>
    <r>
      <rPr>
        <sz val="5"/>
        <color rgb="FFF9BCAA"/>
        <rFont val="Times New Roman"/>
        <family val="1"/>
      </rPr>
      <t xml:space="preserve">) </t>
    </r>
    <r>
      <rPr>
        <sz val="5"/>
        <color rgb="FFF6A389"/>
        <rFont val="Times New Roman"/>
        <family val="1"/>
      </rPr>
      <t xml:space="preserve">t h e r:   </t>
    </r>
    <r>
      <rPr>
        <sz val="6"/>
        <color rgb="FFF6A389"/>
        <rFont val="Times New Roman"/>
        <family val="1"/>
      </rPr>
      <t xml:space="preserve">t-hc:  </t>
    </r>
    <r>
      <rPr>
        <sz val="4"/>
        <color rgb="FFF6A389"/>
        <rFont val="Arial"/>
        <family val="2"/>
      </rPr>
      <t>1</t>
    </r>
    <r>
      <rPr>
        <sz val="4"/>
        <color rgb="FFF6A389"/>
        <rFont val="Times New Roman"/>
        <family val="1"/>
      </rPr>
      <t xml:space="preserve">             </t>
    </r>
    <r>
      <rPr>
        <sz val="5"/>
        <color rgb="FFF6A389"/>
        <rFont val="Times New Roman"/>
        <family val="1"/>
      </rPr>
      <t xml:space="preserve">1       </t>
    </r>
    <r>
      <rPr>
        <sz val="4"/>
        <color rgb="FFF6A389"/>
        <rFont val="Times New Roman"/>
        <family val="1"/>
      </rPr>
      <t xml:space="preserve">1   </t>
    </r>
    <r>
      <rPr>
        <sz val="5"/>
        <color rgb="FFF6A389"/>
        <rFont val="Times New Roman"/>
        <family val="1"/>
      </rPr>
      <t xml:space="preserve">e       · ·g,.ee   </t>
    </r>
    <r>
      <rPr>
        <sz val="5"/>
        <color rgb="FFF9BCAA"/>
        <rFont val="Times New Roman"/>
        <family val="1"/>
      </rPr>
      <t>,.</t>
    </r>
    <r>
      <rPr>
        <sz val="5"/>
        <color rgb="FFF6A389"/>
        <rFont val="Times New Roman"/>
        <family val="1"/>
      </rPr>
      <t xml:space="preserve">+   . ,    </t>
    </r>
    <r>
      <rPr>
        <sz val="5"/>
        <color rgb="FFF9BCAA"/>
        <rFont val="Times New Roman"/>
        <family val="1"/>
      </rPr>
      <t>J</t>
    </r>
    <r>
      <rPr>
        <sz val="5"/>
        <color rgb="FFF6A389"/>
        <rFont val="Times New Roman"/>
        <family val="1"/>
      </rPr>
      <t xml:space="preserve">ill      </t>
    </r>
    <r>
      <rPr>
        <sz val="5"/>
        <color rgb="FFF6A389"/>
        <rFont val="Arial"/>
        <family val="2"/>
      </rPr>
      <t>ub</t>
    </r>
    <r>
      <rPr>
        <sz val="5"/>
        <color rgb="FFF6A389"/>
        <rFont val="Times New Roman"/>
        <family val="1"/>
      </rPr>
      <t xml:space="preserve">.     t:Lbc-r   </t>
    </r>
    <r>
      <rPr>
        <sz val="5"/>
        <color rgb="FFF9BCAA"/>
        <rFont val="Times New Roman"/>
        <family val="1"/>
      </rPr>
      <t xml:space="preserve">c     </t>
    </r>
    <r>
      <rPr>
        <sz val="4"/>
        <color rgb="FFF6A389"/>
        <rFont val="Times New Roman"/>
        <family val="1"/>
      </rPr>
      <t>r   Eilt 1</t>
    </r>
    <r>
      <rPr>
        <sz val="4"/>
        <color rgb="FFF9BCAA"/>
        <rFont val="Times New Roman"/>
        <family val="1"/>
      </rPr>
      <t xml:space="preserve">) </t>
    </r>
    <r>
      <rPr>
        <sz val="4"/>
        <color rgb="FFF6A389"/>
        <rFont val="Times New Roman"/>
        <family val="1"/>
      </rPr>
      <t xml:space="preserve">v d l       </t>
    </r>
    <r>
      <rPr>
        <sz val="6"/>
        <color rgb="FFF9BCAA"/>
        <rFont val="Times New Roman"/>
        <family val="1"/>
      </rPr>
      <t>)</t>
    </r>
    <r>
      <rPr>
        <sz val="6"/>
        <color rgb="FFF6A389"/>
        <rFont val="Times New Roman"/>
        <family val="1"/>
      </rPr>
      <t xml:space="preserve">f    </t>
    </r>
    <r>
      <rPr>
        <sz val="4"/>
        <color rgb="FFF6A389"/>
        <rFont val="Times New Roman"/>
        <family val="1"/>
      </rPr>
      <t xml:space="preserve">+1--       </t>
    </r>
    <r>
      <rPr>
        <sz val="4"/>
        <color rgb="FFF6A389"/>
        <rFont val="Arial"/>
        <family val="2"/>
      </rPr>
      <t>wat-erm,H</t>
    </r>
    <r>
      <rPr>
        <sz val="4"/>
        <color rgb="FFF6A389"/>
        <rFont val="Times New Roman"/>
        <family val="1"/>
      </rPr>
      <t xml:space="preserve">K    </t>
    </r>
    <r>
      <rPr>
        <sz val="5"/>
        <color rgb="FFF6A389"/>
        <rFont val="Times New Roman"/>
        <family val="1"/>
      </rPr>
      <t xml:space="preserve">1           </t>
    </r>
    <r>
      <rPr>
        <sz val="5"/>
        <color rgb="FFF9BCAA"/>
        <rFont val="Times New Roman"/>
        <family val="1"/>
      </rPr>
      <t>)</t>
    </r>
    <r>
      <rPr>
        <sz val="5"/>
        <color rgb="FFF6A389"/>
        <rFont val="Times New Roman"/>
        <family val="1"/>
      </rPr>
      <t xml:space="preserve">t-  </t>
    </r>
    <r>
      <rPr>
        <sz val="6"/>
        <color rgb="FFF6A389"/>
        <rFont val="Times New Roman"/>
        <family val="1"/>
      </rPr>
      <t>b1tE:l.</t>
    </r>
  </si>
  <si>
    <r>
      <rPr>
        <sz val="10"/>
        <color rgb="FF363434"/>
        <rFont val="Arial"/>
        <family val="2"/>
      </rPr>
      <t>APPLICANT: GASTAR EXPLORATION INC.</t>
    </r>
  </si>
  <si>
    <r>
      <rPr>
        <sz val="10"/>
        <color rgb="FF363434"/>
        <rFont val="Arial"/>
        <family val="2"/>
      </rPr>
      <t>CAUSE CD NO. 201</t>
    </r>
    <r>
      <rPr>
        <u/>
        <sz val="10"/>
        <color rgb="FF363434"/>
        <rFont val="Arial"/>
        <family val="2"/>
      </rPr>
      <t>      </t>
    </r>
    <r>
      <rPr>
        <sz val="10"/>
        <color rgb="FF363434"/>
        <rFont val="Arial"/>
        <family val="2"/>
      </rPr>
      <t xml:space="preserve">           _</t>
    </r>
  </si>
  <si>
    <r>
      <rPr>
        <sz val="11"/>
        <color rgb="FF363434"/>
        <rFont val="Arial"/>
        <family val="2"/>
      </rPr>
      <t xml:space="preserve">EXHIBIT </t>
    </r>
    <r>
      <rPr>
        <vertAlign val="superscript"/>
        <sz val="5"/>
        <color rgb="FF363434"/>
        <rFont val="Times New Roman"/>
        <family val="1"/>
      </rPr>
      <t>14</t>
    </r>
    <r>
      <rPr>
        <sz val="11"/>
        <color rgb="FF363434"/>
        <rFont val="Arial"/>
        <family val="2"/>
      </rPr>
      <t>A"</t>
    </r>
  </si>
  <si>
    <r>
      <rPr>
        <sz val="11"/>
        <color rgb="FF363434"/>
        <rFont val="Arial"/>
        <family val="2"/>
      </rPr>
      <t>RESPONDENTS WITH KNOWN ADDR</t>
    </r>
    <r>
      <rPr>
        <u/>
        <sz val="11"/>
        <color rgb="FF363434"/>
        <rFont val="Arial"/>
        <family val="2"/>
      </rPr>
      <t>E</t>
    </r>
    <r>
      <rPr>
        <sz val="11"/>
        <color rgb="FF363434"/>
        <rFont val="Arial"/>
        <family val="2"/>
      </rPr>
      <t>SSES:</t>
    </r>
  </si>
  <si>
    <r>
      <rPr>
        <sz val="12"/>
        <color rgb="FF363434"/>
        <rFont val="Times New Roman"/>
        <family val="1"/>
      </rPr>
      <t>1.</t>
    </r>
    <r>
      <rPr>
        <sz val="12"/>
        <color rgb="FF363434"/>
        <rFont val="Arial"/>
        <family val="2"/>
      </rPr>
      <t xml:space="preserve"> </t>
    </r>
    <r>
      <rPr>
        <sz val="11"/>
        <color rgb="FF363434"/>
        <rFont val="Arial"/>
        <family val="2"/>
      </rPr>
      <t>A.M. Mouser</t>
    </r>
  </si>
  <si>
    <r>
      <rPr>
        <sz val="11"/>
        <color rgb="FF363434"/>
        <rFont val="Arial"/>
        <family val="2"/>
      </rPr>
      <t>c/o Arthur Milton Mouser, Jr. 11814 Cypresswood Dr.</t>
    </r>
  </si>
  <si>
    <r>
      <rPr>
        <sz val="11"/>
        <color rgb="FF363434"/>
        <rFont val="Arial"/>
        <family val="2"/>
      </rPr>
      <t>Houston, TX 77070</t>
    </r>
  </si>
  <si>
    <r>
      <rPr>
        <sz val="11"/>
        <color rgb="FF363434"/>
        <rFont val="Arial"/>
        <family val="2"/>
      </rPr>
      <t xml:space="preserve">2.  Adam Lane Duffy 515 John </t>
    </r>
    <r>
      <rPr>
        <sz val="12"/>
        <color rgb="FF363434"/>
        <rFont val="Arial"/>
        <family val="2"/>
      </rPr>
      <t xml:space="preserve">Muir Dr. </t>
    </r>
    <r>
      <rPr>
        <sz val="11"/>
        <color rgb="FF363434"/>
        <rFont val="Arial"/>
        <family val="2"/>
      </rPr>
      <t>#103</t>
    </r>
  </si>
  <si>
    <r>
      <rPr>
        <sz val="11"/>
        <color rgb="FF363434"/>
        <rFont val="Arial"/>
        <family val="2"/>
      </rPr>
      <t>San Francisco, CA 94132</t>
    </r>
  </si>
  <si>
    <r>
      <rPr>
        <sz val="12"/>
        <color rgb="FF363434"/>
        <rFont val="Times New Roman"/>
        <family val="1"/>
      </rPr>
      <t>3.</t>
    </r>
    <r>
      <rPr>
        <sz val="12"/>
        <color rgb="FF363434"/>
        <rFont val="Arial"/>
        <family val="2"/>
      </rPr>
      <t xml:space="preserve">  </t>
    </r>
    <r>
      <rPr>
        <sz val="11"/>
        <color rgb="FF363434"/>
        <rFont val="Arial"/>
        <family val="2"/>
      </rPr>
      <t>Alberta Hayden</t>
    </r>
  </si>
  <si>
    <r>
      <rPr>
        <sz val="11"/>
        <color rgb="FF363434"/>
        <rFont val="Arial"/>
        <family val="2"/>
      </rPr>
      <t>c/o Christopher Chaney</t>
    </r>
  </si>
  <si>
    <r>
      <rPr>
        <sz val="12"/>
        <color rgb="FF363434"/>
        <rFont val="Times New Roman"/>
        <family val="1"/>
      </rPr>
      <t>620</t>
    </r>
    <r>
      <rPr>
        <sz val="12"/>
        <color rgb="FF363434"/>
        <rFont val="Arial"/>
        <family val="2"/>
      </rPr>
      <t xml:space="preserve"> </t>
    </r>
    <r>
      <rPr>
        <sz val="11"/>
        <color rgb="FF363434"/>
        <rFont val="Arial"/>
        <family val="2"/>
      </rPr>
      <t>Lincoln Ave.</t>
    </r>
  </si>
  <si>
    <r>
      <rPr>
        <sz val="11"/>
        <color rgb="FF363434"/>
        <rFont val="Arial"/>
        <family val="2"/>
      </rPr>
      <t>Los Altos, CA 94022</t>
    </r>
  </si>
  <si>
    <r>
      <rPr>
        <sz val="12"/>
        <color rgb="FF363434"/>
        <rFont val="Times New Roman"/>
        <family val="1"/>
      </rPr>
      <t>4.</t>
    </r>
    <r>
      <rPr>
        <sz val="12"/>
        <color rgb="FF363434"/>
        <rFont val="Arial"/>
        <family val="2"/>
      </rPr>
      <t xml:space="preserve">  </t>
    </r>
    <r>
      <rPr>
        <sz val="11"/>
        <color rgb="FF363434"/>
        <rFont val="Arial"/>
        <family val="2"/>
      </rPr>
      <t xml:space="preserve">Alberta Hayden c/o Amy </t>
    </r>
    <r>
      <rPr>
        <sz val="12"/>
        <color rgb="FF363434"/>
        <rFont val="Times New Roman"/>
        <family val="1"/>
      </rPr>
      <t>J</t>
    </r>
    <r>
      <rPr>
        <sz val="12"/>
        <color rgb="FF363434"/>
        <rFont val="Arial"/>
        <family val="2"/>
      </rPr>
      <t xml:space="preserve">. </t>
    </r>
    <r>
      <rPr>
        <sz val="11"/>
        <color rgb="FF363434"/>
        <rFont val="Arial"/>
        <family val="2"/>
      </rPr>
      <t>Falken 18935 Horizon Ct. Tuolumne, CA 95379</t>
    </r>
  </si>
  <si>
    <r>
      <rPr>
        <sz val="12"/>
        <color rgb="FF363434"/>
        <rFont val="Times New Roman"/>
        <family val="1"/>
      </rPr>
      <t>5.</t>
    </r>
    <r>
      <rPr>
        <sz val="12"/>
        <color rgb="FF363434"/>
        <rFont val="Arial"/>
        <family val="2"/>
      </rPr>
      <t xml:space="preserve">  </t>
    </r>
    <r>
      <rPr>
        <sz val="11"/>
        <color rgb="FF363434"/>
        <rFont val="Arial"/>
        <family val="2"/>
      </rPr>
      <t xml:space="preserve">Alice May Renshaw c/o Cynthia </t>
    </r>
    <r>
      <rPr>
        <sz val="12"/>
        <color rgb="FF363434"/>
        <rFont val="Arial"/>
        <family val="2"/>
      </rPr>
      <t xml:space="preserve">A. </t>
    </r>
    <r>
      <rPr>
        <sz val="11"/>
        <color rgb="FF363434"/>
        <rFont val="Arial"/>
        <family val="2"/>
      </rPr>
      <t>Renshaw 1718 Fox Way Pittsburgh, PA 15203</t>
    </r>
  </si>
  <si>
    <r>
      <rPr>
        <sz val="12"/>
        <color rgb="FF363434"/>
        <rFont val="Times New Roman"/>
        <family val="1"/>
      </rPr>
      <t>6.</t>
    </r>
    <r>
      <rPr>
        <sz val="12"/>
        <color rgb="FF363434"/>
        <rFont val="Arial"/>
        <family val="2"/>
      </rPr>
      <t xml:space="preserve">  </t>
    </r>
    <r>
      <rPr>
        <sz val="11"/>
        <color rgb="FF363434"/>
        <rFont val="Arial"/>
        <family val="2"/>
      </rPr>
      <t>Alice May Renshaw c/o David Ernest Renshaw</t>
    </r>
  </si>
  <si>
    <r>
      <rPr>
        <sz val="11"/>
        <color rgb="FF363434"/>
        <rFont val="Arial"/>
        <family val="2"/>
      </rPr>
      <t>416 S. Stoneman Ave., Apt. A Alhambra, CA  91801</t>
    </r>
  </si>
  <si>
    <r>
      <rPr>
        <sz val="12"/>
        <color rgb="FF363434"/>
        <rFont val="Times New Roman"/>
        <family val="1"/>
      </rPr>
      <t xml:space="preserve">7. </t>
    </r>
    <r>
      <rPr>
        <sz val="12"/>
        <color rgb="FF363434"/>
        <rFont val="Arial"/>
        <family val="2"/>
      </rPr>
      <t xml:space="preserve"> </t>
    </r>
    <r>
      <rPr>
        <sz val="11"/>
        <color rgb="FF363434"/>
        <rFont val="Arial"/>
        <family val="2"/>
      </rPr>
      <t>Altman Engineering, Inc.</t>
    </r>
  </si>
  <si>
    <r>
      <rPr>
        <sz val="11"/>
        <color rgb="FF363434"/>
        <rFont val="Arial"/>
        <family val="2"/>
      </rPr>
      <t>P.O. Box 747 Kingfisher, OK 73750</t>
    </r>
  </si>
  <si>
    <r>
      <rPr>
        <sz val="11"/>
        <color rgb="FF363434"/>
        <rFont val="Arial"/>
        <family val="2"/>
      </rPr>
      <t>8.  Amy J. Falken 18935 Horizon Ct. Tuolumne, CA 95379</t>
    </r>
  </si>
  <si>
    <r>
      <rPr>
        <sz val="12"/>
        <color rgb="FF363434"/>
        <rFont val="Times New Roman"/>
        <family val="1"/>
      </rPr>
      <t xml:space="preserve">9.  </t>
    </r>
    <r>
      <rPr>
        <sz val="11"/>
        <color rgb="FF363434"/>
        <rFont val="Arial"/>
        <family val="2"/>
      </rPr>
      <t>Am</t>
    </r>
    <r>
      <rPr>
        <sz val="11"/>
        <color rgb="FF363434"/>
        <rFont val="Times New Roman"/>
        <family val="1"/>
      </rPr>
      <t xml:space="preserve">y Branch Blake 11731 GreenbayDr. Houston, TX  </t>
    </r>
    <r>
      <rPr>
        <sz val="12"/>
        <color rgb="FF363434"/>
        <rFont val="Times New Roman"/>
        <family val="1"/>
      </rPr>
      <t>77024</t>
    </r>
  </si>
  <si>
    <r>
      <rPr>
        <sz val="11"/>
        <color rgb="FF363434"/>
        <rFont val="Arial"/>
        <family val="2"/>
      </rPr>
      <t>10.  Angela Renee Rozniata 4624 Doe Run Dr.</t>
    </r>
  </si>
  <si>
    <r>
      <rPr>
        <sz val="11"/>
        <color rgb="FF363434"/>
        <rFont val="Arial"/>
        <family val="2"/>
      </rPr>
      <t>Yukon, OK  73099</t>
    </r>
  </si>
  <si>
    <r>
      <rPr>
        <sz val="12"/>
        <color rgb="FF363434"/>
        <rFont val="Times New Roman"/>
        <family val="1"/>
      </rPr>
      <t>11.</t>
    </r>
    <r>
      <rPr>
        <sz val="12"/>
        <color rgb="FF363434"/>
        <rFont val="Arial"/>
        <family val="2"/>
      </rPr>
      <t xml:space="preserve">  </t>
    </r>
    <r>
      <rPr>
        <sz val="11"/>
        <color rgb="FF363434"/>
        <rFont val="Arial"/>
        <family val="2"/>
      </rPr>
      <t>Angela Renee Rozniata</t>
    </r>
  </si>
  <si>
    <r>
      <rPr>
        <sz val="11"/>
        <color rgb="FF363434"/>
        <rFont val="Arial"/>
        <family val="2"/>
      </rPr>
      <t>c/o Jarod William Clifton Hayden 8563 Birch Creek Rd.</t>
    </r>
  </si>
  <si>
    <r>
      <rPr>
        <sz val="11"/>
        <color rgb="FF363434"/>
        <rFont val="Arial"/>
        <family val="2"/>
      </rPr>
      <t>Fort Worth, TX  76244</t>
    </r>
  </si>
  <si>
    <r>
      <rPr>
        <sz val="11"/>
        <color rgb="FF363434"/>
        <rFont val="Arial"/>
        <family val="2"/>
      </rPr>
      <t>12.  Anna Elizabeth Dolton</t>
    </r>
  </si>
  <si>
    <r>
      <rPr>
        <sz val="11"/>
        <color rgb="FF363434"/>
        <rFont val="Arial"/>
        <family val="2"/>
      </rPr>
      <t>c/o Virginia Lee Brewton Seeligson</t>
    </r>
  </si>
  <si>
    <r>
      <rPr>
        <sz val="12"/>
        <color rgb="FF363434"/>
        <rFont val="Times New Roman"/>
        <family val="1"/>
      </rPr>
      <t>4515</t>
    </r>
    <r>
      <rPr>
        <sz val="12"/>
        <color rgb="FF363434"/>
        <rFont val="Arial"/>
        <family val="2"/>
      </rPr>
      <t xml:space="preserve"> </t>
    </r>
    <r>
      <rPr>
        <sz val="11"/>
        <color rgb="FF363434"/>
        <rFont val="Arial"/>
        <family val="2"/>
      </rPr>
      <t>Willow Ln.</t>
    </r>
  </si>
  <si>
    <r>
      <rPr>
        <sz val="11"/>
        <color rgb="FF363434"/>
        <rFont val="Arial"/>
        <family val="2"/>
      </rPr>
      <t>Dallas, TX 75244</t>
    </r>
  </si>
  <si>
    <r>
      <rPr>
        <sz val="11"/>
        <color rgb="FF363434"/>
        <rFont val="Arial"/>
        <family val="2"/>
      </rPr>
      <t>13.  Anna Elizabeth Dolton c/o Brook Willie</t>
    </r>
  </si>
  <si>
    <r>
      <rPr>
        <sz val="11"/>
        <color rgb="FF363434"/>
        <rFont val="Arial"/>
        <family val="2"/>
      </rPr>
      <t>P.O. Box 822242 Dallas, TX 75382</t>
    </r>
  </si>
  <si>
    <r>
      <rPr>
        <sz val="11"/>
        <color rgb="FF363434"/>
        <rFont val="Arial"/>
        <family val="2"/>
      </rPr>
      <t>14.  Anna Elizabeth Dolton c/o Julia Klein</t>
    </r>
  </si>
  <si>
    <r>
      <rPr>
        <sz val="11"/>
        <color rgb="FF363434"/>
        <rFont val="Arial"/>
        <family val="2"/>
      </rPr>
      <t>P.O. Box 1362</t>
    </r>
  </si>
  <si>
    <r>
      <rPr>
        <sz val="11"/>
        <color rgb="FF363434"/>
        <rFont val="Arial"/>
        <family val="2"/>
      </rPr>
      <t>Grand Junction, CO 81502</t>
    </r>
  </si>
  <si>
    <r>
      <rPr>
        <sz val="11"/>
        <color rgb="FF363434"/>
        <rFont val="Arial"/>
        <family val="2"/>
      </rPr>
      <t>15.  Annette Vaden</t>
    </r>
  </si>
  <si>
    <r>
      <rPr>
        <sz val="11"/>
        <color rgb="FF363434"/>
        <rFont val="Arial"/>
        <family val="2"/>
      </rPr>
      <t>c/o Virginia Lee Brewton Seeligson 4515 Willow Ln.</t>
    </r>
  </si>
  <si>
    <r>
      <rPr>
        <sz val="11"/>
        <color rgb="FF363434"/>
        <rFont val="Arial"/>
        <family val="2"/>
      </rPr>
      <t>16.  Annette Vaden c/o Brook Willie</t>
    </r>
  </si>
  <si>
    <r>
      <rPr>
        <sz val="11"/>
        <color rgb="FF363434"/>
        <rFont val="Arial"/>
        <family val="2"/>
      </rPr>
      <t>P.O. Box 822242 Dallas, TX 7538_2</t>
    </r>
  </si>
  <si>
    <r>
      <rPr>
        <sz val="11"/>
        <color rgb="FF363434"/>
        <rFont val="Arial"/>
        <family val="2"/>
      </rPr>
      <t>17.  Annette Vaden c/o Julia Klein</t>
    </r>
  </si>
  <si>
    <r>
      <rPr>
        <sz val="11"/>
        <color rgb="FF363434"/>
        <rFont val="Arial"/>
        <family val="2"/>
      </rPr>
      <t xml:space="preserve">Grand Junction, </t>
    </r>
    <r>
      <rPr>
        <sz val="12"/>
        <color rgb="FF363434"/>
        <rFont val="Times New Roman"/>
        <family val="1"/>
      </rPr>
      <t>C</t>
    </r>
    <r>
      <rPr>
        <sz val="12"/>
        <color rgb="FF363434"/>
        <rFont val="Arial"/>
        <family val="2"/>
      </rPr>
      <t xml:space="preserve">O  </t>
    </r>
    <r>
      <rPr>
        <sz val="11"/>
        <color rgb="FF363434"/>
        <rFont val="Arial"/>
        <family val="2"/>
      </rPr>
      <t>81502</t>
    </r>
  </si>
  <si>
    <r>
      <rPr>
        <sz val="12"/>
        <color rgb="FF363434"/>
        <rFont val="Times New Roman"/>
        <family val="1"/>
      </rPr>
      <t>18.</t>
    </r>
    <r>
      <rPr>
        <sz val="12"/>
        <color rgb="FF363434"/>
        <rFont val="Arial"/>
        <family val="2"/>
      </rPr>
      <t xml:space="preserve">  </t>
    </r>
    <r>
      <rPr>
        <sz val="11"/>
        <color rgb="FF363434"/>
        <rFont val="Arial"/>
        <family val="2"/>
      </rPr>
      <t>Arthur Milton Mouser, Jr., a/k/a Arthur Mouser, Jr.</t>
    </r>
  </si>
  <si>
    <r>
      <rPr>
        <sz val="11"/>
        <color rgb="FF363434"/>
        <rFont val="Arial"/>
        <family val="2"/>
      </rPr>
      <t>11814 Cypresswood Dr.</t>
    </r>
  </si>
  <si>
    <r>
      <rPr>
        <sz val="11"/>
        <color rgb="FF363434"/>
        <rFont val="Arial"/>
        <family val="2"/>
      </rPr>
      <t>Houston</t>
    </r>
    <r>
      <rPr>
        <sz val="11"/>
        <color rgb="FF363434"/>
        <rFont val="Times New Roman"/>
        <family val="1"/>
      </rPr>
      <t xml:space="preserve">, TX </t>
    </r>
    <r>
      <rPr>
        <sz val="12"/>
        <color rgb="FF363434"/>
        <rFont val="Times New Roman"/>
        <family val="1"/>
      </rPr>
      <t>77070</t>
    </r>
  </si>
  <si>
    <r>
      <rPr>
        <sz val="12"/>
        <color rgb="FF363434"/>
        <rFont val="Times New Roman"/>
        <family val="1"/>
      </rPr>
      <t>19.</t>
    </r>
    <r>
      <rPr>
        <sz val="12"/>
        <color rgb="FF363434"/>
        <rFont val="Arial"/>
        <family val="2"/>
      </rPr>
      <t xml:space="preserve">  </t>
    </r>
    <r>
      <rPr>
        <sz val="11"/>
        <color rgb="FF363434"/>
        <rFont val="Arial"/>
        <family val="2"/>
      </rPr>
      <t>Barbara Chaney c/o Christopher Chaney 620 Lincoln Ave.</t>
    </r>
  </si>
  <si>
    <r>
      <rPr>
        <sz val="11"/>
        <color rgb="FF363434"/>
        <rFont val="Arial"/>
        <family val="2"/>
      </rPr>
      <t>Los Altos, CA  94022</t>
    </r>
  </si>
  <si>
    <r>
      <rPr>
        <sz val="6"/>
        <color rgb="FFF6A389"/>
        <rFont val="Times New Roman"/>
        <family val="1"/>
      </rPr>
      <t>,,.,h1</t>
    </r>
    <r>
      <rPr>
        <sz val="6"/>
        <color rgb="FFF6A389"/>
        <rFont val="Arial"/>
        <family val="2"/>
      </rPr>
      <t xml:space="preserve">      i( c•1r:te1 </t>
    </r>
    <r>
      <rPr>
        <sz val="4"/>
        <color rgb="FFF6A389"/>
        <rFont val="Arial"/>
        <family val="2"/>
      </rPr>
      <t xml:space="preserve">t-    </t>
    </r>
    <r>
      <rPr>
        <sz val="6"/>
        <color rgb="FFF6A389"/>
        <rFont val="Arial"/>
        <family val="2"/>
      </rPr>
      <t xml:space="preserve">wa      rt-     1eve(    f     r.       </t>
    </r>
    <r>
      <rPr>
        <sz val="6"/>
        <color rgb="FFF6A389"/>
        <rFont val="Times New Roman"/>
        <family val="1"/>
      </rPr>
      <t>gieaL</t>
    </r>
    <r>
      <rPr>
        <sz val="6"/>
        <color rgb="FFF6A389"/>
        <rFont val="Arial"/>
        <family val="2"/>
      </rPr>
      <t xml:space="preserve"> ita.,    </t>
    </r>
    <r>
      <rPr>
        <sz val="7"/>
        <color rgb="FFF6A389"/>
        <rFont val="Arial"/>
        <family val="2"/>
      </rPr>
      <t xml:space="preserve">r.. </t>
    </r>
    <r>
      <rPr>
        <sz val="6"/>
        <color rgb="FFF6A389"/>
        <rFont val="Arial"/>
        <family val="2"/>
      </rPr>
      <t xml:space="preserve">It   i     t-he   int     </t>
    </r>
    <r>
      <rPr>
        <vertAlign val="superscript"/>
        <sz val="3"/>
        <color rgb="FFF6A389"/>
        <rFont val="Arial"/>
        <family val="2"/>
      </rPr>
      <t xml:space="preserve">1  </t>
    </r>
    <r>
      <rPr>
        <sz val="6"/>
        <color rgb="FFF6A389"/>
        <rFont val="Arial"/>
        <family val="2"/>
      </rPr>
      <t>l e</t>
    </r>
    <r>
      <rPr>
        <sz val="6"/>
        <color rgb="FFF9BCAA"/>
        <rFont val="Arial"/>
        <family val="2"/>
      </rPr>
      <t xml:space="preserve">c </t>
    </r>
    <r>
      <rPr>
        <sz val="6"/>
        <color rgb="FFF6A389"/>
        <rFont val="Arial"/>
        <family val="2"/>
      </rPr>
      <t xml:space="preserve">t-u         i: r </t>
    </r>
    <r>
      <rPr>
        <sz val="6"/>
        <color rgb="FFF9BCAA"/>
        <rFont val="Arial"/>
        <family val="2"/>
      </rPr>
      <t xml:space="preserve">c </t>
    </r>
    <r>
      <rPr>
        <sz val="6"/>
        <color rgb="FFF6A389"/>
        <rFont val="Arial"/>
        <family val="2"/>
      </rPr>
      <t xml:space="preserve">- e  r t v     </t>
    </r>
    <r>
      <rPr>
        <sz val="6"/>
        <color rgb="FFF9BCAA"/>
        <rFont val="Arial"/>
        <family val="2"/>
      </rPr>
      <t xml:space="preserve">) </t>
    </r>
    <r>
      <rPr>
        <sz val="6"/>
        <color rgb="FFF6A389"/>
        <rFont val="Arial"/>
        <family val="2"/>
      </rPr>
      <t>f      giea,    I  c.    Pc   ;E       1</t>
    </r>
    <r>
      <rPr>
        <sz val="6"/>
        <color rgb="FFF9BCAA"/>
        <rFont val="Arial"/>
        <family val="2"/>
      </rPr>
      <t xml:space="preserve">c </t>
    </r>
    <r>
      <rPr>
        <sz val="6"/>
        <color rgb="FFF6A389"/>
        <rFont val="Arial"/>
        <family val="2"/>
      </rPr>
      <t xml:space="preserve">:1   </t>
    </r>
    <r>
      <rPr>
        <sz val="6"/>
        <color rgb="FFF9BCAA"/>
        <rFont val="Arial"/>
        <family val="2"/>
      </rPr>
      <t>)</t>
    </r>
    <r>
      <rPr>
        <sz val="6"/>
        <color rgb="FFF6A389"/>
        <rFont val="Arial"/>
        <family val="2"/>
      </rPr>
      <t>f   +!:!</t>
    </r>
  </si>
  <si>
    <r>
      <rPr>
        <sz val="6"/>
        <color rgb="FFF6A389"/>
        <rFont val="Times New Roman"/>
        <family val="1"/>
      </rPr>
      <t xml:space="preserve">d    </t>
    </r>
    <r>
      <rPr>
        <sz val="5"/>
        <color rgb="FFF6A389"/>
        <rFont val="Arial"/>
        <family val="2"/>
      </rPr>
      <t>,mrn</t>
    </r>
    <r>
      <rPr>
        <sz val="5"/>
        <color rgb="FFF6A389"/>
        <rFont val="Times New Roman"/>
        <family val="1"/>
      </rPr>
      <t xml:space="preserve">t   </t>
    </r>
    <r>
      <rPr>
        <sz val="6"/>
        <color rgb="FFF6A389"/>
        <rFont val="Times New Roman"/>
        <family val="1"/>
      </rPr>
      <t xml:space="preserve">by </t>
    </r>
    <r>
      <rPr>
        <sz val="5"/>
        <color rgb="FFF6A389"/>
        <rFont val="Arial"/>
        <family val="2"/>
      </rPr>
      <t>an</t>
    </r>
    <r>
      <rPr>
        <sz val="5"/>
        <color rgb="FFF6A389"/>
        <rFont val="Times New Roman"/>
        <family val="1"/>
      </rPr>
      <t>y</t>
    </r>
    <r>
      <rPr>
        <sz val="5"/>
        <color rgb="FFF9BCAA"/>
        <rFont val="Times New Roman"/>
        <family val="1"/>
      </rPr>
      <t>)</t>
    </r>
    <r>
      <rPr>
        <sz val="5"/>
        <color rgb="FFF6A389"/>
        <rFont val="Times New Roman"/>
        <family val="1"/>
      </rPr>
      <t xml:space="preserve">h      </t>
    </r>
    <r>
      <rPr>
        <sz val="5"/>
        <color rgb="FFF9BCAA"/>
        <rFont val="Times New Roman"/>
        <family val="1"/>
      </rPr>
      <t xml:space="preserve">) </t>
    </r>
    <r>
      <rPr>
        <sz val="5"/>
        <color rgb="FFF6A389"/>
        <rFont val="Times New Roman"/>
        <family val="1"/>
      </rPr>
      <t xml:space="preserve">t h e r:   </t>
    </r>
    <r>
      <rPr>
        <sz val="6"/>
        <color rgb="FFF6A389"/>
        <rFont val="Times New Roman"/>
        <family val="1"/>
      </rPr>
      <t xml:space="preserve">t-h    ,           </t>
    </r>
    <r>
      <rPr>
        <sz val="5"/>
        <color rgb="FFF6A389"/>
        <rFont val="Arial"/>
        <family val="2"/>
      </rPr>
      <t xml:space="preserve">1      </t>
    </r>
    <r>
      <rPr>
        <sz val="5"/>
        <color rgb="FFF6A389"/>
        <rFont val="Times New Roman"/>
        <family val="1"/>
      </rPr>
      <t xml:space="preserve"> ,   e              gie                .,     </t>
    </r>
    <r>
      <rPr>
        <sz val="4"/>
        <color rgb="FFF6A389"/>
        <rFont val="Times New Roman"/>
        <family val="1"/>
      </rPr>
      <t xml:space="preserve">'ll            </t>
    </r>
    <r>
      <rPr>
        <sz val="6"/>
        <color rgb="FFF6A389"/>
        <rFont val="Times New Roman"/>
        <family val="1"/>
      </rPr>
      <t xml:space="preserve">b     </t>
    </r>
    <r>
      <rPr>
        <sz val="5"/>
        <color rgb="FFF6A389"/>
        <rFont val="Arial"/>
        <family val="2"/>
      </rPr>
      <t>t:Lbc-</t>
    </r>
    <r>
      <rPr>
        <sz val="5"/>
        <color rgb="FFF6A389"/>
        <rFont val="Times New Roman"/>
        <family val="1"/>
      </rPr>
      <t xml:space="preserve">r   </t>
    </r>
    <r>
      <rPr>
        <sz val="5"/>
        <color rgb="FFF9BCAA"/>
        <rFont val="Times New Roman"/>
        <family val="1"/>
      </rPr>
      <t xml:space="preserve">c    </t>
    </r>
    <r>
      <rPr>
        <sz val="5"/>
        <color rgb="FFF6A389"/>
        <rFont val="Times New Roman"/>
        <family val="1"/>
      </rPr>
      <t>r   Eilt1</t>
    </r>
    <r>
      <rPr>
        <sz val="5"/>
        <color rgb="FFF9BCAA"/>
        <rFont val="Times New Roman"/>
        <family val="1"/>
      </rPr>
      <t xml:space="preserve">) </t>
    </r>
    <r>
      <rPr>
        <sz val="5"/>
        <color rgb="FFF6A389"/>
        <rFont val="Times New Roman"/>
        <family val="1"/>
      </rPr>
      <t xml:space="preserve">v dl       </t>
    </r>
    <r>
      <rPr>
        <sz val="6"/>
        <color rgb="FFF9BCAA"/>
        <rFont val="Times New Roman"/>
        <family val="1"/>
      </rPr>
      <t>)</t>
    </r>
    <r>
      <rPr>
        <sz val="6"/>
        <color rgb="FFF6A389"/>
        <rFont val="Times New Roman"/>
        <family val="1"/>
      </rPr>
      <t xml:space="preserve">f    </t>
    </r>
    <r>
      <rPr>
        <sz val="4"/>
        <color rgb="FFF6A389"/>
        <rFont val="Times New Roman"/>
        <family val="1"/>
      </rPr>
      <t xml:space="preserve">t-1--          </t>
    </r>
    <r>
      <rPr>
        <sz val="5"/>
        <color rgb="FFF6A389"/>
        <rFont val="Arial"/>
        <family val="2"/>
      </rPr>
      <t>at-erm,H</t>
    </r>
    <r>
      <rPr>
        <sz val="5"/>
        <color rgb="FFF6A389"/>
        <rFont val="Times New Roman"/>
        <family val="1"/>
      </rPr>
      <t xml:space="preserve">K   1           </t>
    </r>
    <r>
      <rPr>
        <sz val="5"/>
        <color rgb="FFF9BCAA"/>
        <rFont val="Times New Roman"/>
        <family val="1"/>
      </rPr>
      <t>)</t>
    </r>
    <r>
      <rPr>
        <sz val="5"/>
        <color rgb="FFF6A389"/>
        <rFont val="Times New Roman"/>
        <family val="1"/>
      </rPr>
      <t xml:space="preserve">t-  </t>
    </r>
    <r>
      <rPr>
        <sz val="6"/>
        <color rgb="FFF6A389"/>
        <rFont val="Times New Roman"/>
        <family val="1"/>
      </rPr>
      <t>b1tE :1.</t>
    </r>
  </si>
  <si>
    <r>
      <rPr>
        <sz val="11"/>
        <color rgb="FF363434"/>
        <rFont val="Arial"/>
        <family val="2"/>
      </rPr>
      <t xml:space="preserve">20.  Barbara Chaney c/o Amy </t>
    </r>
    <r>
      <rPr>
        <sz val="12"/>
        <color rgb="FF363434"/>
        <rFont val="Times New Roman"/>
        <family val="1"/>
      </rPr>
      <t>J</t>
    </r>
    <r>
      <rPr>
        <sz val="12"/>
        <color rgb="FF363434"/>
        <rFont val="Arial"/>
        <family val="2"/>
      </rPr>
      <t xml:space="preserve">. </t>
    </r>
    <r>
      <rPr>
        <sz val="11"/>
        <color rgb="FF363434"/>
        <rFont val="Arial"/>
        <family val="2"/>
      </rPr>
      <t>Falken 18935 Horizon Ct. Tuolumne, CA  95379</t>
    </r>
  </si>
  <si>
    <r>
      <rPr>
        <sz val="11"/>
        <color rgb="FF363434"/>
        <rFont val="Arial"/>
        <family val="2"/>
      </rPr>
      <t>21.  Barrett Drilling Company 1210 Gordon Cooper Dr. Shawnee, OK  74801</t>
    </r>
  </si>
  <si>
    <r>
      <rPr>
        <sz val="11"/>
        <color rgb="FF363434"/>
        <rFont val="Arial"/>
        <family val="2"/>
      </rPr>
      <t>22.  Bessylee D. Penland</t>
    </r>
  </si>
  <si>
    <r>
      <rPr>
        <sz val="11"/>
        <color rgb="FF363434"/>
        <rFont val="Arial"/>
        <family val="2"/>
      </rPr>
      <t xml:space="preserve">c/o Virginia Lee Brewton Seeligson 4515 </t>
    </r>
    <r>
      <rPr>
        <sz val="12"/>
        <color rgb="FF363434"/>
        <rFont val="Arial"/>
        <family val="2"/>
      </rPr>
      <t xml:space="preserve">Willow </t>
    </r>
    <r>
      <rPr>
        <sz val="11"/>
        <color rgb="FF363434"/>
        <rFont val="Arial"/>
        <family val="2"/>
      </rPr>
      <t>Ln.</t>
    </r>
  </si>
  <si>
    <r>
      <rPr>
        <sz val="11"/>
        <color rgb="FF363434"/>
        <rFont val="Arial"/>
        <family val="2"/>
      </rPr>
      <t>23.  Bessylee D. Penland c/o Brook Willie</t>
    </r>
  </si>
  <si>
    <r>
      <rPr>
        <sz val="11"/>
        <color rgb="FF363434"/>
        <rFont val="Arial"/>
        <family val="2"/>
      </rPr>
      <t>P.O. Box 822242 Dallas, TX  75382</t>
    </r>
  </si>
  <si>
    <r>
      <rPr>
        <sz val="11"/>
        <color rgb="FF363434"/>
        <rFont val="Arial"/>
        <family val="2"/>
      </rPr>
      <t>24.  Bessylee D. Penland c/o Julia Klein</t>
    </r>
  </si>
  <si>
    <r>
      <rPr>
        <sz val="11"/>
        <color rgb="FF363434"/>
        <rFont val="Arial"/>
        <family val="2"/>
      </rPr>
      <t>Grand Junction, CO  81502</t>
    </r>
  </si>
  <si>
    <r>
      <rPr>
        <sz val="11"/>
        <color rgb="FF363434"/>
        <rFont val="Arial"/>
        <family val="2"/>
      </rPr>
      <t xml:space="preserve">25.  Bethel Shover Corder c/o Judy Corder Thomas 1108 W. 5th Ave. Apt. 105 Kennewick, </t>
    </r>
    <r>
      <rPr>
        <sz val="12"/>
        <color rgb="FF363434"/>
        <rFont val="Arial"/>
        <family val="2"/>
      </rPr>
      <t xml:space="preserve">WA </t>
    </r>
    <r>
      <rPr>
        <sz val="11"/>
        <color rgb="FF363434"/>
        <rFont val="Arial"/>
        <family val="2"/>
      </rPr>
      <t>99336</t>
    </r>
  </si>
  <si>
    <r>
      <rPr>
        <sz val="11"/>
        <color rgb="FF363434"/>
        <rFont val="Arial"/>
        <family val="2"/>
      </rPr>
      <t>26.  Bethel Shover Corder c/o Jan Levy</t>
    </r>
  </si>
  <si>
    <r>
      <rPr>
        <sz val="11"/>
        <color rgb="FF363434"/>
        <rFont val="Arial"/>
        <family val="2"/>
      </rPr>
      <t>1075 NW Skyline Drive Pendleton, OR  97801</t>
    </r>
  </si>
  <si>
    <r>
      <rPr>
        <sz val="11"/>
        <color rgb="FF363434"/>
        <rFont val="Arial"/>
        <family val="2"/>
      </rPr>
      <t>27.  Bethel Shover Corder c/o Susan Jauhiainen</t>
    </r>
  </si>
  <si>
    <r>
      <rPr>
        <sz val="11"/>
        <color rgb="FF363434"/>
        <rFont val="Arial"/>
        <family val="2"/>
      </rPr>
      <t>18 Parkwood Circle Walla Walla, WA  99362</t>
    </r>
  </si>
  <si>
    <r>
      <rPr>
        <sz val="11"/>
        <color rgb="FF363434"/>
        <rFont val="Arial"/>
        <family val="2"/>
      </rPr>
      <t>28.  Bedard and Hale Drilling Company 3701 N. Harrison St.</t>
    </r>
  </si>
  <si>
    <r>
      <rPr>
        <sz val="11"/>
        <color rgb="FF363434"/>
        <rFont val="Arial"/>
        <family val="2"/>
      </rPr>
      <t>Shawnee, OK  74804</t>
    </r>
  </si>
  <si>
    <r>
      <rPr>
        <sz val="11"/>
        <color rgb="FF363434"/>
        <rFont val="Arial"/>
        <family val="2"/>
      </rPr>
      <t>29.  Bedard Minerals, LLC 3701 N. Harrison St. Shawnee, OK  74804</t>
    </r>
  </si>
  <si>
    <r>
      <rPr>
        <sz val="11"/>
        <color rgb="FF363434"/>
        <rFont val="Arial"/>
        <family val="2"/>
      </rPr>
      <t>30.  Bonnie Renshaw 481 Browns ln.  Apt. 835 Pittsburgh, PA  15237</t>
    </r>
  </si>
  <si>
    <r>
      <rPr>
        <sz val="11"/>
        <color rgb="FF363434"/>
        <rFont val="Arial"/>
        <family val="2"/>
      </rPr>
      <t>31.  Bonnie Renshaw c/o Cynthia A. Renshaw 1718 Fox Way Pittsburgh, PA  15203</t>
    </r>
  </si>
  <si>
    <r>
      <rPr>
        <sz val="11"/>
        <color rgb="FF363434"/>
        <rFont val="Arial"/>
        <family val="2"/>
      </rPr>
      <t>32.  Bonnie Renshaw</t>
    </r>
  </si>
  <si>
    <r>
      <rPr>
        <sz val="11"/>
        <color rgb="FF363434"/>
        <rFont val="Arial"/>
        <family val="2"/>
      </rPr>
      <t>c/o David Ernest Renshaw 416 S. Stoneman Ave., Apt. A Alhambra, CA  91801</t>
    </r>
  </si>
  <si>
    <r>
      <rPr>
        <sz val="11"/>
        <color rgb="FF363434"/>
        <rFont val="Arial"/>
        <family val="2"/>
      </rPr>
      <t>33. Brook Willie</t>
    </r>
  </si>
  <si>
    <r>
      <rPr>
        <sz val="11"/>
        <color rgb="FF363434"/>
        <rFont val="Arial"/>
        <family val="2"/>
      </rPr>
      <t xml:space="preserve">P.O. Box 822242 Dallas, </t>
    </r>
    <r>
      <rPr>
        <sz val="12"/>
        <color rgb="FF363434"/>
        <rFont val="Arial"/>
        <family val="2"/>
      </rPr>
      <t xml:space="preserve">TX </t>
    </r>
    <r>
      <rPr>
        <sz val="11"/>
        <color rgb="FF363434"/>
        <rFont val="Arial"/>
        <family val="2"/>
      </rPr>
      <t>75382</t>
    </r>
  </si>
  <si>
    <r>
      <rPr>
        <sz val="11"/>
        <color rgb="FF363434"/>
        <rFont val="Arial"/>
        <family val="2"/>
      </rPr>
      <t>34.  Brooksie Jeanne Agnich</t>
    </r>
  </si>
  <si>
    <r>
      <rPr>
        <sz val="11"/>
        <color rgb="FF363434"/>
        <rFont val="Arial"/>
        <family val="2"/>
      </rPr>
      <t xml:space="preserve">Dallas, </t>
    </r>
    <r>
      <rPr>
        <sz val="12"/>
        <color rgb="FF363434"/>
        <rFont val="Arial"/>
        <family val="2"/>
      </rPr>
      <t xml:space="preserve">TX </t>
    </r>
    <r>
      <rPr>
        <sz val="11"/>
        <color rgb="FF363434"/>
        <rFont val="Arial"/>
        <family val="2"/>
      </rPr>
      <t>75244</t>
    </r>
  </si>
  <si>
    <r>
      <rPr>
        <sz val="11"/>
        <color rgb="FF363434"/>
        <rFont val="Arial"/>
        <family val="2"/>
      </rPr>
      <t>35.  Brooksie Jeanne Agnich c/o Brook Willie</t>
    </r>
  </si>
  <si>
    <r>
      <rPr>
        <sz val="11"/>
        <color rgb="FF363434"/>
        <rFont val="Arial"/>
        <family val="2"/>
      </rPr>
      <t>36.  Brooksie Jeanne Agnich c/o Julia Klein</t>
    </r>
  </si>
  <si>
    <r>
      <rPr>
        <sz val="11"/>
        <color rgb="FF363434"/>
        <rFont val="Times New Roman"/>
        <family val="1"/>
      </rPr>
      <t>P.O</t>
    </r>
    <r>
      <rPr>
        <sz val="11"/>
        <color rgb="FF363434"/>
        <rFont val="Arial"/>
        <family val="2"/>
      </rPr>
      <t>. Box 1362</t>
    </r>
  </si>
  <si>
    <t>Grand Junction, CO  81502</t>
  </si>
  <si>
    <r>
      <rPr>
        <sz val="11"/>
        <color rgb="FF363434"/>
        <rFont val="Arial"/>
        <family val="2"/>
      </rPr>
      <t>37.  Brown and Borelli, Inc.</t>
    </r>
  </si>
  <si>
    <t>P.O. Box 747 Kingfisher, OK  73750</t>
  </si>
  <si>
    <r>
      <rPr>
        <sz val="11"/>
        <color rgb="FF363434"/>
        <rFont val="Arial"/>
        <family val="2"/>
      </rPr>
      <t>38.  Burleigh B. Renshaw</t>
    </r>
  </si>
  <si>
    <t>c/o Etta Sue Woodson Fallberg 2410 CR 3303</t>
  </si>
  <si>
    <r>
      <rPr>
        <sz val="11"/>
        <color rgb="FF363434"/>
        <rFont val="Arial"/>
        <family val="2"/>
      </rPr>
      <t>39</t>
    </r>
    <r>
      <rPr>
        <sz val="11"/>
        <color rgb="FF363434"/>
        <rFont val="Times New Roman"/>
        <family val="1"/>
      </rPr>
      <t xml:space="preserve">.    Carol  J.  Castonguay   Trustee  of  the  Carol  </t>
    </r>
    <r>
      <rPr>
        <sz val="12"/>
        <color rgb="FF363434"/>
        <rFont val="Times New Roman"/>
        <family val="1"/>
      </rPr>
      <t>J.</t>
    </r>
  </si>
  <si>
    <r>
      <rPr>
        <sz val="11"/>
        <color rgb="FF363434"/>
        <rFont val="Arial"/>
        <family val="2"/>
      </rPr>
      <t>Castonguay living Trust dated May 13, 1991 8425 S lulu St.</t>
    </r>
  </si>
  <si>
    <r>
      <rPr>
        <sz val="11"/>
        <color rgb="FF363434"/>
        <rFont val="Arial"/>
        <family val="2"/>
      </rPr>
      <t>Haysville, KS 67060</t>
    </r>
  </si>
  <si>
    <r>
      <rPr>
        <sz val="11"/>
        <color rgb="FF363434"/>
        <rFont val="Arial"/>
        <family val="2"/>
      </rPr>
      <t xml:space="preserve">40. Carol L. Jameson and William Madison Jameson, Co­ Trustees of the Carol </t>
    </r>
    <r>
      <rPr>
        <sz val="11"/>
        <color rgb="FF363434"/>
        <rFont val="Times New Roman"/>
        <family val="1"/>
      </rPr>
      <t>l</t>
    </r>
    <r>
      <rPr>
        <sz val="11"/>
        <color rgb="FF363434"/>
        <rFont val="Arial"/>
        <family val="2"/>
      </rPr>
      <t>.  Jameson 1996 Revocable Trust dated the 25th day of November, 1996</t>
    </r>
  </si>
  <si>
    <r>
      <rPr>
        <sz val="11"/>
        <color rgb="FF363434"/>
        <rFont val="Arial"/>
        <family val="2"/>
      </rPr>
      <t xml:space="preserve">7450 Stonebrook Parkway, </t>
    </r>
    <r>
      <rPr>
        <sz val="10"/>
        <color rgb="FF363434"/>
        <rFont val="Arial"/>
        <family val="2"/>
      </rPr>
      <t xml:space="preserve">Apt </t>
    </r>
    <r>
      <rPr>
        <sz val="11"/>
        <color rgb="FF363434"/>
        <rFont val="Arial"/>
        <family val="2"/>
      </rPr>
      <t>4211</t>
    </r>
  </si>
  <si>
    <r>
      <rPr>
        <sz val="6"/>
        <color rgb="FFF6A389"/>
        <rFont val="Courier New"/>
        <family val="3"/>
      </rPr>
      <t>eve</t>
    </r>
    <r>
      <rPr>
        <sz val="6"/>
        <color rgb="FFF6A389"/>
        <rFont val="Arial"/>
        <family val="2"/>
      </rPr>
      <t xml:space="preserve">( </t>
    </r>
    <r>
      <rPr>
        <sz val="7"/>
        <color rgb="FFF6A389"/>
        <rFont val="Arial"/>
        <family val="2"/>
      </rPr>
      <t xml:space="preserve">f      </t>
    </r>
    <r>
      <rPr>
        <sz val="6"/>
        <color rgb="FFF6A389"/>
        <rFont val="Arial"/>
        <family val="2"/>
      </rPr>
      <t xml:space="preserve">gieaL ita.,  . </t>
    </r>
    <r>
      <rPr>
        <sz val="7"/>
        <color rgb="FFF6A389"/>
        <rFont val="Arial"/>
        <family val="2"/>
      </rPr>
      <t xml:space="preserve">It i  +he </t>
    </r>
    <r>
      <rPr>
        <sz val="6"/>
        <color rgb="FFF6A389"/>
        <rFont val="Arial"/>
        <family val="2"/>
      </rPr>
      <t xml:space="preserve">int </t>
    </r>
    <r>
      <rPr>
        <vertAlign val="superscript"/>
        <sz val="6"/>
        <color rgb="FFF6A389"/>
        <rFont val="Arial"/>
        <family val="2"/>
      </rPr>
      <t xml:space="preserve">1 </t>
    </r>
    <r>
      <rPr>
        <sz val="7"/>
        <color rgb="FFF6A389"/>
        <rFont val="Arial"/>
        <family val="2"/>
      </rPr>
      <t>le</t>
    </r>
    <r>
      <rPr>
        <sz val="7"/>
        <color rgb="FFF9BCAA"/>
        <rFont val="Arial"/>
        <family val="2"/>
      </rPr>
      <t xml:space="preserve">c </t>
    </r>
    <r>
      <rPr>
        <sz val="7"/>
        <color rgb="FFF6A389"/>
        <rFont val="Arial"/>
        <family val="2"/>
      </rPr>
      <t xml:space="preserve">+u   </t>
    </r>
    <r>
      <rPr>
        <sz val="6"/>
        <color rgb="FFF6A389"/>
        <rFont val="Arial"/>
        <family val="2"/>
      </rPr>
      <t>r</t>
    </r>
    <r>
      <rPr>
        <sz val="6"/>
        <color rgb="FFF9BCAA"/>
        <rFont val="Arial"/>
        <family val="2"/>
      </rPr>
      <t>c</t>
    </r>
    <r>
      <rPr>
        <sz val="6"/>
        <color rgb="FFF6A389"/>
        <rFont val="Arial"/>
        <family val="2"/>
      </rPr>
      <t xml:space="preserve">-e r:tv  </t>
    </r>
    <r>
      <rPr>
        <b/>
        <sz val="6"/>
        <color rgb="FFF9BCAA"/>
        <rFont val="Times New Roman"/>
        <family val="1"/>
      </rPr>
      <t>&gt;</t>
    </r>
    <r>
      <rPr>
        <b/>
        <sz val="6"/>
        <color rgb="FFF6A389"/>
        <rFont val="Arial"/>
        <family val="2"/>
      </rPr>
      <t xml:space="preserve">f       </t>
    </r>
    <r>
      <rPr>
        <sz val="6"/>
        <color rgb="FFF6A389"/>
        <rFont val="Courier New"/>
        <family val="3"/>
      </rPr>
      <t>giea</t>
    </r>
    <r>
      <rPr>
        <sz val="6"/>
        <color rgb="FFF6A389"/>
        <rFont val="Arial"/>
        <family val="2"/>
      </rPr>
      <t xml:space="preserve">, </t>
    </r>
    <r>
      <rPr>
        <sz val="7"/>
        <color rgb="FFF6A389"/>
        <rFont val="Arial"/>
        <family val="2"/>
      </rPr>
      <t xml:space="preserve">I </t>
    </r>
    <r>
      <rPr>
        <sz val="6"/>
        <color rgb="FFF6A389"/>
        <rFont val="Arial"/>
        <family val="2"/>
      </rPr>
      <t xml:space="preserve">c. </t>
    </r>
    <r>
      <rPr>
        <sz val="7"/>
        <color rgb="FFF6A389"/>
        <rFont val="Arial"/>
        <family val="2"/>
      </rPr>
      <t xml:space="preserve">Pc </t>
    </r>
    <r>
      <rPr>
        <sz val="6"/>
        <color rgb="FFF6A389"/>
        <rFont val="Arial"/>
        <family val="2"/>
      </rPr>
      <t xml:space="preserve">;E  </t>
    </r>
    <r>
      <rPr>
        <sz val="7"/>
        <color rgb="FFF6A389"/>
        <rFont val="Arial"/>
        <family val="2"/>
      </rPr>
      <t>1</t>
    </r>
    <r>
      <rPr>
        <sz val="7"/>
        <color rgb="FFF9BCAA"/>
        <rFont val="Arial"/>
        <family val="2"/>
      </rPr>
      <t xml:space="preserve">c  </t>
    </r>
    <r>
      <rPr>
        <b/>
        <sz val="6"/>
        <color rgb="FFF9BCAA"/>
        <rFont val="Times New Roman"/>
        <family val="1"/>
      </rPr>
      <t>&gt;</t>
    </r>
    <r>
      <rPr>
        <b/>
        <sz val="6"/>
        <color rgb="FFF6A389"/>
        <rFont val="Arial"/>
        <family val="2"/>
      </rPr>
      <t>f   +h</t>
    </r>
  </si>
  <si>
    <r>
      <rPr>
        <sz val="4"/>
        <color rgb="FFF6A389"/>
        <rFont val="Arial"/>
        <family val="2"/>
      </rPr>
      <t xml:space="preserve">'!lL .. ,.    </t>
    </r>
    <r>
      <rPr>
        <sz val="6"/>
        <color rgb="FFF6A389"/>
        <rFont val="Times New Roman"/>
        <family val="1"/>
      </rPr>
      <t>by</t>
    </r>
    <r>
      <rPr>
        <sz val="6"/>
        <color rgb="FFF6A389"/>
        <rFont val="Arial"/>
        <family val="2"/>
      </rPr>
      <t xml:space="preserve">  </t>
    </r>
    <r>
      <rPr>
        <sz val="4"/>
        <color rgb="FFF6A389"/>
        <rFont val="Arial"/>
        <family val="2"/>
      </rPr>
      <t xml:space="preserve">ctl.lYJJI"--      </t>
    </r>
    <r>
      <rPr>
        <sz val="6"/>
        <color rgb="FFF9BCAA"/>
        <rFont val="Times New Roman"/>
        <family val="1"/>
      </rPr>
      <t>&gt;</t>
    </r>
    <r>
      <rPr>
        <sz val="6"/>
        <color rgb="FFF6A389"/>
        <rFont val="Arial"/>
        <family val="2"/>
      </rPr>
      <t xml:space="preserve">t  he   e   </t>
    </r>
    <r>
      <rPr>
        <b/>
        <sz val="6"/>
        <color rgb="FFF6A389"/>
        <rFont val="Times New Roman"/>
        <family val="1"/>
      </rPr>
      <t>t-h</t>
    </r>
    <r>
      <rPr>
        <b/>
        <sz val="6"/>
        <color rgb="FFF6A389"/>
        <rFont val="Arial"/>
        <family val="2"/>
      </rPr>
      <t xml:space="preserve">   </t>
    </r>
    <r>
      <rPr>
        <b/>
        <sz val="3"/>
        <color rgb="FFF6A389"/>
        <rFont val="Arial"/>
        <family val="2"/>
      </rPr>
      <t xml:space="preserve">1                  </t>
    </r>
    <r>
      <rPr>
        <b/>
        <sz val="5"/>
        <color rgb="FFF6A389"/>
        <rFont val="Times New Roman"/>
        <family val="1"/>
      </rPr>
      <t>1</t>
    </r>
    <r>
      <rPr>
        <b/>
        <sz val="5"/>
        <color rgb="FFF6A389"/>
        <rFont val="Arial"/>
        <family val="2"/>
      </rPr>
      <t xml:space="preserve">         </t>
    </r>
    <r>
      <rPr>
        <b/>
        <sz val="3"/>
        <color rgb="FFF6A389"/>
        <rFont val="Arial"/>
        <family val="2"/>
      </rPr>
      <t xml:space="preserve">1     </t>
    </r>
    <r>
      <rPr>
        <sz val="6"/>
        <color rgb="FFF6A389"/>
        <rFont val="Times New Roman"/>
        <family val="1"/>
      </rPr>
      <t>e</t>
    </r>
    <r>
      <rPr>
        <sz val="6"/>
        <color rgb="FFF6A389"/>
        <rFont val="Arial"/>
        <family val="2"/>
      </rPr>
      <t xml:space="preserve">              gie                 ·'     </t>
    </r>
    <r>
      <rPr>
        <sz val="4"/>
        <color rgb="FFF6A389"/>
        <rFont val="Arial"/>
        <family val="2"/>
      </rPr>
      <t xml:space="preserve">'ll            </t>
    </r>
    <r>
      <rPr>
        <sz val="6"/>
        <color rgb="FFF6A389"/>
        <rFont val="Arial"/>
        <family val="2"/>
      </rPr>
      <t xml:space="preserve">b    </t>
    </r>
    <r>
      <rPr>
        <sz val="4"/>
        <color rgb="FFF6A389"/>
        <rFont val="Arial"/>
        <family val="2"/>
      </rPr>
      <t xml:space="preserve">tLbC°t    </t>
    </r>
    <r>
      <rPr>
        <sz val="4"/>
        <color rgb="FFF9BCAA"/>
        <rFont val="Arial"/>
        <family val="2"/>
      </rPr>
      <t xml:space="preserve">C    </t>
    </r>
    <r>
      <rPr>
        <sz val="4"/>
        <color rgb="FFF6A389"/>
        <rFont val="Arial"/>
        <family val="2"/>
      </rPr>
      <t>r   Eilti</t>
    </r>
    <r>
      <rPr>
        <sz val="4"/>
        <color rgb="FFF9BCAA"/>
        <rFont val="Arial"/>
        <family val="2"/>
      </rPr>
      <t>)</t>
    </r>
    <r>
      <rPr>
        <sz val="4"/>
        <color rgb="FFF6A389"/>
        <rFont val="Arial"/>
        <family val="2"/>
      </rPr>
      <t xml:space="preserve">Vdl       </t>
    </r>
    <r>
      <rPr>
        <sz val="6"/>
        <color rgb="FFF9BCAA"/>
        <rFont val="Times New Roman"/>
        <family val="1"/>
      </rPr>
      <t>&gt;</t>
    </r>
    <r>
      <rPr>
        <sz val="6"/>
        <color rgb="FFF6A389"/>
        <rFont val="Arial"/>
        <family val="2"/>
      </rPr>
      <t xml:space="preserve">f   </t>
    </r>
    <r>
      <rPr>
        <sz val="5"/>
        <color rgb="FFF6A389"/>
        <rFont val="Arial"/>
        <family val="2"/>
      </rPr>
      <t xml:space="preserve">+I--        </t>
    </r>
    <r>
      <rPr>
        <sz val="4"/>
        <color rgb="FFF6A389"/>
        <rFont val="Arial"/>
        <family val="2"/>
      </rPr>
      <t xml:space="preserve">at-erm,HK   1              </t>
    </r>
    <r>
      <rPr>
        <sz val="6"/>
        <color rgb="FFF9BCAA"/>
        <rFont val="Arial"/>
        <family val="2"/>
      </rPr>
      <t>&gt;</t>
    </r>
    <r>
      <rPr>
        <sz val="6"/>
        <color rgb="FFF6A389"/>
        <rFont val="Arial"/>
        <family val="2"/>
      </rPr>
      <t xml:space="preserve">t-  </t>
    </r>
    <r>
      <rPr>
        <sz val="6"/>
        <color rgb="FFF6A389"/>
        <rFont val="Times New Roman"/>
        <family val="1"/>
      </rPr>
      <t>bltE</t>
    </r>
    <r>
      <rPr>
        <sz val="6"/>
        <color rgb="FFF6A389"/>
        <rFont val="Arial"/>
        <family val="2"/>
      </rPr>
      <t xml:space="preserve"> :l.</t>
    </r>
  </si>
  <si>
    <r>
      <rPr>
        <sz val="10"/>
        <color rgb="FF363434"/>
        <rFont val="Arial"/>
        <family val="2"/>
      </rPr>
      <t xml:space="preserve">APPLICANT: GASTAR </t>
    </r>
    <r>
      <rPr>
        <sz val="11"/>
        <color rgb="FF363434"/>
        <rFont val="Arial"/>
        <family val="2"/>
      </rPr>
      <t xml:space="preserve">EXPLORATION </t>
    </r>
    <r>
      <rPr>
        <sz val="10"/>
        <color rgb="FF363434"/>
        <rFont val="Arial"/>
        <family val="2"/>
      </rPr>
      <t>INC. CAUSE CD NO. 201</t>
    </r>
    <r>
      <rPr>
        <u/>
        <sz val="10"/>
        <color rgb="FF363434"/>
        <rFont val="Arial"/>
        <family val="2"/>
      </rPr>
      <t>                     </t>
    </r>
    <r>
      <rPr>
        <sz val="10"/>
        <color rgb="FF363434"/>
        <rFont val="Arial"/>
        <family val="2"/>
      </rPr>
      <t>_</t>
    </r>
  </si>
  <si>
    <r>
      <rPr>
        <sz val="12"/>
        <color rgb="FF363434"/>
        <rFont val="Times New Roman"/>
        <family val="1"/>
      </rPr>
      <t>41.</t>
    </r>
    <r>
      <rPr>
        <sz val="12"/>
        <color rgb="FF363434"/>
        <rFont val="Arial"/>
        <family val="2"/>
      </rPr>
      <t xml:space="preserve">  </t>
    </r>
    <r>
      <rPr>
        <sz val="11"/>
        <color rgb="FF363434"/>
        <rFont val="Arial"/>
        <family val="2"/>
      </rPr>
      <t>Carol L. Ridgeway 2503 Ashton Pl. Apt. 25C El Reno, OK  73036</t>
    </r>
  </si>
  <si>
    <r>
      <rPr>
        <sz val="12"/>
        <color rgb="FF363434"/>
        <rFont val="Times New Roman"/>
        <family val="1"/>
      </rPr>
      <t>42.</t>
    </r>
    <r>
      <rPr>
        <sz val="12"/>
        <color rgb="FF363434"/>
        <rFont val="Arial"/>
        <family val="2"/>
      </rPr>
      <t xml:space="preserve">  </t>
    </r>
    <r>
      <rPr>
        <sz val="11"/>
        <color rgb="FF363434"/>
        <rFont val="Arial"/>
        <family val="2"/>
      </rPr>
      <t>Chancey Dawn Duffy-Hailey 10727 E 120 St N.</t>
    </r>
  </si>
  <si>
    <t>Collinsville, OK 74021</t>
  </si>
  <si>
    <r>
      <rPr>
        <sz val="12"/>
        <color rgb="FF363434"/>
        <rFont val="Times New Roman"/>
        <family val="1"/>
      </rPr>
      <t xml:space="preserve">43.  </t>
    </r>
    <r>
      <rPr>
        <sz val="11"/>
        <color rgb="FF363434"/>
        <rFont val="Arial"/>
        <family val="2"/>
      </rPr>
      <t>Chaparra</t>
    </r>
    <r>
      <rPr>
        <sz val="11"/>
        <color rgb="FF363434"/>
        <rFont val="Times New Roman"/>
        <family val="1"/>
      </rPr>
      <t xml:space="preserve">l Energy, L.L.C. 701 Cedar Lake Blvd Oklahoma City, OK </t>
    </r>
    <r>
      <rPr>
        <sz val="12"/>
        <color rgb="FF363434"/>
        <rFont val="Times New Roman"/>
        <family val="1"/>
      </rPr>
      <t>73114</t>
    </r>
  </si>
  <si>
    <r>
      <rPr>
        <sz val="12"/>
        <color rgb="FF363434"/>
        <rFont val="Times New Roman"/>
        <family val="1"/>
      </rPr>
      <t>44.</t>
    </r>
    <r>
      <rPr>
        <sz val="12"/>
        <color rgb="FF363434"/>
        <rFont val="Arial"/>
        <family val="2"/>
      </rPr>
      <t xml:space="preserve">  </t>
    </r>
    <r>
      <rPr>
        <sz val="11"/>
        <color rgb="FF363434"/>
        <rFont val="Arial"/>
        <family val="2"/>
      </rPr>
      <t>Chesapeake Exploration, L.L.C.</t>
    </r>
  </si>
  <si>
    <r>
      <rPr>
        <sz val="11"/>
        <color rgb="FF363434"/>
        <rFont val="Arial"/>
        <family val="2"/>
      </rPr>
      <t>P.O</t>
    </r>
    <r>
      <rPr>
        <sz val="11"/>
        <color rgb="FF363434"/>
        <rFont val="Times New Roman"/>
        <family val="1"/>
      </rPr>
      <t xml:space="preserve">. Box </t>
    </r>
    <r>
      <rPr>
        <sz val="12"/>
        <color rgb="FF363434"/>
        <rFont val="Times New Roman"/>
        <family val="1"/>
      </rPr>
      <t>18496</t>
    </r>
  </si>
  <si>
    <r>
      <rPr>
        <sz val="11"/>
        <color rgb="FF363434"/>
        <rFont val="Arial"/>
        <family val="2"/>
      </rPr>
      <t>Oklahom</t>
    </r>
    <r>
      <rPr>
        <sz val="11"/>
        <color rgb="FF363434"/>
        <rFont val="Times New Roman"/>
        <family val="1"/>
      </rPr>
      <t xml:space="preserve">a City, OK </t>
    </r>
    <r>
      <rPr>
        <sz val="12"/>
        <color rgb="FF363434"/>
        <rFont val="Times New Roman"/>
        <family val="1"/>
      </rPr>
      <t>73154-0496</t>
    </r>
  </si>
  <si>
    <r>
      <rPr>
        <sz val="12"/>
        <color rgb="FF363434"/>
        <rFont val="Times New Roman"/>
        <family val="1"/>
      </rPr>
      <t>45.</t>
    </r>
    <r>
      <rPr>
        <sz val="12"/>
        <color rgb="FF363434"/>
        <rFont val="Arial"/>
        <family val="2"/>
      </rPr>
      <t xml:space="preserve"> </t>
    </r>
    <r>
      <rPr>
        <sz val="11"/>
        <color rgb="FF363434"/>
        <rFont val="Arial"/>
        <family val="2"/>
      </rPr>
      <t>Christopher Borelli 1105 Fay Cir</t>
    </r>
  </si>
  <si>
    <r>
      <rPr>
        <sz val="11"/>
        <color rgb="FF363434"/>
        <rFont val="Arial"/>
        <family val="2"/>
      </rPr>
      <t>Kingfisher, OK 73750-3822</t>
    </r>
  </si>
  <si>
    <r>
      <rPr>
        <sz val="12"/>
        <color rgb="FF363434"/>
        <rFont val="Times New Roman"/>
        <family val="1"/>
      </rPr>
      <t>46.</t>
    </r>
    <r>
      <rPr>
        <sz val="12"/>
        <color rgb="FF363434"/>
        <rFont val="Arial"/>
        <family val="2"/>
      </rPr>
      <t xml:space="preserve">  </t>
    </r>
    <r>
      <rPr>
        <sz val="11"/>
        <color rgb="FF363434"/>
        <rFont val="Arial"/>
        <family val="2"/>
      </rPr>
      <t>Christopher H. Chaney 620 Lincoln Ave.</t>
    </r>
  </si>
  <si>
    <r>
      <rPr>
        <sz val="11"/>
        <color rgb="FF363434"/>
        <rFont val="Arial"/>
        <family val="2"/>
      </rPr>
      <t xml:space="preserve">47.  Clinton James Duffy </t>
    </r>
    <r>
      <rPr>
        <sz val="12"/>
        <color rgb="FF363434"/>
        <rFont val="Times New Roman"/>
        <family val="1"/>
      </rPr>
      <t>16497</t>
    </r>
    <r>
      <rPr>
        <sz val="12"/>
        <color rgb="FF363434"/>
        <rFont val="Arial"/>
        <family val="2"/>
      </rPr>
      <t xml:space="preserve"> </t>
    </r>
    <r>
      <rPr>
        <sz val="11"/>
        <color rgb="FF363434"/>
        <rFont val="Arial"/>
        <family val="2"/>
      </rPr>
      <t>E. 122 St N. Collinsville, OK 74021</t>
    </r>
  </si>
  <si>
    <r>
      <rPr>
        <sz val="11"/>
        <color rgb="FF363434"/>
        <rFont val="Arial"/>
        <family val="2"/>
      </rPr>
      <t>48</t>
    </r>
    <r>
      <rPr>
        <sz val="11"/>
        <color rgb="FF363434"/>
        <rFont val="Times New Roman"/>
        <family val="1"/>
      </rPr>
      <t xml:space="preserve">. Cynthia A. Renshaw 1718 Fox Way Pittsburgh, PA  </t>
    </r>
    <r>
      <rPr>
        <sz val="12"/>
        <color rgb="FF363434"/>
        <rFont val="Times New Roman"/>
        <family val="1"/>
      </rPr>
      <t>15203</t>
    </r>
  </si>
  <si>
    <r>
      <rPr>
        <sz val="12"/>
        <color rgb="FF363434"/>
        <rFont val="Times New Roman"/>
        <family val="1"/>
      </rPr>
      <t>49.</t>
    </r>
    <r>
      <rPr>
        <sz val="12"/>
        <color rgb="FF363434"/>
        <rFont val="Arial"/>
        <family val="2"/>
      </rPr>
      <t xml:space="preserve">  </t>
    </r>
    <r>
      <rPr>
        <sz val="11"/>
        <color rgb="FF363434"/>
        <rFont val="Arial"/>
        <family val="2"/>
      </rPr>
      <t>Daniel Brown</t>
    </r>
  </si>
  <si>
    <r>
      <rPr>
        <sz val="11"/>
        <color rgb="FF363434"/>
        <rFont val="Arial"/>
        <family val="2"/>
      </rPr>
      <t>1317</t>
    </r>
    <r>
      <rPr>
        <sz val="11"/>
        <color rgb="FF363434"/>
        <rFont val="Times New Roman"/>
        <family val="1"/>
      </rPr>
      <t xml:space="preserve">0 N. MacArthur Blvd. Oklahoma City, OK  </t>
    </r>
    <r>
      <rPr>
        <sz val="12"/>
        <color rgb="FF363434"/>
        <rFont val="Times New Roman"/>
        <family val="1"/>
      </rPr>
      <t>73142</t>
    </r>
  </si>
  <si>
    <r>
      <rPr>
        <sz val="11"/>
        <color rgb="FF363434"/>
        <rFont val="Arial"/>
        <family val="2"/>
      </rPr>
      <t>50.  Daryl Jean Wilcox Jehle</t>
    </r>
  </si>
  <si>
    <r>
      <rPr>
        <sz val="12"/>
        <color rgb="FF363434"/>
        <rFont val="Times New Roman"/>
        <family val="1"/>
      </rPr>
      <t>814</t>
    </r>
    <r>
      <rPr>
        <sz val="12"/>
        <color rgb="FF363434"/>
        <rFont val="Arial"/>
        <family val="2"/>
      </rPr>
      <t xml:space="preserve"> </t>
    </r>
    <r>
      <rPr>
        <sz val="11"/>
        <color rgb="FF363434"/>
        <rFont val="Arial"/>
        <family val="2"/>
      </rPr>
      <t>Main St.</t>
    </r>
  </si>
  <si>
    <r>
      <rPr>
        <sz val="11"/>
        <color rgb="FF363434"/>
        <rFont val="Arial"/>
        <family val="2"/>
      </rPr>
      <t>Wayne</t>
    </r>
    <r>
      <rPr>
        <sz val="11"/>
        <color rgb="FF363434"/>
        <rFont val="Times New Roman"/>
        <family val="1"/>
      </rPr>
      <t xml:space="preserve">, NE </t>
    </r>
    <r>
      <rPr>
        <sz val="12"/>
        <color rgb="FF363434"/>
        <rFont val="Times New Roman"/>
        <family val="1"/>
      </rPr>
      <t>68787</t>
    </r>
  </si>
  <si>
    <r>
      <rPr>
        <sz val="11"/>
        <color rgb="FF363434"/>
        <rFont val="Arial"/>
        <family val="2"/>
      </rPr>
      <t>51.  David Brown</t>
    </r>
  </si>
  <si>
    <r>
      <rPr>
        <sz val="11"/>
        <color rgb="FF363434"/>
        <rFont val="Arial"/>
        <family val="2"/>
      </rPr>
      <t>13170 N. MacArthur Blvd. Oklahoma City, OK  73142</t>
    </r>
  </si>
  <si>
    <r>
      <rPr>
        <sz val="12"/>
        <color rgb="FF363434"/>
        <rFont val="Times New Roman"/>
        <family val="1"/>
      </rPr>
      <t>52.</t>
    </r>
    <r>
      <rPr>
        <sz val="12"/>
        <color rgb="FF363434"/>
        <rFont val="Arial"/>
        <family val="2"/>
      </rPr>
      <t xml:space="preserve">  </t>
    </r>
    <r>
      <rPr>
        <sz val="11"/>
        <color rgb="FF363434"/>
        <rFont val="Arial"/>
        <family val="2"/>
      </rPr>
      <t xml:space="preserve">David E. Renshaw c/o Cynthia A. Renshaw </t>
    </r>
    <r>
      <rPr>
        <sz val="12"/>
        <color rgb="FF363434"/>
        <rFont val="Times New Roman"/>
        <family val="1"/>
      </rPr>
      <t>1718</t>
    </r>
    <r>
      <rPr>
        <sz val="12"/>
        <color rgb="FF363434"/>
        <rFont val="Arial"/>
        <family val="2"/>
      </rPr>
      <t xml:space="preserve"> </t>
    </r>
    <r>
      <rPr>
        <sz val="11"/>
        <color rgb="FF363434"/>
        <rFont val="Arial"/>
        <family val="2"/>
      </rPr>
      <t>Fox Way Pittsburgh, PA  15203</t>
    </r>
  </si>
  <si>
    <r>
      <rPr>
        <sz val="11"/>
        <color rgb="FF363434"/>
        <rFont val="Arial"/>
        <family val="2"/>
      </rPr>
      <t>53. David E. Renshaw  c/o David Ernest Renshaw</t>
    </r>
  </si>
  <si>
    <r>
      <rPr>
        <sz val="12"/>
        <color rgb="FF363434"/>
        <rFont val="Times New Roman"/>
        <family val="1"/>
      </rPr>
      <t xml:space="preserve">416 </t>
    </r>
    <r>
      <rPr>
        <sz val="11"/>
        <color rgb="FF363434"/>
        <rFont val="Arial"/>
        <family val="2"/>
      </rPr>
      <t>S</t>
    </r>
    <r>
      <rPr>
        <sz val="11"/>
        <color rgb="FF363434"/>
        <rFont val="Times New Roman"/>
        <family val="1"/>
      </rPr>
      <t xml:space="preserve">. Stoneman Ave., Apt. A Alhambra, CA </t>
    </r>
    <r>
      <rPr>
        <sz val="12"/>
        <color rgb="FF363434"/>
        <rFont val="Times New Roman"/>
        <family val="1"/>
      </rPr>
      <t>91801</t>
    </r>
  </si>
  <si>
    <r>
      <rPr>
        <sz val="12"/>
        <color rgb="FF363434"/>
        <rFont val="Times New Roman"/>
        <family val="1"/>
      </rPr>
      <t>54.</t>
    </r>
    <r>
      <rPr>
        <sz val="12"/>
        <color rgb="FF363434"/>
        <rFont val="Arial"/>
        <family val="2"/>
      </rPr>
      <t xml:space="preserve">  </t>
    </r>
    <r>
      <rPr>
        <sz val="11"/>
        <color rgb="FF363434"/>
        <rFont val="Arial"/>
        <family val="2"/>
      </rPr>
      <t xml:space="preserve">David </t>
    </r>
    <r>
      <rPr>
        <sz val="12"/>
        <color rgb="FF363434"/>
        <rFont val="Times New Roman"/>
        <family val="1"/>
      </rPr>
      <t>E</t>
    </r>
    <r>
      <rPr>
        <sz val="12"/>
        <color rgb="FF363434"/>
        <rFont val="Arial"/>
        <family val="2"/>
      </rPr>
      <t xml:space="preserve">. </t>
    </r>
    <r>
      <rPr>
        <sz val="11"/>
        <color rgb="FF363434"/>
        <rFont val="Arial"/>
        <family val="2"/>
      </rPr>
      <t>Renshaw c/o Nita Renshaw</t>
    </r>
  </si>
  <si>
    <r>
      <rPr>
        <sz val="12"/>
        <color rgb="FF363434"/>
        <rFont val="Times New Roman"/>
        <family val="1"/>
      </rPr>
      <t xml:space="preserve">9133 </t>
    </r>
    <r>
      <rPr>
        <sz val="11"/>
        <color rgb="FF363434"/>
        <rFont val="Arial"/>
        <family val="2"/>
      </rPr>
      <t>Bair</t>
    </r>
    <r>
      <rPr>
        <sz val="11"/>
        <color rgb="FF363434"/>
        <rFont val="Times New Roman"/>
        <family val="1"/>
      </rPr>
      <t xml:space="preserve">d Rd. Apt. </t>
    </r>
    <r>
      <rPr>
        <sz val="12"/>
        <color rgb="FF363434"/>
        <rFont val="Times New Roman"/>
        <family val="1"/>
      </rPr>
      <t>224</t>
    </r>
  </si>
  <si>
    <r>
      <rPr>
        <sz val="11"/>
        <color rgb="FF363434"/>
        <rFont val="Arial"/>
        <family val="2"/>
      </rPr>
      <t>Shreveport</t>
    </r>
    <r>
      <rPr>
        <sz val="11"/>
        <color rgb="FF363434"/>
        <rFont val="Times New Roman"/>
        <family val="1"/>
      </rPr>
      <t xml:space="preserve">, LA </t>
    </r>
    <r>
      <rPr>
        <sz val="12"/>
        <color rgb="FF363434"/>
        <rFont val="Times New Roman"/>
        <family val="1"/>
      </rPr>
      <t>71118</t>
    </r>
  </si>
  <si>
    <r>
      <rPr>
        <sz val="12"/>
        <color rgb="FF363434"/>
        <rFont val="Times New Roman"/>
        <family val="1"/>
      </rPr>
      <t>55.</t>
    </r>
    <r>
      <rPr>
        <sz val="12"/>
        <color rgb="FF363434"/>
        <rFont val="Arial"/>
        <family val="2"/>
      </rPr>
      <t xml:space="preserve">  </t>
    </r>
    <r>
      <rPr>
        <sz val="11"/>
        <color rgb="FF363434"/>
        <rFont val="Arial"/>
        <family val="2"/>
      </rPr>
      <t>David E. Renshaw</t>
    </r>
  </si>
  <si>
    <r>
      <rPr>
        <sz val="11"/>
        <color rgb="FF363434"/>
        <rFont val="Arial"/>
        <family val="2"/>
      </rPr>
      <t>c/o John Charles Renshaw, Jr. 300 S. Kings Canyon Dr.</t>
    </r>
  </si>
  <si>
    <r>
      <rPr>
        <sz val="11"/>
        <color rgb="FF363434"/>
        <rFont val="Arial"/>
        <family val="2"/>
      </rPr>
      <t>Cedar Park, TX 78613</t>
    </r>
  </si>
  <si>
    <r>
      <rPr>
        <sz val="11"/>
        <color rgb="FF363434"/>
        <rFont val="Arial"/>
        <family val="2"/>
      </rPr>
      <t>56. David Ellery Renshaw, Jr. c/o Cynthia A. Renshaw</t>
    </r>
  </si>
  <si>
    <r>
      <rPr>
        <sz val="11"/>
        <color rgb="FF363434"/>
        <rFont val="Arial"/>
        <family val="2"/>
      </rPr>
      <t>1718 Fox Way</t>
    </r>
  </si>
  <si>
    <r>
      <rPr>
        <sz val="11"/>
        <color rgb="FF363434"/>
        <rFont val="Arial"/>
        <family val="2"/>
      </rPr>
      <t>Pittsburgh, PA  15203</t>
    </r>
  </si>
  <si>
    <r>
      <rPr>
        <sz val="12"/>
        <color rgb="FF363434"/>
        <rFont val="Times New Roman"/>
        <family val="1"/>
      </rPr>
      <t>57.</t>
    </r>
    <r>
      <rPr>
        <sz val="12"/>
        <color rgb="FF363434"/>
        <rFont val="Arial"/>
        <family val="2"/>
      </rPr>
      <t xml:space="preserve">  </t>
    </r>
    <r>
      <rPr>
        <sz val="11"/>
        <color rgb="FF363434"/>
        <rFont val="Arial"/>
        <family val="2"/>
      </rPr>
      <t>David Ellery Renshaw, Jr. c/o David Ernest Renshaw 416 S. Stoneman Ave., Apt. A Alhambra, CA 91801</t>
    </r>
  </si>
  <si>
    <r>
      <rPr>
        <sz val="12"/>
        <color rgb="FF363434"/>
        <rFont val="Times New Roman"/>
        <family val="1"/>
      </rPr>
      <t>58.</t>
    </r>
    <r>
      <rPr>
        <sz val="12"/>
        <color rgb="FF363434"/>
        <rFont val="Arial"/>
        <family val="2"/>
      </rPr>
      <t xml:space="preserve">  </t>
    </r>
    <r>
      <rPr>
        <sz val="11"/>
        <color rgb="FF363434"/>
        <rFont val="Arial"/>
        <family val="2"/>
      </rPr>
      <t xml:space="preserve">David Ernest Renshaw 416 S. Stoneman Ave., Apt. </t>
    </r>
    <r>
      <rPr>
        <sz val="12"/>
        <color rgb="FF363434"/>
        <rFont val="Arial"/>
        <family val="2"/>
      </rPr>
      <t xml:space="preserve">A </t>
    </r>
    <r>
      <rPr>
        <sz val="11"/>
        <color rgb="FF363434"/>
        <rFont val="Arial"/>
        <family val="2"/>
      </rPr>
      <t>Alhambra, CA  91801</t>
    </r>
  </si>
  <si>
    <r>
      <rPr>
        <sz val="12"/>
        <color rgb="FF363434"/>
        <rFont val="Times New Roman"/>
        <family val="1"/>
      </rPr>
      <t>59.</t>
    </r>
    <r>
      <rPr>
        <sz val="12"/>
        <color rgb="FF363434"/>
        <rFont val="Arial"/>
        <family val="2"/>
      </rPr>
      <t xml:space="preserve">  </t>
    </r>
    <r>
      <rPr>
        <sz val="11"/>
        <color rgb="FF363434"/>
        <rFont val="Arial"/>
        <family val="2"/>
      </rPr>
      <t xml:space="preserve">David </t>
    </r>
    <r>
      <rPr>
        <sz val="12"/>
        <color rgb="FF363434"/>
        <rFont val="Arial"/>
        <family val="2"/>
      </rPr>
      <t xml:space="preserve">H. </t>
    </r>
    <r>
      <rPr>
        <sz val="11"/>
        <color rgb="FF363434"/>
        <rFont val="Arial"/>
        <family val="2"/>
      </rPr>
      <t>lngle and Twila Rae Ingle, HW, JT 19762 E 700 Road</t>
    </r>
  </si>
  <si>
    <r>
      <rPr>
        <sz val="11"/>
        <color rgb="FF363434"/>
        <rFont val="Arial"/>
        <family val="2"/>
      </rPr>
      <t>Dover</t>
    </r>
    <r>
      <rPr>
        <sz val="11"/>
        <color rgb="FF363434"/>
        <rFont val="Times New Roman"/>
        <family val="1"/>
      </rPr>
      <t xml:space="preserve">, OK </t>
    </r>
    <r>
      <rPr>
        <sz val="12"/>
        <color rgb="FF363434"/>
        <rFont val="Times New Roman"/>
        <family val="1"/>
      </rPr>
      <t>73734</t>
    </r>
  </si>
  <si>
    <r>
      <rPr>
        <sz val="11"/>
        <color rgb="FF363434"/>
        <rFont val="Arial"/>
        <family val="2"/>
      </rPr>
      <t xml:space="preserve">60.  Dean </t>
    </r>
    <r>
      <rPr>
        <sz val="11"/>
        <color rgb="FF363434"/>
        <rFont val="Times New Roman"/>
        <family val="1"/>
      </rPr>
      <t>A</t>
    </r>
    <r>
      <rPr>
        <sz val="11"/>
        <color rgb="FF363434"/>
        <rFont val="Arial"/>
        <family val="2"/>
      </rPr>
      <t xml:space="preserve">. Fleshman &amp; Carole S. Johnson, Trustees c/o Steven </t>
    </r>
    <r>
      <rPr>
        <sz val="11"/>
        <color rgb="FF363434"/>
        <rFont val="Times New Roman"/>
        <family val="1"/>
      </rPr>
      <t>A</t>
    </r>
    <r>
      <rPr>
        <sz val="11"/>
        <color rgb="FF363434"/>
        <rFont val="Arial"/>
        <family val="2"/>
      </rPr>
      <t>. Lee</t>
    </r>
  </si>
  <si>
    <r>
      <rPr>
        <sz val="11"/>
        <color rgb="FF363434"/>
        <rFont val="Arial"/>
        <family val="2"/>
      </rPr>
      <t>1800 NW 3rd St.</t>
    </r>
  </si>
  <si>
    <r>
      <rPr>
        <sz val="11"/>
        <color rgb="FF363434"/>
        <rFont val="Arial"/>
        <family val="2"/>
      </rPr>
      <t>Oklahoma City, OK  73106</t>
    </r>
  </si>
  <si>
    <r>
      <rPr>
        <sz val="11"/>
        <color rgb="FF363434"/>
        <rFont val="Arial"/>
        <family val="2"/>
      </rPr>
      <t>61.  Dennis Wilcox</t>
    </r>
  </si>
  <si>
    <r>
      <rPr>
        <sz val="11"/>
        <color rgb="FF363434"/>
        <rFont val="Arial"/>
        <family val="2"/>
      </rPr>
      <t>c/o Daryl Jean Wilcox Jehle 814 Main St.</t>
    </r>
  </si>
  <si>
    <r>
      <rPr>
        <sz val="11"/>
        <color rgb="FF363434"/>
        <rFont val="Arial"/>
        <family val="2"/>
      </rPr>
      <t>Wayne, NE 68787</t>
    </r>
  </si>
  <si>
    <r>
      <rPr>
        <sz val="11"/>
        <color rgb="FF363434"/>
        <rFont val="Arial"/>
        <family val="2"/>
      </rPr>
      <t>62.  Devon Energy Production Company, L.P., successor by merger with Ocean Energy, Inc., successor by merger with Seagull Energy E&amp;P Inc., successor by merger with Seagull Midcon Inc.</t>
    </r>
  </si>
  <si>
    <r>
      <rPr>
        <sz val="11"/>
        <color rgb="FF363434"/>
        <rFont val="Arial"/>
        <family val="2"/>
      </rPr>
      <t>333 W. Sheridan Avenue Oklahoma City, OK 73102-5015</t>
    </r>
  </si>
  <si>
    <r>
      <rPr>
        <sz val="6"/>
        <color rgb="FFF6A389"/>
        <rFont val="Times New Roman"/>
        <family val="1"/>
      </rPr>
      <t>,,.,h1</t>
    </r>
    <r>
      <rPr>
        <sz val="6"/>
        <color rgb="FFF6A389"/>
        <rFont val="Arial"/>
        <family val="2"/>
      </rPr>
      <t xml:space="preserve">      ioc•1r:te1t-   wa      rEt-   1eve(    f    </t>
    </r>
    <r>
      <rPr>
        <sz val="5"/>
        <color rgb="FFF9BCAA"/>
        <rFont val="Arial"/>
        <family val="2"/>
      </rPr>
      <t>)</t>
    </r>
    <r>
      <rPr>
        <sz val="5"/>
        <color rgb="FFF6A389"/>
        <rFont val="Arial"/>
        <family val="2"/>
      </rPr>
      <t xml:space="preserve">r;         </t>
    </r>
    <r>
      <rPr>
        <sz val="6"/>
        <color rgb="FFF6A389"/>
        <rFont val="Times New Roman"/>
        <family val="1"/>
      </rPr>
      <t>gieaLlta.,</t>
    </r>
    <r>
      <rPr>
        <sz val="6"/>
        <color rgb="FFF6A389"/>
        <rFont val="Arial"/>
        <family val="2"/>
      </rPr>
      <t xml:space="preserve">   </t>
    </r>
    <r>
      <rPr>
        <sz val="5"/>
        <color rgb="FFF9BCAA"/>
        <rFont val="Arial"/>
        <family val="2"/>
      </rPr>
      <t>)</t>
    </r>
    <r>
      <rPr>
        <sz val="5"/>
        <color rgb="FFF6A389"/>
        <rFont val="Arial"/>
        <family val="2"/>
      </rPr>
      <t xml:space="preserve">r;.    </t>
    </r>
    <r>
      <rPr>
        <sz val="6"/>
        <color rgb="FFF6A389"/>
        <rFont val="Times New Roman"/>
        <family val="1"/>
      </rPr>
      <t>It</t>
    </r>
    <r>
      <rPr>
        <sz val="6"/>
        <color rgb="FFF6A389"/>
        <rFont val="Arial"/>
        <family val="2"/>
      </rPr>
      <t xml:space="preserve">    i·   t-he   i ntE </t>
    </r>
    <r>
      <rPr>
        <vertAlign val="superscript"/>
        <sz val="6"/>
        <color rgb="FFF6A389"/>
        <rFont val="Arial"/>
        <family val="2"/>
      </rPr>
      <t>1</t>
    </r>
    <r>
      <rPr>
        <sz val="6"/>
        <color rgb="FFF6A389"/>
        <rFont val="Arial"/>
        <family val="2"/>
      </rPr>
      <t>l e</t>
    </r>
    <r>
      <rPr>
        <sz val="6"/>
        <color rgb="FFF9BCAA"/>
        <rFont val="Arial"/>
        <family val="2"/>
      </rPr>
      <t xml:space="preserve">c </t>
    </r>
    <r>
      <rPr>
        <sz val="6"/>
        <color rgb="FFF6A389"/>
        <rFont val="Arial"/>
        <family val="2"/>
      </rPr>
      <t xml:space="preserve">t-u         i: r </t>
    </r>
    <r>
      <rPr>
        <sz val="6"/>
        <color rgb="FFF9BCAA"/>
        <rFont val="Arial"/>
        <family val="2"/>
      </rPr>
      <t xml:space="preserve">c </t>
    </r>
    <r>
      <rPr>
        <sz val="6"/>
        <color rgb="FFF6A389"/>
        <rFont val="Arial"/>
        <family val="2"/>
      </rPr>
      <t xml:space="preserve">- e  r t v     </t>
    </r>
    <r>
      <rPr>
        <sz val="6"/>
        <color rgb="FFF9BCAA"/>
        <rFont val="Arial"/>
        <family val="2"/>
      </rPr>
      <t xml:space="preserve">) </t>
    </r>
    <r>
      <rPr>
        <sz val="6"/>
        <color rgb="FFF6A389"/>
        <rFont val="Arial"/>
        <family val="2"/>
      </rPr>
      <t>f      giea,    I  c.    Pc   ;E       1</t>
    </r>
    <r>
      <rPr>
        <sz val="6"/>
        <color rgb="FFF9BCAA"/>
        <rFont val="Arial"/>
        <family val="2"/>
      </rPr>
      <t xml:space="preserve">c </t>
    </r>
    <r>
      <rPr>
        <sz val="6"/>
        <color rgb="FFF6A389"/>
        <rFont val="Arial"/>
        <family val="2"/>
      </rPr>
      <t xml:space="preserve">:1   </t>
    </r>
    <r>
      <rPr>
        <sz val="6"/>
        <color rgb="FFF9BCAA"/>
        <rFont val="Arial"/>
        <family val="2"/>
      </rPr>
      <t>)</t>
    </r>
    <r>
      <rPr>
        <sz val="6"/>
        <color rgb="FFF6A389"/>
        <rFont val="Arial"/>
        <family val="2"/>
      </rPr>
      <t>f   +!:!</t>
    </r>
  </si>
  <si>
    <r>
      <rPr>
        <sz val="6"/>
        <color rgb="FFF6A389"/>
        <rFont val="Times New Roman"/>
        <family val="1"/>
      </rPr>
      <t xml:space="preserve">d,   </t>
    </r>
    <r>
      <rPr>
        <sz val="5"/>
        <color rgb="FFF6A389"/>
        <rFont val="Arial"/>
        <family val="2"/>
      </rPr>
      <t>,mrn</t>
    </r>
    <r>
      <rPr>
        <sz val="5"/>
        <color rgb="FFF6A389"/>
        <rFont val="Times New Roman"/>
        <family val="1"/>
      </rPr>
      <t xml:space="preserve">t   </t>
    </r>
    <r>
      <rPr>
        <sz val="6"/>
        <color rgb="FFF6A389"/>
        <rFont val="Times New Roman"/>
        <family val="1"/>
      </rPr>
      <t xml:space="preserve">by </t>
    </r>
    <r>
      <rPr>
        <sz val="5"/>
        <color rgb="FFF6A389"/>
        <rFont val="Arial"/>
        <family val="2"/>
      </rPr>
      <t>an</t>
    </r>
    <r>
      <rPr>
        <sz val="5"/>
        <color rgb="FFF6A389"/>
        <rFont val="Times New Roman"/>
        <family val="1"/>
      </rPr>
      <t>y</t>
    </r>
    <r>
      <rPr>
        <sz val="5"/>
        <color rgb="FFF9BCAA"/>
        <rFont val="Times New Roman"/>
        <family val="1"/>
      </rPr>
      <t>)</t>
    </r>
    <r>
      <rPr>
        <sz val="5"/>
        <color rgb="FFF6A389"/>
        <rFont val="Times New Roman"/>
        <family val="1"/>
      </rPr>
      <t xml:space="preserve">h      </t>
    </r>
    <r>
      <rPr>
        <sz val="5"/>
        <color rgb="FFF9BCAA"/>
        <rFont val="Times New Roman"/>
        <family val="1"/>
      </rPr>
      <t xml:space="preserve">) </t>
    </r>
    <r>
      <rPr>
        <sz val="5"/>
        <color rgb="FFF6A389"/>
        <rFont val="Times New Roman"/>
        <family val="1"/>
      </rPr>
      <t xml:space="preserve">t h e r:   </t>
    </r>
    <r>
      <rPr>
        <sz val="6"/>
        <color rgb="FFF6A389"/>
        <rFont val="Times New Roman"/>
        <family val="1"/>
      </rPr>
      <t xml:space="preserve">t-hc:,          </t>
    </r>
    <r>
      <rPr>
        <sz val="5"/>
        <color rgb="FFF6A389"/>
        <rFont val="Arial"/>
        <family val="2"/>
      </rPr>
      <t>1</t>
    </r>
    <r>
      <rPr>
        <sz val="5"/>
        <color rgb="FFF6A389"/>
        <rFont val="Times New Roman"/>
        <family val="1"/>
      </rPr>
      <t xml:space="preserve"> ,        e       ·  ·g,.ee           .,    </t>
    </r>
    <r>
      <rPr>
        <sz val="4"/>
        <color rgb="FFF6A389"/>
        <rFont val="Times New Roman"/>
        <family val="1"/>
      </rPr>
      <t xml:space="preserve">'ll           </t>
    </r>
    <r>
      <rPr>
        <sz val="6"/>
        <color rgb="FFF6A389"/>
        <rFont val="Times New Roman"/>
        <family val="1"/>
      </rPr>
      <t xml:space="preserve">b     </t>
    </r>
    <r>
      <rPr>
        <sz val="5"/>
        <color rgb="FFF6A389"/>
        <rFont val="Arial"/>
        <family val="2"/>
      </rPr>
      <t>t:Lbc-</t>
    </r>
    <r>
      <rPr>
        <sz val="5"/>
        <color rgb="FFF6A389"/>
        <rFont val="Times New Roman"/>
        <family val="1"/>
      </rPr>
      <t xml:space="preserve">r   </t>
    </r>
    <r>
      <rPr>
        <sz val="5"/>
        <color rgb="FFF9BCAA"/>
        <rFont val="Times New Roman"/>
        <family val="1"/>
      </rPr>
      <t xml:space="preserve">c    </t>
    </r>
    <r>
      <rPr>
        <sz val="5"/>
        <color rgb="FFF6A389"/>
        <rFont val="Times New Roman"/>
        <family val="1"/>
      </rPr>
      <t>r  Eilt1</t>
    </r>
    <r>
      <rPr>
        <sz val="5"/>
        <color rgb="FFF9BCAA"/>
        <rFont val="Times New Roman"/>
        <family val="1"/>
      </rPr>
      <t xml:space="preserve">) </t>
    </r>
    <r>
      <rPr>
        <sz val="5"/>
        <color rgb="FFF6A389"/>
        <rFont val="Times New Roman"/>
        <family val="1"/>
      </rPr>
      <t xml:space="preserve">vdl        </t>
    </r>
    <r>
      <rPr>
        <sz val="6"/>
        <color rgb="FFF9BCAA"/>
        <rFont val="Times New Roman"/>
        <family val="1"/>
      </rPr>
      <t xml:space="preserve">) </t>
    </r>
    <r>
      <rPr>
        <sz val="6"/>
        <color rgb="FFF6A389"/>
        <rFont val="Times New Roman"/>
        <family val="1"/>
      </rPr>
      <t xml:space="preserve">f   </t>
    </r>
    <r>
      <rPr>
        <sz val="4"/>
        <color rgb="FFF6A389"/>
        <rFont val="Times New Roman"/>
        <family val="1"/>
      </rPr>
      <t xml:space="preserve">+1--         </t>
    </r>
    <r>
      <rPr>
        <sz val="5"/>
        <color rgb="FFF6A389"/>
        <rFont val="Arial"/>
        <family val="2"/>
      </rPr>
      <t>wat-erm,H</t>
    </r>
    <r>
      <rPr>
        <sz val="5"/>
        <color rgb="FFF6A389"/>
        <rFont val="Times New Roman"/>
        <family val="1"/>
      </rPr>
      <t xml:space="preserve">K   1            </t>
    </r>
    <r>
      <rPr>
        <sz val="5"/>
        <color rgb="FFF9BCAA"/>
        <rFont val="Times New Roman"/>
        <family val="1"/>
      </rPr>
      <t>)</t>
    </r>
    <r>
      <rPr>
        <sz val="5"/>
        <color rgb="FFF6A389"/>
        <rFont val="Times New Roman"/>
        <family val="1"/>
      </rPr>
      <t xml:space="preserve">t-  </t>
    </r>
    <r>
      <rPr>
        <sz val="6"/>
        <color rgb="FFF6A389"/>
        <rFont val="Times New Roman"/>
        <family val="1"/>
      </rPr>
      <t>b1tE:l.</t>
    </r>
  </si>
  <si>
    <r>
      <rPr>
        <sz val="10"/>
        <color rgb="FF363434"/>
        <rFont val="Arial"/>
        <family val="2"/>
      </rPr>
      <t>APPLICANT: GASTAR EXPLORATION INC. CAUSE CD NO. 201</t>
    </r>
    <r>
      <rPr>
        <u/>
        <sz val="10"/>
        <color rgb="FF363434"/>
        <rFont val="Arial"/>
        <family val="2"/>
      </rPr>
      <t>                     </t>
    </r>
    <r>
      <rPr>
        <sz val="10"/>
        <color rgb="FF363434"/>
        <rFont val="Arial"/>
        <family val="2"/>
      </rPr>
      <t>_</t>
    </r>
  </si>
  <si>
    <t>63.  Diana Bogle</t>
  </si>
  <si>
    <r>
      <rPr>
        <sz val="11"/>
        <color rgb="FF363434"/>
        <rFont val="Arial"/>
        <family val="2"/>
      </rPr>
      <t>c/o Daryl Jean Wilcox Jehle</t>
    </r>
  </si>
  <si>
    <r>
      <rPr>
        <sz val="12"/>
        <color rgb="FF363434"/>
        <rFont val="Times New Roman"/>
        <family val="1"/>
      </rPr>
      <t xml:space="preserve">814 </t>
    </r>
    <r>
      <rPr>
        <sz val="11"/>
        <color rgb="FF363434"/>
        <rFont val="Arial"/>
        <family val="2"/>
      </rPr>
      <t>Main</t>
    </r>
    <r>
      <rPr>
        <sz val="11"/>
        <color rgb="FF363434"/>
        <rFont val="Times New Roman"/>
        <family val="1"/>
      </rPr>
      <t xml:space="preserve"> </t>
    </r>
    <r>
      <rPr>
        <sz val="12"/>
        <color rgb="FF363434"/>
        <rFont val="Times New Roman"/>
        <family val="1"/>
      </rPr>
      <t>St.</t>
    </r>
  </si>
  <si>
    <r>
      <rPr>
        <sz val="11"/>
        <color rgb="FF363434"/>
        <rFont val="Times New Roman"/>
        <family val="1"/>
      </rPr>
      <t>64.</t>
    </r>
    <r>
      <rPr>
        <sz val="11"/>
        <color rgb="FF363434"/>
        <rFont val="Arial"/>
        <family val="2"/>
      </rPr>
      <t xml:space="preserve">  Donald Corder</t>
    </r>
  </si>
  <si>
    <r>
      <rPr>
        <sz val="11"/>
        <color rgb="FF363434"/>
        <rFont val="Arial"/>
        <family val="2"/>
      </rPr>
      <t>65.  Donald Lee Wilcox</t>
    </r>
  </si>
  <si>
    <r>
      <rPr>
        <sz val="11"/>
        <color rgb="FF363434"/>
        <rFont val="Arial"/>
        <family val="2"/>
      </rPr>
      <t>66.  Dorothy Braun Poole 1114 State St.</t>
    </r>
  </si>
  <si>
    <r>
      <rPr>
        <sz val="11"/>
        <color rgb="FF363434"/>
        <rFont val="Arial"/>
        <family val="2"/>
      </rPr>
      <t>Santa Barbara, CA  93101</t>
    </r>
  </si>
  <si>
    <r>
      <rPr>
        <sz val="11"/>
        <color rgb="FF363434"/>
        <rFont val="Arial"/>
        <family val="2"/>
      </rPr>
      <t>67. Dorothy Dolton Brewton</t>
    </r>
  </si>
  <si>
    <r>
      <rPr>
        <sz val="11"/>
        <color rgb="FF363434"/>
        <rFont val="Arial"/>
        <family val="2"/>
      </rPr>
      <t>68.  Dorothy Lee Hoskins, as Trustee of the Dorothy Lee Hoskins Trust Dated September 23, 1996</t>
    </r>
  </si>
  <si>
    <r>
      <rPr>
        <sz val="11"/>
        <color rgb="FF363434"/>
        <rFont val="Arial"/>
        <family val="2"/>
      </rPr>
      <t>1101 McKenzie Ave. Unit 306</t>
    </r>
  </si>
  <si>
    <r>
      <rPr>
        <sz val="11"/>
        <color rgb="FF363434"/>
        <rFont val="Arial"/>
        <family val="2"/>
      </rPr>
      <t>Bellingham, WA  98225</t>
    </r>
  </si>
  <si>
    <r>
      <rPr>
        <sz val="11"/>
        <color rgb="FF363434"/>
        <rFont val="Arial"/>
        <family val="2"/>
      </rPr>
      <t>69.  Dover Lee M. Gorton c/o Gail D. Mclemore 4670 Crystal Drive Columbia, SC  29206</t>
    </r>
  </si>
  <si>
    <r>
      <rPr>
        <sz val="11"/>
        <color rgb="FF363434"/>
        <rFont val="Arial"/>
        <family val="2"/>
      </rPr>
      <t>70. Elly B. Beard and Trudy K. Martin, Trustee of the Elly</t>
    </r>
  </si>
  <si>
    <r>
      <rPr>
        <sz val="11"/>
        <color rgb="FF363434"/>
        <rFont val="Arial"/>
        <family val="2"/>
      </rPr>
      <t>B. Beard 2007 Trust</t>
    </r>
  </si>
  <si>
    <r>
      <rPr>
        <sz val="11"/>
        <color rgb="FF363434"/>
        <rFont val="Arial"/>
        <family val="2"/>
      </rPr>
      <t xml:space="preserve">12316 </t>
    </r>
    <r>
      <rPr>
        <sz val="12"/>
        <color rgb="FF363434"/>
        <rFont val="Arial"/>
        <family val="2"/>
      </rPr>
      <t xml:space="preserve">St. </t>
    </r>
    <r>
      <rPr>
        <sz val="11"/>
        <color rgb="FF363434"/>
        <rFont val="Arial"/>
        <family val="2"/>
      </rPr>
      <t xml:space="preserve">Andrews Drive, Suite </t>
    </r>
    <r>
      <rPr>
        <sz val="12"/>
        <color rgb="FF363434"/>
        <rFont val="Arial"/>
        <family val="2"/>
      </rPr>
      <t>A</t>
    </r>
  </si>
  <si>
    <r>
      <rPr>
        <sz val="11"/>
        <color rgb="FF363434"/>
        <rFont val="Arial"/>
        <family val="2"/>
      </rPr>
      <t xml:space="preserve">Oklahoma </t>
    </r>
    <r>
      <rPr>
        <sz val="12"/>
        <color rgb="FF363434"/>
        <rFont val="Times New Roman"/>
        <family val="1"/>
      </rPr>
      <t>City</t>
    </r>
    <r>
      <rPr>
        <sz val="12"/>
        <color rgb="FF363434"/>
        <rFont val="Arial"/>
        <family val="2"/>
      </rPr>
      <t xml:space="preserve">, </t>
    </r>
    <r>
      <rPr>
        <sz val="11"/>
        <color rgb="FF363434"/>
        <rFont val="Arial"/>
        <family val="2"/>
      </rPr>
      <t>OK  73120</t>
    </r>
  </si>
  <si>
    <r>
      <rPr>
        <sz val="11"/>
        <color rgb="FF363434"/>
        <rFont val="Arial"/>
        <family val="2"/>
      </rPr>
      <t xml:space="preserve">71.  Eula Madge Shover Wilcox c/o Daryl Jean Wilcox Jehle </t>
    </r>
    <r>
      <rPr>
        <sz val="12"/>
        <color rgb="FF363434"/>
        <rFont val="Times New Roman"/>
        <family val="1"/>
      </rPr>
      <t>814</t>
    </r>
    <r>
      <rPr>
        <sz val="12"/>
        <color rgb="FF363434"/>
        <rFont val="Arial"/>
        <family val="2"/>
      </rPr>
      <t xml:space="preserve"> </t>
    </r>
    <r>
      <rPr>
        <sz val="11"/>
        <color rgb="FF363434"/>
        <rFont val="Arial"/>
        <family val="2"/>
      </rPr>
      <t>Main St.</t>
    </r>
  </si>
  <si>
    <r>
      <rPr>
        <sz val="12"/>
        <color rgb="FF363434"/>
        <rFont val="Arial"/>
        <family val="2"/>
      </rPr>
      <t xml:space="preserve">72.    F.W.  </t>
    </r>
    <r>
      <rPr>
        <sz val="11"/>
        <color rgb="FF363434"/>
        <rFont val="Arial"/>
        <family val="2"/>
      </rPr>
      <t>Brown  and  Barbara  Borelli  Brown,  HW, JTWROS</t>
    </r>
  </si>
  <si>
    <r>
      <rPr>
        <sz val="11"/>
        <color rgb="FF363434"/>
        <rFont val="Arial"/>
        <family val="2"/>
      </rPr>
      <t>73.  Francis J. Borelli, Ill</t>
    </r>
  </si>
  <si>
    <r>
      <rPr>
        <sz val="11"/>
        <color rgb="FF363434"/>
        <rFont val="Arial"/>
        <family val="2"/>
      </rPr>
      <t xml:space="preserve">P.O. Box 275 Okarche, </t>
    </r>
    <r>
      <rPr>
        <sz val="12"/>
        <color rgb="FF363434"/>
        <rFont val="Arial"/>
        <family val="2"/>
      </rPr>
      <t xml:space="preserve">OK </t>
    </r>
    <r>
      <rPr>
        <sz val="11"/>
        <color rgb="FF363434"/>
        <rFont val="Arial"/>
        <family val="2"/>
      </rPr>
      <t>73762</t>
    </r>
  </si>
  <si>
    <r>
      <rPr>
        <sz val="11"/>
        <color rgb="FF363434"/>
        <rFont val="Arial"/>
        <family val="2"/>
      </rPr>
      <t xml:space="preserve">74.  Frank </t>
    </r>
    <r>
      <rPr>
        <sz val="12"/>
        <color rgb="FF363434"/>
        <rFont val="Arial"/>
        <family val="2"/>
      </rPr>
      <t xml:space="preserve">E </t>
    </r>
    <r>
      <rPr>
        <sz val="11"/>
        <color rgb="FF363434"/>
        <rFont val="Arial"/>
        <family val="2"/>
      </rPr>
      <t>McGinity</t>
    </r>
  </si>
  <si>
    <r>
      <rPr>
        <sz val="13"/>
        <color rgb="FF363434"/>
        <rFont val="Times New Roman"/>
        <family val="1"/>
      </rPr>
      <t xml:space="preserve">1114 </t>
    </r>
    <r>
      <rPr>
        <sz val="11"/>
        <color rgb="FF363434"/>
        <rFont val="Arial"/>
        <family val="2"/>
      </rPr>
      <t>Stat</t>
    </r>
    <r>
      <rPr>
        <sz val="11"/>
        <color rgb="FF363434"/>
        <rFont val="Times New Roman"/>
        <family val="1"/>
      </rPr>
      <t xml:space="preserve">e </t>
    </r>
    <r>
      <rPr>
        <sz val="13"/>
        <color rgb="FF363434"/>
        <rFont val="Times New Roman"/>
        <family val="1"/>
      </rPr>
      <t>St.</t>
    </r>
  </si>
  <si>
    <r>
      <rPr>
        <sz val="11"/>
        <color rgb="FF363434"/>
        <rFont val="Arial"/>
        <family val="2"/>
      </rPr>
      <t>75.  Fred W. Brown 13170 N. MacArthur Blvd.</t>
    </r>
  </si>
  <si>
    <r>
      <rPr>
        <sz val="11"/>
        <color rgb="FF363434"/>
        <rFont val="Arial"/>
        <family val="2"/>
      </rPr>
      <t>Oklahoma City, OK  73142</t>
    </r>
  </si>
  <si>
    <r>
      <rPr>
        <sz val="11"/>
        <color rgb="FF363434"/>
        <rFont val="Arial"/>
        <family val="2"/>
      </rPr>
      <t>76.  G. Michael Borem 12624 Val Verde Dr. Oklahoma City, OK  73142</t>
    </r>
  </si>
  <si>
    <r>
      <rPr>
        <sz val="11"/>
        <color rgb="FF363434"/>
        <rFont val="Arial"/>
        <family val="2"/>
      </rPr>
      <t>77.  Gloria Wilcox</t>
    </r>
  </si>
  <si>
    <r>
      <rPr>
        <sz val="11"/>
        <color rgb="FF363434"/>
        <rFont val="Arial"/>
        <family val="2"/>
      </rPr>
      <t>78.  Greg Borelli, Special</t>
    </r>
  </si>
  <si>
    <r>
      <rPr>
        <sz val="11"/>
        <color rgb="FF363434"/>
        <rFont val="Arial"/>
        <family val="2"/>
      </rPr>
      <t>P.O. Box 747 Kingfisher, OK  73750</t>
    </r>
  </si>
  <si>
    <r>
      <rPr>
        <sz val="11"/>
        <color rgb="FF363434"/>
        <rFont val="Arial"/>
        <family val="2"/>
      </rPr>
      <t>79.  Inland Land LLC</t>
    </r>
  </si>
  <si>
    <r>
      <rPr>
        <sz val="11"/>
        <color rgb="FF363434"/>
        <rFont val="Arial"/>
        <family val="2"/>
      </rPr>
      <t>P.O. Box 20570  Oklahoma City, OK  73156</t>
    </r>
  </si>
  <si>
    <r>
      <rPr>
        <sz val="11"/>
        <color rgb="FF363434"/>
        <rFont val="Arial"/>
        <family val="2"/>
      </rPr>
      <t>80.  Iola Corder</t>
    </r>
  </si>
  <si>
    <r>
      <rPr>
        <sz val="11"/>
        <color rgb="FF363434"/>
        <rFont val="Arial"/>
        <family val="2"/>
      </rPr>
      <t>81.  Ivan L. Gorton c/o Gail D. Mclemore 4670 Crystal Drive Columb!a, SC  29206</t>
    </r>
  </si>
  <si>
    <r>
      <rPr>
        <sz val="11"/>
        <color rgb="FF363434"/>
        <rFont val="Arial"/>
        <family val="2"/>
      </rPr>
      <t xml:space="preserve">82.  James Willard Duffy c/o Clinton James Duffy 16497 </t>
    </r>
    <r>
      <rPr>
        <b/>
        <sz val="11"/>
        <color rgb="FF363434"/>
        <rFont val="Arial"/>
        <family val="2"/>
      </rPr>
      <t xml:space="preserve">E. </t>
    </r>
    <r>
      <rPr>
        <sz val="11"/>
        <color rgb="FF363434"/>
        <rFont val="Arial"/>
        <family val="2"/>
      </rPr>
      <t xml:space="preserve">112 St. </t>
    </r>
    <r>
      <rPr>
        <b/>
        <sz val="11"/>
        <color rgb="FF363434"/>
        <rFont val="Arial"/>
        <family val="2"/>
      </rPr>
      <t xml:space="preserve">N. </t>
    </r>
    <r>
      <rPr>
        <sz val="11"/>
        <color rgb="FF363434"/>
        <rFont val="Arial"/>
        <family val="2"/>
      </rPr>
      <t>Collinsville, OK 74021</t>
    </r>
  </si>
  <si>
    <r>
      <rPr>
        <sz val="11"/>
        <color rgb="FF363434"/>
        <rFont val="Arial"/>
        <family val="2"/>
      </rPr>
      <t xml:space="preserve">83. </t>
    </r>
    <r>
      <rPr>
        <sz val="11"/>
        <color rgb="FF363434"/>
        <rFont val="Times New Roman"/>
        <family val="1"/>
      </rPr>
      <t>J</t>
    </r>
    <r>
      <rPr>
        <sz val="11"/>
        <color rgb="FF363434"/>
        <rFont val="Arial"/>
        <family val="2"/>
      </rPr>
      <t>. Patrick Borelli 1012 Bentbrook Place Norman, OK 73072</t>
    </r>
  </si>
  <si>
    <r>
      <rPr>
        <sz val="11"/>
        <color rgb="FF363434"/>
        <rFont val="Arial"/>
        <family val="2"/>
      </rPr>
      <t xml:space="preserve">84.  J.T. Shover and Vi Shover c/o John </t>
    </r>
    <r>
      <rPr>
        <sz val="12"/>
        <color rgb="FF363434"/>
        <rFont val="Arial"/>
        <family val="2"/>
      </rPr>
      <t xml:space="preserve">L. </t>
    </r>
    <r>
      <rPr>
        <sz val="11"/>
        <color rgb="FF363434"/>
        <rFont val="Arial"/>
        <family val="2"/>
      </rPr>
      <t>Shover</t>
    </r>
  </si>
  <si>
    <r>
      <rPr>
        <sz val="11"/>
        <color rgb="FF363434"/>
        <rFont val="Arial"/>
        <family val="2"/>
      </rPr>
      <t>8615 Maidstone Court</t>
    </r>
  </si>
  <si>
    <r>
      <rPr>
        <sz val="11"/>
        <color rgb="FF363434"/>
        <rFont val="Arial"/>
        <family val="2"/>
      </rPr>
      <t>Largo, FL  33777</t>
    </r>
  </si>
  <si>
    <r>
      <rPr>
        <sz val="11"/>
        <color rgb="FF363434"/>
        <rFont val="Arial"/>
        <family val="2"/>
      </rPr>
      <t>85. J.T. Shover and Vi Shover c/o Daryl Jean Wilcox Jehle 814 Main St.</t>
    </r>
  </si>
  <si>
    <r>
      <rPr>
        <sz val="11"/>
        <color rgb="FF363434"/>
        <rFont val="Arial"/>
        <family val="2"/>
      </rPr>
      <t xml:space="preserve">Wayne, </t>
    </r>
    <r>
      <rPr>
        <sz val="12"/>
        <color rgb="FF363434"/>
        <rFont val="Arial"/>
        <family val="2"/>
      </rPr>
      <t>NE 68787</t>
    </r>
  </si>
  <si>
    <r>
      <rPr>
        <sz val="11"/>
        <color rgb="FF363434"/>
        <rFont val="Arial"/>
        <family val="2"/>
      </rPr>
      <t>86. J.T. Shover and Vi Shover c/o Judy Corder Thomas</t>
    </r>
  </si>
  <si>
    <r>
      <rPr>
        <sz val="11"/>
        <color rgb="FF363434"/>
        <rFont val="Arial"/>
        <family val="2"/>
      </rPr>
      <t>1108 W. 5th Ave. Apt. 105</t>
    </r>
  </si>
  <si>
    <r>
      <rPr>
        <sz val="11"/>
        <color rgb="FF363434"/>
        <rFont val="Arial"/>
        <family val="2"/>
      </rPr>
      <t>Kennewick, WA  99336</t>
    </r>
  </si>
  <si>
    <r>
      <rPr>
        <sz val="11"/>
        <color rgb="FF363434"/>
        <rFont val="Arial"/>
        <family val="2"/>
      </rPr>
      <t xml:space="preserve">87. James Powers Branch 2008 Warwick Circle </t>
    </r>
    <r>
      <rPr>
        <sz val="12"/>
        <color rgb="FF363434"/>
        <rFont val="Arial"/>
        <family val="2"/>
      </rPr>
      <t xml:space="preserve">E. </t>
    </r>
    <r>
      <rPr>
        <sz val="11"/>
        <color rgb="FF363434"/>
        <rFont val="Arial"/>
        <family val="2"/>
      </rPr>
      <t>Longview, TX  75601</t>
    </r>
  </si>
  <si>
    <r>
      <rPr>
        <sz val="11"/>
        <color rgb="FF363434"/>
        <rFont val="Arial"/>
        <family val="2"/>
      </rPr>
      <t>88.  Jarod William Clifton Hayden 8563 Birch Creek Rd.</t>
    </r>
  </si>
  <si>
    <r>
      <rPr>
        <sz val="11"/>
        <color rgb="FF363434"/>
        <rFont val="Arial"/>
        <family val="2"/>
      </rPr>
      <t>89.  JoAnn C. Riggs</t>
    </r>
  </si>
  <si>
    <r>
      <rPr>
        <sz val="11"/>
        <color rgb="FF363434"/>
        <rFont val="Arial"/>
        <family val="2"/>
      </rPr>
      <t>c/o Linda Riggs Ravenel 410 Collins Rd.</t>
    </r>
  </si>
  <si>
    <r>
      <rPr>
        <sz val="11"/>
        <color rgb="FF363434"/>
        <rFont val="Arial"/>
        <family val="2"/>
      </rPr>
      <t>Osteen, FL  32764</t>
    </r>
  </si>
  <si>
    <r>
      <rPr>
        <sz val="11"/>
        <color rgb="FF363434"/>
        <rFont val="Arial"/>
        <family val="2"/>
      </rPr>
      <t>90.  Joe B. Renshaw c/o Tessie Renshaw 5323 N. 8th Ave. Phoenix, AZ  85013</t>
    </r>
  </si>
  <si>
    <r>
      <rPr>
        <sz val="11"/>
        <color rgb="FF363434"/>
        <rFont val="Arial"/>
        <family val="2"/>
      </rPr>
      <t>91. Joe B. Renshaw</t>
    </r>
  </si>
  <si>
    <r>
      <rPr>
        <sz val="11"/>
        <color rgb="FF363434"/>
        <rFont val="Arial"/>
        <family val="2"/>
      </rPr>
      <t>Dallas, TX  75244</t>
    </r>
  </si>
  <si>
    <r>
      <rPr>
        <sz val="11"/>
        <color rgb="FF363434"/>
        <rFont val="Arial"/>
        <family val="2"/>
      </rPr>
      <t>92.  Joe B. Renshaw c/o Brook Willie</t>
    </r>
  </si>
  <si>
    <r>
      <rPr>
        <sz val="11"/>
        <color rgb="FF363434"/>
        <rFont val="Arial"/>
        <family val="2"/>
      </rPr>
      <t>93.  Joe l.  Thompson c/o Jane G. Thompson 12412 Maiden ln</t>
    </r>
  </si>
  <si>
    <r>
      <rPr>
        <sz val="11"/>
        <color rgb="FF363434"/>
        <rFont val="Arial"/>
        <family val="2"/>
      </rPr>
      <t>Oklahoma City, OK 73142</t>
    </r>
  </si>
  <si>
    <r>
      <rPr>
        <sz val="11"/>
        <color rgb="FF363434"/>
        <rFont val="Arial"/>
        <family val="2"/>
      </rPr>
      <t>94. John Charles Renshaw, Jr. 300 S. Kings Canyon Dr.  Cedar Park, TX 78613</t>
    </r>
  </si>
  <si>
    <r>
      <rPr>
        <sz val="12"/>
        <color rgb="FF363434"/>
        <rFont val="Times New Roman"/>
        <family val="1"/>
      </rPr>
      <t>95.</t>
    </r>
    <r>
      <rPr>
        <sz val="12"/>
        <color rgb="FF363434"/>
        <rFont val="Arial"/>
        <family val="2"/>
      </rPr>
      <t xml:space="preserve">  </t>
    </r>
    <r>
      <rPr>
        <sz val="11"/>
        <color rgb="FF363434"/>
        <rFont val="Arial"/>
        <family val="2"/>
      </rPr>
      <t>John Clifford Shover c/o John l.  Shover</t>
    </r>
  </si>
  <si>
    <r>
      <rPr>
        <sz val="11"/>
        <color rgb="FF363434"/>
        <rFont val="Arial"/>
        <family val="2"/>
      </rPr>
      <t>96.  John M. Beard</t>
    </r>
  </si>
  <si>
    <r>
      <rPr>
        <sz val="11"/>
        <color rgb="FF363434"/>
        <rFont val="Arial"/>
        <family val="2"/>
      </rPr>
      <t>12316 St. Andrews Drive, Suite A Oklahoma City, OK  73120</t>
    </r>
  </si>
  <si>
    <r>
      <rPr>
        <sz val="11"/>
        <color rgb="FF363434"/>
        <rFont val="Arial"/>
        <family val="2"/>
      </rPr>
      <t>97.  John M. Beard &amp; Elly B. Beard, Trustees of the John</t>
    </r>
  </si>
  <si>
    <r>
      <rPr>
        <sz val="11"/>
        <color rgb="FF363434"/>
        <rFont val="Arial"/>
        <family val="2"/>
      </rPr>
      <t>M. Beard Trust dated 11/06/92 as amended and restated January 28, 1994 FBO John M. Beard</t>
    </r>
  </si>
  <si>
    <r>
      <rPr>
        <sz val="11"/>
        <color rgb="FF363434"/>
        <rFont val="Arial"/>
        <family val="2"/>
      </rPr>
      <t>98.  Joy Lynn States 23169 E 730 Road Dover, OK 73734-3479</t>
    </r>
  </si>
  <si>
    <r>
      <rPr>
        <sz val="11"/>
        <color rgb="FF363434"/>
        <rFont val="Arial"/>
        <family val="2"/>
      </rPr>
      <t>99. Joy Lynn States and Maydonna States, HW, JT 23169 E 730 Road</t>
    </r>
  </si>
  <si>
    <r>
      <rPr>
        <sz val="11"/>
        <color rgb="FF363434"/>
        <rFont val="Arial"/>
        <family val="2"/>
      </rPr>
      <t>Dover, OK 73734-3479</t>
    </r>
  </si>
  <si>
    <r>
      <rPr>
        <sz val="11"/>
        <color rgb="FF363434"/>
        <rFont val="Arial"/>
        <family val="2"/>
      </rPr>
      <t>100. Judy Corder Thomas 1108 W. 5th Ave. Apt. 105 Kennewick, WA  99336</t>
    </r>
  </si>
  <si>
    <r>
      <rPr>
        <sz val="11"/>
        <color rgb="FF363434"/>
        <rFont val="Arial"/>
        <family val="2"/>
      </rPr>
      <t>101.  JuliaAgnichKlein</t>
    </r>
  </si>
  <si>
    <r>
      <rPr>
        <sz val="11"/>
        <color rgb="FF363434"/>
        <rFont val="Arial"/>
        <family val="2"/>
      </rPr>
      <t>102.  Karen Branch Walker 4408 Windsor Parkway Dallas, TX 75205</t>
    </r>
  </si>
  <si>
    <r>
      <rPr>
        <sz val="11"/>
        <color rgb="FF363434"/>
        <rFont val="Arial"/>
        <family val="2"/>
      </rPr>
      <t>103. Kathy Corder</t>
    </r>
  </si>
  <si>
    <r>
      <rPr>
        <sz val="11"/>
        <color rgb="FF363434"/>
        <rFont val="Arial"/>
        <family val="2"/>
      </rPr>
      <t>104.  KayLonni Dawn Williams 650 E. Tucker Rd.</t>
    </r>
  </si>
  <si>
    <r>
      <rPr>
        <sz val="11"/>
        <color rgb="FF363434"/>
        <rFont val="Arial"/>
        <family val="2"/>
      </rPr>
      <t>Liberal, KS  6901</t>
    </r>
  </si>
  <si>
    <r>
      <rPr>
        <sz val="10"/>
        <color rgb="FF363434"/>
        <rFont val="Arial"/>
        <family val="2"/>
      </rPr>
      <t xml:space="preserve">APPLICANT: GASTAR EXPLORATION INC. CAUSE CD NO. </t>
    </r>
    <r>
      <rPr>
        <b/>
        <sz val="11"/>
        <color rgb="FF363434"/>
        <rFont val="Arial"/>
        <family val="2"/>
      </rPr>
      <t>201</t>
    </r>
    <r>
      <rPr>
        <b/>
        <u/>
        <sz val="11"/>
        <color rgb="FF363434"/>
        <rFont val="Arial"/>
        <family val="2"/>
      </rPr>
      <t>                        </t>
    </r>
  </si>
  <si>
    <r>
      <rPr>
        <sz val="11"/>
        <color rgb="FF363434"/>
        <rFont val="Arial"/>
        <family val="2"/>
      </rPr>
      <t>105.  Kent Tyler Williams 506 Nantucket Dr 16 Lansing, Ml  48906</t>
    </r>
  </si>
  <si>
    <r>
      <rPr>
        <sz val="11"/>
        <color rgb="FF363434"/>
        <rFont val="Arial"/>
        <family val="2"/>
      </rPr>
      <t>106.  Kerry Brown McPhail f/k/a Kenny Brown 13170 N. MacArthur Blvd.</t>
    </r>
  </si>
  <si>
    <r>
      <rPr>
        <sz val="11"/>
        <color rgb="FF363434"/>
        <rFont val="Arial"/>
        <family val="2"/>
      </rPr>
      <t>107.  Kristen Branch Trigg 5215 Sunset Dr.</t>
    </r>
  </si>
  <si>
    <r>
      <rPr>
        <sz val="11"/>
        <color rgb="FF363434"/>
        <rFont val="Arial"/>
        <family val="2"/>
      </rPr>
      <t>Kansas City, MO  64112</t>
    </r>
  </si>
  <si>
    <r>
      <rPr>
        <sz val="11"/>
        <color rgb="FF363434"/>
        <rFont val="Arial"/>
        <family val="2"/>
      </rPr>
      <t>108.  Leo George States 19751 E 710 Road Dover, OK 73734</t>
    </r>
  </si>
  <si>
    <r>
      <rPr>
        <sz val="11"/>
        <color rgb="FF363434"/>
        <rFont val="Arial"/>
        <family val="2"/>
      </rPr>
      <t>109. Leonard &amp; Helen Penney 712 2nd Street, SW</t>
    </r>
  </si>
  <si>
    <r>
      <rPr>
        <sz val="11"/>
        <color rgb="FF363434"/>
        <rFont val="Arial"/>
        <family val="2"/>
      </rPr>
      <t>Desmet, SD  57231</t>
    </r>
  </si>
  <si>
    <r>
      <rPr>
        <sz val="11"/>
        <color rgb="FF363434"/>
        <rFont val="Arial"/>
        <family val="2"/>
      </rPr>
      <t>110.  Linda June Olmstead 9195 West Jefferson Ave. Denver, CO  80235</t>
    </r>
  </si>
  <si>
    <r>
      <rPr>
        <sz val="11"/>
        <color rgb="FF363434"/>
        <rFont val="Arial"/>
        <family val="2"/>
      </rPr>
      <t>111.  Linda K. Borelli</t>
    </r>
  </si>
  <si>
    <r>
      <rPr>
        <sz val="11"/>
        <color rgb="FF363434"/>
        <rFont val="Arial"/>
        <family val="2"/>
      </rPr>
      <t>112.   Louise  Shepherd  Mouser,  a/k/a Martha  Louise Shepherd Mouser</t>
    </r>
  </si>
  <si>
    <r>
      <rPr>
        <sz val="11"/>
        <color rgb="FF363434"/>
        <rFont val="Arial"/>
        <family val="2"/>
      </rPr>
      <t>c/o Francis Mouser</t>
    </r>
  </si>
  <si>
    <r>
      <rPr>
        <sz val="11"/>
        <color rgb="FF363434"/>
        <rFont val="Arial"/>
        <family val="2"/>
      </rPr>
      <t>P.O. Box 1066 Longview, TX  75601</t>
    </r>
  </si>
  <si>
    <r>
      <rPr>
        <sz val="11"/>
        <color rgb="FF363434"/>
        <rFont val="Arial"/>
        <family val="2"/>
      </rPr>
      <t>113.   Louise  Shepherd  Mouser,  a/k/a  Martha  Louise Shepherd Mouser</t>
    </r>
  </si>
  <si>
    <r>
      <rPr>
        <sz val="11"/>
        <color rgb="FF363434"/>
        <rFont val="Arial"/>
        <family val="2"/>
      </rPr>
      <t>c/o Arthur Mouser, Jr. 11814 Cypresswood Dr.</t>
    </r>
  </si>
  <si>
    <r>
      <rPr>
        <sz val="11"/>
        <color rgb="FF363434"/>
        <rFont val="Arial"/>
        <family val="2"/>
      </rPr>
      <t>114.  Madge Shover Wilcox c/o Daryl Jean Wilcox Jehle 814 Main St.</t>
    </r>
  </si>
  <si>
    <r>
      <rPr>
        <sz val="11"/>
        <color rgb="FF363434"/>
        <rFont val="Arial"/>
        <family val="2"/>
      </rPr>
      <t>115.  Marie E. Wilcox, Life Estate c/o Daryl Jean Wilcox Jehle</t>
    </r>
  </si>
  <si>
    <r>
      <rPr>
        <sz val="11"/>
        <color rgb="FF363434"/>
        <rFont val="Arial"/>
        <family val="2"/>
      </rPr>
      <t>814 Main St</t>
    </r>
  </si>
  <si>
    <r>
      <rPr>
        <sz val="11"/>
        <color rgb="FF363434"/>
        <rFont val="Arial"/>
        <family val="2"/>
      </rPr>
      <t>116. Mary Mouser, a/k/a Mary Mouser Branch, a/k/a Mary Ann Mouser Branch</t>
    </r>
  </si>
  <si>
    <r>
      <rPr>
        <sz val="11"/>
        <color rgb="FF363434"/>
        <rFont val="Arial"/>
        <family val="2"/>
      </rPr>
      <t>c/o James Powers Branch 2008 Warwick Circle E. Longview, TX 75601</t>
    </r>
  </si>
  <si>
    <r>
      <rPr>
        <sz val="11"/>
        <color rgb="FF363434"/>
        <rFont val="Arial"/>
        <family val="2"/>
      </rPr>
      <t>117. Mary Mouser, a/k/a Mary Mouser Branch, a/k/a Mary Ann Mouser Branch</t>
    </r>
  </si>
  <si>
    <r>
      <rPr>
        <sz val="11"/>
        <color rgb="FF363434"/>
        <rFont val="Arial"/>
        <family val="2"/>
      </rPr>
      <t>c/o Karen Branch Walker 4408 Windsor Parkway</t>
    </r>
  </si>
  <si>
    <r>
      <rPr>
        <sz val="11"/>
        <color rgb="FF363434"/>
        <rFont val="Arial"/>
        <family val="2"/>
      </rPr>
      <t>Dallas, TX  75205</t>
    </r>
  </si>
  <si>
    <r>
      <rPr>
        <sz val="11"/>
        <color rgb="FF363434"/>
        <rFont val="Arial"/>
        <family val="2"/>
      </rPr>
      <t xml:space="preserve">118. Mary Mouser, a/k/a </t>
    </r>
    <r>
      <rPr>
        <sz val="12"/>
        <color rgb="FF363434"/>
        <rFont val="Arial"/>
        <family val="2"/>
      </rPr>
      <t xml:space="preserve">Mary </t>
    </r>
    <r>
      <rPr>
        <sz val="11"/>
        <color rgb="FF363434"/>
        <rFont val="Arial"/>
        <family val="2"/>
      </rPr>
      <t>Mouser Branch, atk/a Mary Ann Mouser Branch</t>
    </r>
  </si>
  <si>
    <r>
      <rPr>
        <sz val="11"/>
        <color rgb="FF363434"/>
        <rFont val="Arial"/>
        <family val="2"/>
      </rPr>
      <t>c/o Amy Branch Blake 11731 Greenbay Dr.</t>
    </r>
  </si>
  <si>
    <r>
      <rPr>
        <sz val="11"/>
        <color rgb="FF363434"/>
        <rFont val="Arial"/>
        <family val="2"/>
      </rPr>
      <t>Houston, TX 77024</t>
    </r>
  </si>
  <si>
    <r>
      <rPr>
        <sz val="12"/>
        <color rgb="FF363434"/>
        <rFont val="Times New Roman"/>
        <family val="1"/>
      </rPr>
      <t>119.</t>
    </r>
    <r>
      <rPr>
        <sz val="12"/>
        <color rgb="FF363434"/>
        <rFont val="Arial"/>
        <family val="2"/>
      </rPr>
      <t xml:space="preserve"> </t>
    </r>
    <r>
      <rPr>
        <sz val="11"/>
        <color rgb="FF363434"/>
        <rFont val="Arial"/>
        <family val="2"/>
      </rPr>
      <t>Mary Mouser, a/k/a Mary Mouser Branch, a/k/a Mary</t>
    </r>
  </si>
  <si>
    <r>
      <rPr>
        <sz val="11"/>
        <color rgb="FF363434"/>
        <rFont val="Arial"/>
        <family val="2"/>
      </rPr>
      <t>Ann Mouser Branch</t>
    </r>
  </si>
  <si>
    <r>
      <rPr>
        <sz val="11"/>
        <color rgb="FF363434"/>
        <rFont val="Arial"/>
        <family val="2"/>
      </rPr>
      <t>c/o Kristen Branch Trigg 5215 Sunset Dr.</t>
    </r>
  </si>
  <si>
    <r>
      <rPr>
        <sz val="11"/>
        <color rgb="FF363434"/>
        <rFont val="Arial"/>
        <family val="2"/>
      </rPr>
      <t xml:space="preserve">120.  Maudleigh Renshaw c/o Tessie Renshaw  5323 N. 8th Ave.  Phoenix, </t>
    </r>
    <r>
      <rPr>
        <sz val="12"/>
        <color rgb="FF363434"/>
        <rFont val="Arial"/>
        <family val="2"/>
      </rPr>
      <t xml:space="preserve">Al. </t>
    </r>
    <r>
      <rPr>
        <sz val="11"/>
        <color rgb="FF363434"/>
        <rFont val="Arial"/>
        <family val="2"/>
      </rPr>
      <t>85013</t>
    </r>
  </si>
  <si>
    <r>
      <rPr>
        <sz val="11"/>
        <color rgb="FF363434"/>
        <rFont val="Arial"/>
        <family val="2"/>
      </rPr>
      <t>121. Maudleigh Renshaw</t>
    </r>
  </si>
  <si>
    <r>
      <rPr>
        <sz val="11"/>
        <color rgb="FF363434"/>
        <rFont val="Arial"/>
        <family val="2"/>
      </rPr>
      <t>c/o Virginia Lee Brewton Seellgson 4515 Willow Ln.</t>
    </r>
  </si>
  <si>
    <r>
      <rPr>
        <sz val="11"/>
        <color rgb="FF363434"/>
        <rFont val="Arial"/>
        <family val="2"/>
      </rPr>
      <t>122.  Maudleigh Renshaw c/o Brook Willie</t>
    </r>
  </si>
  <si>
    <r>
      <rPr>
        <sz val="12"/>
        <color rgb="FF363434"/>
        <rFont val="Times New Roman"/>
        <family val="1"/>
      </rPr>
      <t>P.O</t>
    </r>
    <r>
      <rPr>
        <sz val="12"/>
        <color rgb="FF363434"/>
        <rFont val="Arial"/>
        <family val="2"/>
      </rPr>
      <t xml:space="preserve">. </t>
    </r>
    <r>
      <rPr>
        <sz val="11"/>
        <color rgb="FF363434"/>
        <rFont val="Arial"/>
        <family val="2"/>
      </rPr>
      <t>Box 822242</t>
    </r>
  </si>
  <si>
    <r>
      <rPr>
        <sz val="11"/>
        <color rgb="FF363434"/>
        <rFont val="Arial"/>
        <family val="2"/>
      </rPr>
      <t>Dallas, TX 75382</t>
    </r>
  </si>
  <si>
    <r>
      <rPr>
        <sz val="11"/>
        <color rgb="FF363434"/>
        <rFont val="Arial"/>
        <family val="2"/>
      </rPr>
      <t>123.  Mayme Alberta Keith Renshaw c/o Tess[e Renshaw</t>
    </r>
  </si>
  <si>
    <r>
      <rPr>
        <sz val="11"/>
        <color rgb="FF363434"/>
        <rFont val="Arial"/>
        <family val="2"/>
      </rPr>
      <t>5323 N. 8th Ave. Phoenix, AZ 85013</t>
    </r>
  </si>
  <si>
    <r>
      <rPr>
        <sz val="12"/>
        <color rgb="FF363434"/>
        <rFont val="Times New Roman"/>
        <family val="1"/>
      </rPr>
      <t>124.</t>
    </r>
    <r>
      <rPr>
        <sz val="12"/>
        <color rgb="FF363434"/>
        <rFont val="Arial"/>
        <family val="2"/>
      </rPr>
      <t xml:space="preserve">  </t>
    </r>
    <r>
      <rPr>
        <sz val="11"/>
        <color rgb="FF363434"/>
        <rFont val="Arial"/>
        <family val="2"/>
      </rPr>
      <t>Mayme Alberta Keith Renshaw c/o Virginia Lee Brewton Seeligson 4515 Willow Ln.</t>
    </r>
  </si>
  <si>
    <r>
      <rPr>
        <sz val="12"/>
        <color rgb="FF363434"/>
        <rFont val="Times New Roman"/>
        <family val="1"/>
      </rPr>
      <t>125.</t>
    </r>
    <r>
      <rPr>
        <sz val="12"/>
        <color rgb="FF363434"/>
        <rFont val="Arial"/>
        <family val="2"/>
      </rPr>
      <t xml:space="preserve">  </t>
    </r>
    <r>
      <rPr>
        <sz val="11"/>
        <color rgb="FF363434"/>
        <rFont val="Arial"/>
        <family val="2"/>
      </rPr>
      <t>Mayme Alberta Keith Renshaw c/o Brook Willie</t>
    </r>
  </si>
  <si>
    <r>
      <rPr>
        <sz val="11"/>
        <color rgb="FF363434"/>
        <rFont val="Arial"/>
        <family val="2"/>
      </rPr>
      <t>P.O</t>
    </r>
    <r>
      <rPr>
        <sz val="11"/>
        <color rgb="FF363434"/>
        <rFont val="Times New Roman"/>
        <family val="1"/>
      </rPr>
      <t xml:space="preserve">. Box </t>
    </r>
    <r>
      <rPr>
        <sz val="12"/>
        <color rgb="FF363434"/>
        <rFont val="Times New Roman"/>
        <family val="1"/>
      </rPr>
      <t>822242</t>
    </r>
  </si>
  <si>
    <r>
      <rPr>
        <sz val="11"/>
        <color rgb="FF363434"/>
        <rFont val="Arial"/>
        <family val="2"/>
      </rPr>
      <t>Dallas, TX  75382</t>
    </r>
  </si>
  <si>
    <r>
      <rPr>
        <sz val="12"/>
        <color rgb="FF363434"/>
        <rFont val="Times New Roman"/>
        <family val="1"/>
      </rPr>
      <t>126.</t>
    </r>
    <r>
      <rPr>
        <sz val="12"/>
        <color rgb="FF363434"/>
        <rFont val="Arial"/>
        <family val="2"/>
      </rPr>
      <t xml:space="preserve">  </t>
    </r>
    <r>
      <rPr>
        <sz val="11"/>
        <color rgb="FF363434"/>
        <rFont val="Arial"/>
        <family val="2"/>
      </rPr>
      <t xml:space="preserve">Michael </t>
    </r>
    <r>
      <rPr>
        <sz val="11"/>
        <color rgb="FF363434"/>
        <rFont val="Times New Roman"/>
        <family val="1"/>
      </rPr>
      <t>J</t>
    </r>
    <r>
      <rPr>
        <sz val="11"/>
        <color rgb="FF363434"/>
        <rFont val="Arial"/>
        <family val="2"/>
      </rPr>
      <t xml:space="preserve">. &amp; Gwendolyn </t>
    </r>
    <r>
      <rPr>
        <sz val="12"/>
        <color rgb="FF363434"/>
        <rFont val="Times New Roman"/>
        <family val="1"/>
      </rPr>
      <t>J</t>
    </r>
    <r>
      <rPr>
        <sz val="12"/>
        <color rgb="FF363434"/>
        <rFont val="Arial"/>
        <family val="2"/>
      </rPr>
      <t xml:space="preserve">. </t>
    </r>
    <r>
      <rPr>
        <sz val="11"/>
        <color rgb="FF363434"/>
        <rFont val="Arial"/>
        <family val="2"/>
      </rPr>
      <t>Francis, h&amp;w</t>
    </r>
  </si>
  <si>
    <r>
      <rPr>
        <sz val="12"/>
        <color rgb="FF363434"/>
        <rFont val="Times New Roman"/>
        <family val="1"/>
      </rPr>
      <t>1907</t>
    </r>
    <r>
      <rPr>
        <sz val="12"/>
        <color rgb="FF363434"/>
        <rFont val="Arial"/>
        <family val="2"/>
      </rPr>
      <t xml:space="preserve"> </t>
    </r>
    <r>
      <rPr>
        <sz val="11"/>
        <color rgb="FF363434"/>
        <rFont val="Arial"/>
        <family val="2"/>
      </rPr>
      <t>Newhaven Loop</t>
    </r>
  </si>
  <si>
    <r>
      <rPr>
        <sz val="11"/>
        <color rgb="FF363434"/>
        <rFont val="Arial"/>
        <family val="2"/>
      </rPr>
      <t>Richland</t>
    </r>
    <r>
      <rPr>
        <sz val="11"/>
        <color rgb="FF363434"/>
        <rFont val="Times New Roman"/>
        <family val="1"/>
      </rPr>
      <t xml:space="preserve">, WA  </t>
    </r>
    <r>
      <rPr>
        <sz val="12"/>
        <color rgb="FF363434"/>
        <rFont val="Times New Roman"/>
        <family val="1"/>
      </rPr>
      <t>99352</t>
    </r>
  </si>
  <si>
    <r>
      <rPr>
        <sz val="11"/>
        <color rgb="FF363434"/>
        <rFont val="Arial"/>
        <family val="2"/>
      </rPr>
      <t>127.  Melva Ruth Drury 925 NE 5th St.</t>
    </r>
  </si>
  <si>
    <r>
      <rPr>
        <sz val="11"/>
        <color rgb="FF363434"/>
        <rFont val="Arial"/>
        <family val="2"/>
      </rPr>
      <t>Moore,</t>
    </r>
    <r>
      <rPr>
        <sz val="11"/>
        <color rgb="FF363434"/>
        <rFont val="Times New Roman"/>
        <family val="1"/>
      </rPr>
      <t xml:space="preserve"> OK </t>
    </r>
    <r>
      <rPr>
        <sz val="12"/>
        <color rgb="FF363434"/>
        <rFont val="Times New Roman"/>
        <family val="1"/>
      </rPr>
      <t>73160-6911</t>
    </r>
  </si>
  <si>
    <r>
      <rPr>
        <sz val="11"/>
        <color rgb="FF363434"/>
        <rFont val="Arial"/>
        <family val="2"/>
      </rPr>
      <t>128</t>
    </r>
    <r>
      <rPr>
        <sz val="11"/>
        <color rgb="FF363434"/>
        <rFont val="Times New Roman"/>
        <family val="1"/>
      </rPr>
      <t xml:space="preserve">.  Merle G. Gorton c/o Judith Ann Gorton 1436 Ely Road Hixson, TN  </t>
    </r>
    <r>
      <rPr>
        <sz val="12"/>
        <color rgb="FF363434"/>
        <rFont val="Times New Roman"/>
        <family val="1"/>
      </rPr>
      <t>37343</t>
    </r>
  </si>
  <si>
    <r>
      <rPr>
        <sz val="11"/>
        <color rgb="FF363434"/>
        <rFont val="Arial"/>
        <family val="2"/>
      </rPr>
      <t xml:space="preserve">129.  MFP </t>
    </r>
    <r>
      <rPr>
        <sz val="12"/>
        <color rgb="FF363434"/>
        <rFont val="Times New Roman"/>
        <family val="1"/>
      </rPr>
      <t>11,</t>
    </r>
    <r>
      <rPr>
        <sz val="12"/>
        <color rgb="FF363434"/>
        <rFont val="Arial"/>
        <family val="2"/>
      </rPr>
      <t xml:space="preserve"> </t>
    </r>
    <r>
      <rPr>
        <sz val="11"/>
        <color rgb="FF363434"/>
        <rFont val="Arial"/>
        <family val="2"/>
      </rPr>
      <t>Petroleum Limited Partnership</t>
    </r>
  </si>
  <si>
    <r>
      <rPr>
        <sz val="12"/>
        <color rgb="FF363434"/>
        <rFont val="Times New Roman"/>
        <family val="1"/>
      </rPr>
      <t>13170</t>
    </r>
    <r>
      <rPr>
        <sz val="12"/>
        <color rgb="FF363434"/>
        <rFont val="Arial"/>
        <family val="2"/>
      </rPr>
      <t xml:space="preserve"> N. </t>
    </r>
    <r>
      <rPr>
        <sz val="11"/>
        <color rgb="FF363434"/>
        <rFont val="Arial"/>
        <family val="2"/>
      </rPr>
      <t>MacArthur Blvd. Oklahoma City, OK 73142</t>
    </r>
  </si>
  <si>
    <r>
      <rPr>
        <sz val="11"/>
        <color rgb="FF363434"/>
        <rFont val="Arial"/>
        <family val="2"/>
      </rPr>
      <t>130. Nena Burton Renshaw c/o Tessie Renshaw</t>
    </r>
  </si>
  <si>
    <r>
      <rPr>
        <sz val="11"/>
        <color rgb="FF363434"/>
        <rFont val="Arial"/>
        <family val="2"/>
      </rPr>
      <t xml:space="preserve">5323 </t>
    </r>
    <r>
      <rPr>
        <sz val="12"/>
        <color rgb="FF363434"/>
        <rFont val="Arial"/>
        <family val="2"/>
      </rPr>
      <t xml:space="preserve">N. </t>
    </r>
    <r>
      <rPr>
        <sz val="11"/>
        <color rgb="FF363434"/>
        <rFont val="Arial"/>
        <family val="2"/>
      </rPr>
      <t>8th Ave.</t>
    </r>
  </si>
  <si>
    <r>
      <rPr>
        <sz val="11"/>
        <color rgb="FF363434"/>
        <rFont val="Arial"/>
        <family val="2"/>
      </rPr>
      <t>Phoenix, AZ 85013</t>
    </r>
  </si>
  <si>
    <r>
      <rPr>
        <sz val="12"/>
        <color rgb="FF363434"/>
        <rFont val="Times New Roman"/>
        <family val="1"/>
      </rPr>
      <t xml:space="preserve">131.  </t>
    </r>
    <r>
      <rPr>
        <sz val="11"/>
        <color rgb="FF363434"/>
        <rFont val="Arial"/>
        <family val="2"/>
      </rPr>
      <t>Nit</t>
    </r>
    <r>
      <rPr>
        <sz val="11"/>
        <color rgb="FF363434"/>
        <rFont val="Times New Roman"/>
        <family val="1"/>
      </rPr>
      <t xml:space="preserve">a Renshaw 9133 Baird Rd. Apt. 224 Shreveport, LA  </t>
    </r>
    <r>
      <rPr>
        <sz val="12"/>
        <color rgb="FF363434"/>
        <rFont val="Times New Roman"/>
        <family val="1"/>
      </rPr>
      <t>71118</t>
    </r>
  </si>
  <si>
    <r>
      <rPr>
        <sz val="12"/>
        <color rgb="FF363434"/>
        <rFont val="Times New Roman"/>
        <family val="1"/>
      </rPr>
      <t>132.</t>
    </r>
    <r>
      <rPr>
        <sz val="12"/>
        <color rgb="FF363434"/>
        <rFont val="Arial"/>
        <family val="2"/>
      </rPr>
      <t xml:space="preserve">  </t>
    </r>
    <r>
      <rPr>
        <sz val="11"/>
        <color rgb="FF363434"/>
        <rFont val="Arial"/>
        <family val="2"/>
      </rPr>
      <t>Noram Petroleum Corporation</t>
    </r>
  </si>
  <si>
    <r>
      <rPr>
        <sz val="12"/>
        <color rgb="FF363434"/>
        <rFont val="Times New Roman"/>
        <family val="1"/>
      </rPr>
      <t>701</t>
    </r>
    <r>
      <rPr>
        <sz val="12"/>
        <color rgb="FF363434"/>
        <rFont val="Arial"/>
        <family val="2"/>
      </rPr>
      <t xml:space="preserve"> </t>
    </r>
    <r>
      <rPr>
        <sz val="11"/>
        <color rgb="FF363434"/>
        <rFont val="Arial"/>
        <family val="2"/>
      </rPr>
      <t>Cedar Lake Blvd Oklahoma City, OK 73114</t>
    </r>
  </si>
  <si>
    <r>
      <rPr>
        <sz val="11"/>
        <color rgb="FF363434"/>
        <rFont val="Arial"/>
        <family val="2"/>
      </rPr>
      <t>133.  Norma Lee States 423 N. Cheyenne St. Hennessey, OK 73742</t>
    </r>
  </si>
  <si>
    <r>
      <rPr>
        <sz val="12"/>
        <color rgb="FF363434"/>
        <rFont val="Times New Roman"/>
        <family val="1"/>
      </rPr>
      <t>134.</t>
    </r>
    <r>
      <rPr>
        <sz val="12"/>
        <color rgb="FF363434"/>
        <rFont val="Arial"/>
        <family val="2"/>
      </rPr>
      <t xml:space="preserve">  </t>
    </r>
    <r>
      <rPr>
        <sz val="11"/>
        <color rgb="FF363434"/>
        <rFont val="Arial"/>
        <family val="2"/>
      </rPr>
      <t>Oklahoma Energy Acquisitions, LP 15021 Katy Freeway, Suite 400 Houston, TX 77094</t>
    </r>
  </si>
  <si>
    <r>
      <rPr>
        <sz val="11"/>
        <color rgb="FF363434"/>
        <rFont val="Arial"/>
        <family val="2"/>
      </rPr>
      <t xml:space="preserve">135.  Oliver Dene States 7089 N. </t>
    </r>
    <r>
      <rPr>
        <sz val="12"/>
        <color rgb="FF363434"/>
        <rFont val="Times New Roman"/>
        <family val="1"/>
      </rPr>
      <t>2870</t>
    </r>
    <r>
      <rPr>
        <sz val="12"/>
        <color rgb="FF363434"/>
        <rFont val="Arial"/>
        <family val="2"/>
      </rPr>
      <t xml:space="preserve"> </t>
    </r>
    <r>
      <rPr>
        <sz val="11"/>
        <color rgb="FF363434"/>
        <rFont val="Arial"/>
        <family val="2"/>
      </rPr>
      <t>Road Hennessey, OK  73742</t>
    </r>
  </si>
  <si>
    <r>
      <rPr>
        <sz val="12"/>
        <color rgb="FF363434"/>
        <rFont val="Times New Roman"/>
        <family val="1"/>
      </rPr>
      <t>136.</t>
    </r>
    <r>
      <rPr>
        <sz val="12"/>
        <color rgb="FF363434"/>
        <rFont val="Arial"/>
        <family val="2"/>
      </rPr>
      <t xml:space="preserve">  </t>
    </r>
    <r>
      <rPr>
        <sz val="11"/>
        <color rgb="FF363434"/>
        <rFont val="Arial"/>
        <family val="2"/>
      </rPr>
      <t xml:space="preserve">Oliver </t>
    </r>
    <r>
      <rPr>
        <sz val="12"/>
        <color rgb="FF363434"/>
        <rFont val="Times New Roman"/>
        <family val="1"/>
      </rPr>
      <t>M</t>
    </r>
    <r>
      <rPr>
        <sz val="12"/>
        <color rgb="FF363434"/>
        <rFont val="Arial"/>
        <family val="2"/>
      </rPr>
      <t xml:space="preserve">. </t>
    </r>
    <r>
      <rPr>
        <sz val="11"/>
        <color rgb="FF363434"/>
        <rFont val="Arial"/>
        <family val="2"/>
      </rPr>
      <t>Renshaw c/o Linda Riggs Ravenel 410 Collins Rd.</t>
    </r>
  </si>
  <si>
    <r>
      <rPr>
        <sz val="12"/>
        <color rgb="FF363434"/>
        <rFont val="Times New Roman"/>
        <family val="1"/>
      </rPr>
      <t xml:space="preserve">137.  </t>
    </r>
    <r>
      <rPr>
        <sz val="11"/>
        <color rgb="FF363434"/>
        <rFont val="Arial"/>
        <family val="2"/>
      </rPr>
      <t>Pamel</t>
    </r>
    <r>
      <rPr>
        <sz val="11"/>
        <color rgb="FF363434"/>
        <rFont val="Times New Roman"/>
        <family val="1"/>
      </rPr>
      <t xml:space="preserve">a Anderson c/o Cynthia A. Renshaw </t>
    </r>
    <r>
      <rPr>
        <sz val="12"/>
        <color rgb="FF363434"/>
        <rFont val="Times New Roman"/>
        <family val="1"/>
      </rPr>
      <t xml:space="preserve">1718 </t>
    </r>
    <r>
      <rPr>
        <sz val="11"/>
        <color rgb="FF363434"/>
        <rFont val="Arial"/>
        <family val="2"/>
      </rPr>
      <t>Fo</t>
    </r>
    <r>
      <rPr>
        <sz val="11"/>
        <color rgb="FF363434"/>
        <rFont val="Times New Roman"/>
        <family val="1"/>
      </rPr>
      <t xml:space="preserve">x Way Pittsburgh, PA  </t>
    </r>
    <r>
      <rPr>
        <sz val="12"/>
        <color rgb="FF363434"/>
        <rFont val="Times New Roman"/>
        <family val="1"/>
      </rPr>
      <t>15203</t>
    </r>
  </si>
  <si>
    <r>
      <rPr>
        <sz val="11"/>
        <color rgb="FF363434"/>
        <rFont val="Arial"/>
        <family val="2"/>
      </rPr>
      <t>138</t>
    </r>
    <r>
      <rPr>
        <sz val="11"/>
        <color rgb="FF363434"/>
        <rFont val="Times New Roman"/>
        <family val="1"/>
      </rPr>
      <t xml:space="preserve">.  Pat Borelli Family Trust </t>
    </r>
    <r>
      <rPr>
        <sz val="12"/>
        <color rgb="FF363434"/>
        <rFont val="Times New Roman"/>
        <family val="1"/>
      </rPr>
      <t xml:space="preserve">1012 </t>
    </r>
    <r>
      <rPr>
        <sz val="11"/>
        <color rgb="FF363434"/>
        <rFont val="Arial"/>
        <family val="2"/>
      </rPr>
      <t>Bentbroo</t>
    </r>
    <r>
      <rPr>
        <sz val="11"/>
        <color rgb="FF363434"/>
        <rFont val="Times New Roman"/>
        <family val="1"/>
      </rPr>
      <t xml:space="preserve">k Place Norman, OK  </t>
    </r>
    <r>
      <rPr>
        <sz val="12"/>
        <color rgb="FF363434"/>
        <rFont val="Times New Roman"/>
        <family val="1"/>
      </rPr>
      <t>73072</t>
    </r>
  </si>
  <si>
    <r>
      <rPr>
        <sz val="11"/>
        <color rgb="FF363434"/>
        <rFont val="Arial"/>
        <family val="2"/>
      </rPr>
      <t xml:space="preserve">139.  Patrick H. Chaney c/o Christopher Chaney </t>
    </r>
    <r>
      <rPr>
        <sz val="12"/>
        <color rgb="FF363434"/>
        <rFont val="Times New Roman"/>
        <family val="1"/>
      </rPr>
      <t>620</t>
    </r>
    <r>
      <rPr>
        <sz val="12"/>
        <color rgb="FF363434"/>
        <rFont val="Arial"/>
        <family val="2"/>
      </rPr>
      <t xml:space="preserve"> </t>
    </r>
    <r>
      <rPr>
        <sz val="11"/>
        <color rgb="FF363434"/>
        <rFont val="Arial"/>
        <family val="2"/>
      </rPr>
      <t>Lincoln Ave.</t>
    </r>
  </si>
  <si>
    <r>
      <rPr>
        <sz val="12"/>
        <color rgb="FF363434"/>
        <rFont val="Times New Roman"/>
        <family val="1"/>
      </rPr>
      <t xml:space="preserve">140.  </t>
    </r>
    <r>
      <rPr>
        <sz val="11"/>
        <color rgb="FF363434"/>
        <rFont val="Arial"/>
        <family val="2"/>
      </rPr>
      <t>Patric</t>
    </r>
    <r>
      <rPr>
        <sz val="11"/>
        <color rgb="FF363434"/>
        <rFont val="Times New Roman"/>
        <family val="1"/>
      </rPr>
      <t xml:space="preserve">k </t>
    </r>
    <r>
      <rPr>
        <sz val="12"/>
        <color rgb="FF363434"/>
        <rFont val="Times New Roman"/>
        <family val="1"/>
      </rPr>
      <t xml:space="preserve">H. </t>
    </r>
    <r>
      <rPr>
        <sz val="11"/>
        <color rgb="FF363434"/>
        <rFont val="Arial"/>
        <family val="2"/>
      </rPr>
      <t xml:space="preserve">Chaney </t>
    </r>
    <r>
      <rPr>
        <sz val="11"/>
        <color rgb="FF363434"/>
        <rFont val="Times New Roman"/>
        <family val="1"/>
      </rPr>
      <t xml:space="preserve">c/o Amy </t>
    </r>
    <r>
      <rPr>
        <sz val="13"/>
        <color rgb="FF363434"/>
        <rFont val="Times New Roman"/>
        <family val="1"/>
      </rPr>
      <t xml:space="preserve">J. </t>
    </r>
    <r>
      <rPr>
        <sz val="11"/>
        <color rgb="FF363434"/>
        <rFont val="Arial"/>
        <family val="2"/>
      </rPr>
      <t>Falken 1893</t>
    </r>
    <r>
      <rPr>
        <sz val="11"/>
        <color rgb="FF363434"/>
        <rFont val="Times New Roman"/>
        <family val="1"/>
      </rPr>
      <t xml:space="preserve">5 Horizon Ct. Tuolumne, CA  </t>
    </r>
    <r>
      <rPr>
        <sz val="12"/>
        <color rgb="FF363434"/>
        <rFont val="Times New Roman"/>
        <family val="1"/>
      </rPr>
      <t>95379</t>
    </r>
  </si>
  <si>
    <r>
      <rPr>
        <sz val="12"/>
        <color rgb="FF363434"/>
        <rFont val="Times New Roman"/>
        <family val="1"/>
      </rPr>
      <t>141.</t>
    </r>
    <r>
      <rPr>
        <sz val="12"/>
        <color rgb="FF363434"/>
        <rFont val="Arial"/>
        <family val="2"/>
      </rPr>
      <t xml:space="preserve">  </t>
    </r>
    <r>
      <rPr>
        <sz val="11"/>
        <color rgb="FF363434"/>
        <rFont val="Arial"/>
        <family val="2"/>
      </rPr>
      <t xml:space="preserve">Pearl </t>
    </r>
    <r>
      <rPr>
        <sz val="12"/>
        <color rgb="FF363434"/>
        <rFont val="Times New Roman"/>
        <family val="1"/>
      </rPr>
      <t>H</t>
    </r>
    <r>
      <rPr>
        <sz val="12"/>
        <color rgb="FF363434"/>
        <rFont val="Arial"/>
        <family val="2"/>
      </rPr>
      <t xml:space="preserve">. </t>
    </r>
    <r>
      <rPr>
        <sz val="11"/>
        <color rgb="FF363434"/>
        <rFont val="Arial"/>
        <family val="2"/>
      </rPr>
      <t>Shover</t>
    </r>
  </si>
  <si>
    <r>
      <rPr>
        <sz val="12"/>
        <color rgb="FF363434"/>
        <rFont val="Times New Roman"/>
        <family val="1"/>
      </rPr>
      <t>142.</t>
    </r>
    <r>
      <rPr>
        <sz val="12"/>
        <color rgb="FF363434"/>
        <rFont val="Arial"/>
        <family val="2"/>
      </rPr>
      <t xml:space="preserve">  </t>
    </r>
    <r>
      <rPr>
        <sz val="11"/>
        <color rgb="FF363434"/>
        <rFont val="Arial"/>
        <family val="2"/>
      </rPr>
      <t>Pebble Fry</t>
    </r>
  </si>
  <si>
    <r>
      <rPr>
        <sz val="12"/>
        <color rgb="FF363434"/>
        <rFont val="Times New Roman"/>
        <family val="1"/>
      </rPr>
      <t xml:space="preserve">5353 </t>
    </r>
    <r>
      <rPr>
        <sz val="11"/>
        <color rgb="FF363434"/>
        <rFont val="Arial"/>
        <family val="2"/>
      </rPr>
      <t>Kelle</t>
    </r>
    <r>
      <rPr>
        <sz val="11"/>
        <color rgb="FF363434"/>
        <rFont val="Times New Roman"/>
        <family val="1"/>
      </rPr>
      <t xml:space="preserve">r Springs Rd. Apt. </t>
    </r>
    <r>
      <rPr>
        <sz val="12"/>
        <color rgb="FF363434"/>
        <rFont val="Times New Roman"/>
        <family val="1"/>
      </rPr>
      <t>920</t>
    </r>
  </si>
  <si>
    <r>
      <rPr>
        <sz val="11"/>
        <color rgb="FF363434"/>
        <rFont val="Arial"/>
        <family val="2"/>
      </rPr>
      <t>Dallas</t>
    </r>
    <r>
      <rPr>
        <sz val="11"/>
        <color rgb="FF363434"/>
        <rFont val="Times New Roman"/>
        <family val="1"/>
      </rPr>
      <t xml:space="preserve">, TX </t>
    </r>
    <r>
      <rPr>
        <sz val="12"/>
        <color rgb="FF363434"/>
        <rFont val="Times New Roman"/>
        <family val="1"/>
      </rPr>
      <t>75248</t>
    </r>
  </si>
  <si>
    <r>
      <rPr>
        <sz val="12"/>
        <color rgb="FF363434"/>
        <rFont val="Times New Roman"/>
        <family val="1"/>
      </rPr>
      <t>143.</t>
    </r>
    <r>
      <rPr>
        <sz val="12"/>
        <color rgb="FF363434"/>
        <rFont val="Arial"/>
        <family val="2"/>
      </rPr>
      <t xml:space="preserve">  </t>
    </r>
    <r>
      <rPr>
        <sz val="11"/>
        <color rgb="FF363434"/>
        <rFont val="Arial"/>
        <family val="2"/>
      </rPr>
      <t>Raymond Willie 5131 Pebblebrook Dr. Dallas, TX  75229</t>
    </r>
  </si>
  <si>
    <r>
      <rPr>
        <sz val="11"/>
        <color rgb="FF363434"/>
        <rFont val="Arial"/>
        <family val="2"/>
      </rPr>
      <t xml:space="preserve">144. Raymond Willie </t>
    </r>
    <r>
      <rPr>
        <sz val="12"/>
        <color rgb="FF363434"/>
        <rFont val="Times New Roman"/>
        <family val="1"/>
      </rPr>
      <t>5726</t>
    </r>
    <r>
      <rPr>
        <sz val="12"/>
        <color rgb="FF363434"/>
        <rFont val="Arial"/>
        <family val="2"/>
      </rPr>
      <t xml:space="preserve"> </t>
    </r>
    <r>
      <rPr>
        <sz val="11"/>
        <color rgb="FF363434"/>
        <rFont val="Arial"/>
        <family val="2"/>
      </rPr>
      <t>Bryn Mawr Dr. Dallas, TX 75209</t>
    </r>
  </si>
  <si>
    <r>
      <rPr>
        <sz val="12"/>
        <color rgb="FF363434"/>
        <rFont val="Times New Roman"/>
        <family val="1"/>
      </rPr>
      <t>145.</t>
    </r>
    <r>
      <rPr>
        <sz val="12"/>
        <color rgb="FF363434"/>
        <rFont val="Arial"/>
        <family val="2"/>
      </rPr>
      <t xml:space="preserve">  </t>
    </r>
    <r>
      <rPr>
        <sz val="11"/>
        <color rgb="FF363434"/>
        <rFont val="Arial"/>
        <family val="2"/>
      </rPr>
      <t>Raymond Willie</t>
    </r>
  </si>
  <si>
    <r>
      <rPr>
        <sz val="12"/>
        <color rgb="FF363434"/>
        <rFont val="Times New Roman"/>
        <family val="1"/>
      </rPr>
      <t>146.</t>
    </r>
    <r>
      <rPr>
        <sz val="12"/>
        <color rgb="FF363434"/>
        <rFont val="Arial"/>
        <family val="2"/>
      </rPr>
      <t xml:space="preserve">  </t>
    </r>
    <r>
      <rPr>
        <sz val="11"/>
        <color rgb="FF363434"/>
        <rFont val="Arial"/>
        <family val="2"/>
      </rPr>
      <t>Rescate Royalties, LP.</t>
    </r>
  </si>
  <si>
    <r>
      <rPr>
        <sz val="11"/>
        <color rgb="FF363434"/>
        <rFont val="Arial"/>
        <family val="2"/>
      </rPr>
      <t>P</t>
    </r>
    <r>
      <rPr>
        <sz val="11"/>
        <color rgb="FF363434"/>
        <rFont val="Times New Roman"/>
        <family val="1"/>
      </rPr>
      <t xml:space="preserve">. 0.  Box </t>
    </r>
    <r>
      <rPr>
        <sz val="12"/>
        <color rgb="FF363434"/>
        <rFont val="Times New Roman"/>
        <family val="1"/>
      </rPr>
      <t>53188</t>
    </r>
  </si>
  <si>
    <r>
      <rPr>
        <sz val="11"/>
        <color rgb="FF363434"/>
        <rFont val="Arial"/>
        <family val="2"/>
      </rPr>
      <t>Lubbock</t>
    </r>
    <r>
      <rPr>
        <sz val="11"/>
        <color rgb="FF363434"/>
        <rFont val="Times New Roman"/>
        <family val="1"/>
      </rPr>
      <t xml:space="preserve">, TX </t>
    </r>
    <r>
      <rPr>
        <sz val="12"/>
        <color rgb="FF363434"/>
        <rFont val="Times New Roman"/>
        <family val="1"/>
      </rPr>
      <t>79453</t>
    </r>
  </si>
  <si>
    <r>
      <rPr>
        <sz val="11"/>
        <color rgb="FF363434"/>
        <rFont val="Arial"/>
        <family val="2"/>
      </rPr>
      <t>147.  Sandra Corder</t>
    </r>
  </si>
  <si>
    <r>
      <rPr>
        <sz val="11"/>
        <color rgb="FF363434"/>
        <rFont val="Arial"/>
        <family val="2"/>
      </rPr>
      <t>148.  Southern Methodist University</t>
    </r>
  </si>
  <si>
    <r>
      <rPr>
        <sz val="12"/>
        <color rgb="FF363434"/>
        <rFont val="Times New Roman"/>
        <family val="1"/>
      </rPr>
      <t>P.O</t>
    </r>
    <r>
      <rPr>
        <sz val="12"/>
        <color rgb="FF363434"/>
        <rFont val="Arial"/>
        <family val="2"/>
      </rPr>
      <t xml:space="preserve">. </t>
    </r>
    <r>
      <rPr>
        <sz val="11"/>
        <color rgb="FF363434"/>
        <rFont val="Arial"/>
        <family val="2"/>
      </rPr>
      <t>Box 750193 Dallas, TX  75275</t>
    </r>
  </si>
  <si>
    <r>
      <rPr>
        <sz val="11"/>
        <color rgb="FF363434"/>
        <rFont val="Arial"/>
        <family val="2"/>
      </rPr>
      <t>159.  Virginia Lee Brewton Seeligson 4515 Wlllow Ln.</t>
    </r>
  </si>
  <si>
    <r>
      <rPr>
        <sz val="11"/>
        <color rgb="FF363434"/>
        <rFont val="Arial"/>
        <family val="2"/>
      </rPr>
      <t>149.  Teal Royalties, LLC</t>
    </r>
  </si>
  <si>
    <r>
      <rPr>
        <sz val="11"/>
        <color rgb="FF363434"/>
        <rFont val="Arial"/>
        <family val="2"/>
      </rPr>
      <t>15303 North Dallas Parkway, Suite 1350</t>
    </r>
  </si>
  <si>
    <r>
      <rPr>
        <sz val="11"/>
        <color rgb="FF363434"/>
        <rFont val="Arial"/>
        <family val="2"/>
      </rPr>
      <t xml:space="preserve">Addison, </t>
    </r>
    <r>
      <rPr>
        <sz val="12"/>
        <color rgb="FF363434"/>
        <rFont val="Times New Roman"/>
        <family val="1"/>
      </rPr>
      <t>T</t>
    </r>
    <r>
      <rPr>
        <sz val="12"/>
        <color rgb="FF363434"/>
        <rFont val="Arial"/>
        <family val="2"/>
      </rPr>
      <t xml:space="preserve">X </t>
    </r>
    <r>
      <rPr>
        <sz val="11"/>
        <color rgb="FF363434"/>
        <rFont val="Arial"/>
        <family val="2"/>
      </rPr>
      <t>75001</t>
    </r>
  </si>
  <si>
    <r>
      <rPr>
        <sz val="11"/>
        <color rgb="FF363434"/>
        <rFont val="Arial"/>
        <family val="2"/>
      </rPr>
      <t>150.  Teolis, LLC</t>
    </r>
  </si>
  <si>
    <r>
      <rPr>
        <sz val="11"/>
        <color rgb="FF363434"/>
        <rFont val="Arial"/>
        <family val="2"/>
      </rPr>
      <t>111 Brandywine Drive</t>
    </r>
  </si>
  <si>
    <r>
      <rPr>
        <sz val="11"/>
        <color rgb="FF363434"/>
        <rFont val="Arial"/>
        <family val="2"/>
      </rPr>
      <t>McMurray, PA 15317</t>
    </r>
  </si>
  <si>
    <r>
      <rPr>
        <sz val="11"/>
        <color rgb="FF363434"/>
        <rFont val="Arial"/>
        <family val="2"/>
      </rPr>
      <t>151.  Tessie Renshaw 5323 N. 8th Ave. Phoenix, AZ  85013</t>
    </r>
  </si>
  <si>
    <r>
      <rPr>
        <sz val="11"/>
        <color rgb="FF363434"/>
        <rFont val="Arial"/>
        <family val="2"/>
      </rPr>
      <t xml:space="preserve">152.  Thompson Living Trust 12412 Maiden Ln  Oklahoma City, </t>
    </r>
    <r>
      <rPr>
        <sz val="12"/>
        <color rgb="FF363434"/>
        <rFont val="Arial"/>
        <family val="2"/>
      </rPr>
      <t xml:space="preserve">OK </t>
    </r>
    <r>
      <rPr>
        <sz val="11"/>
        <color rgb="FF363434"/>
        <rFont val="Arial"/>
        <family val="2"/>
      </rPr>
      <t>73142</t>
    </r>
  </si>
  <si>
    <r>
      <rPr>
        <sz val="11"/>
        <color rgb="FF363434"/>
        <rFont val="Arial"/>
        <family val="2"/>
      </rPr>
      <t xml:space="preserve">153.  Twenty/Twenty Oil </t>
    </r>
    <r>
      <rPr>
        <sz val="10"/>
        <color rgb="FF363434"/>
        <rFont val="Arial"/>
        <family val="2"/>
      </rPr>
      <t xml:space="preserve">&amp; </t>
    </r>
    <r>
      <rPr>
        <sz val="11"/>
        <color rgb="FF363434"/>
        <rFont val="Arial"/>
        <family val="2"/>
      </rPr>
      <t>Gas, Inc.</t>
    </r>
  </si>
  <si>
    <r>
      <rPr>
        <sz val="11"/>
        <color rgb="FF363434"/>
        <rFont val="Arial"/>
        <family val="2"/>
      </rPr>
      <t>P. 0.  Box 247 Hennessey, OK 73742</t>
    </r>
  </si>
  <si>
    <r>
      <rPr>
        <sz val="11"/>
        <color rgb="FF363434"/>
        <rFont val="Arial"/>
        <family val="2"/>
      </rPr>
      <t>154.  Velma Corder</t>
    </r>
  </si>
  <si>
    <r>
      <rPr>
        <sz val="11"/>
        <color rgb="FF363434"/>
        <rFont val="Arial"/>
        <family val="2"/>
      </rPr>
      <t xml:space="preserve">155.  Vernon </t>
    </r>
    <r>
      <rPr>
        <sz val="12"/>
        <color rgb="FF363434"/>
        <rFont val="Arial"/>
        <family val="2"/>
      </rPr>
      <t xml:space="preserve">W. </t>
    </r>
    <r>
      <rPr>
        <sz val="11"/>
        <color rgb="FF363434"/>
        <rFont val="Arial"/>
        <family val="2"/>
      </rPr>
      <t>Shover c/o John L. Shover 8615 Maidstone Court Largo, FL  33777</t>
    </r>
  </si>
  <si>
    <r>
      <rPr>
        <sz val="11"/>
        <color rgb="FF363434"/>
        <rFont val="Arial"/>
        <family val="2"/>
      </rPr>
      <t xml:space="preserve">156.    Vernon  W·. Shover,  Ruby  M.  Shover,  John  </t>
    </r>
    <r>
      <rPr>
        <sz val="12"/>
        <color rgb="FF363434"/>
        <rFont val="Arial"/>
        <family val="2"/>
      </rPr>
      <t>L.</t>
    </r>
  </si>
  <si>
    <r>
      <rPr>
        <sz val="11"/>
        <color rgb="FF363434"/>
        <rFont val="Arial"/>
        <family val="2"/>
      </rPr>
      <t>Shover, and Nancy L. Combs, JTWROS c/o John L. Shover</t>
    </r>
  </si>
  <si>
    <r>
      <rPr>
        <sz val="11"/>
        <color rgb="FF363434"/>
        <rFont val="Arial"/>
        <family val="2"/>
      </rPr>
      <t>Largo, FL 33777</t>
    </r>
  </si>
  <si>
    <r>
      <rPr>
        <sz val="11"/>
        <color rgb="FF363434"/>
        <rFont val="Arial"/>
        <family val="2"/>
      </rPr>
      <t>157.  Vernon Woodard Corder c/o Daryl Jean Wilcox Jehle 814 Main St.</t>
    </r>
  </si>
  <si>
    <r>
      <rPr>
        <sz val="11"/>
        <color rgb="FF363434"/>
        <rFont val="Arial"/>
        <family val="2"/>
      </rPr>
      <t>158.  Virgie M. Mclemore c/o Gail D. Mclemore 4670 Crystal Drive Columbia, SC  29206</t>
    </r>
  </si>
  <si>
    <r>
      <rPr>
        <sz val="11"/>
        <color rgb="FF363434"/>
        <rFont val="Arial"/>
        <family val="2"/>
      </rPr>
      <t>160.  Virginia Shutler Trust c/o Norman Dale Shutler 200 W. Seay Ave. Kingfisher, OK  73750</t>
    </r>
  </si>
  <si>
    <r>
      <rPr>
        <sz val="11"/>
        <color rgb="FF363434"/>
        <rFont val="Arial"/>
        <family val="2"/>
      </rPr>
      <t xml:space="preserve">161.  </t>
    </r>
    <r>
      <rPr>
        <sz val="12"/>
        <color rgb="FF363434"/>
        <rFont val="Times New Roman"/>
        <family val="1"/>
      </rPr>
      <t>W.R</t>
    </r>
    <r>
      <rPr>
        <sz val="12"/>
        <color rgb="FF363434"/>
        <rFont val="Arial"/>
        <family val="2"/>
      </rPr>
      <t xml:space="preserve">. </t>
    </r>
    <r>
      <rPr>
        <sz val="11"/>
        <color rgb="FF363434"/>
        <rFont val="Arial"/>
        <family val="2"/>
      </rPr>
      <t>Renshaw</t>
    </r>
  </si>
  <si>
    <r>
      <rPr>
        <sz val="11"/>
        <color rgb="FF363434"/>
        <rFont val="Arial"/>
        <family val="2"/>
      </rPr>
      <t>(Possibly Deceased on3/11/1957 in Maricopa County, AZ, See note 4)</t>
    </r>
  </si>
  <si>
    <r>
      <rPr>
        <sz val="11"/>
        <color rgb="FF363434"/>
        <rFont val="Arial"/>
        <family val="2"/>
      </rPr>
      <t>c/o Tessie Renshaw 5323 N. 8th Ave.</t>
    </r>
  </si>
  <si>
    <r>
      <rPr>
        <sz val="11"/>
        <color rgb="FF363434"/>
        <rFont val="Arial"/>
        <family val="2"/>
      </rPr>
      <t>162.  Waller Family Enterprises, LLC</t>
    </r>
  </si>
  <si>
    <r>
      <rPr>
        <sz val="12"/>
        <color rgb="FF363434"/>
        <rFont val="Times New Roman"/>
        <family val="1"/>
      </rPr>
      <t>P.O</t>
    </r>
    <r>
      <rPr>
        <sz val="12"/>
        <color rgb="FF363434"/>
        <rFont val="Arial"/>
        <family val="2"/>
      </rPr>
      <t xml:space="preserve">. </t>
    </r>
    <r>
      <rPr>
        <sz val="11"/>
        <color rgb="FF363434"/>
        <rFont val="Arial"/>
        <family val="2"/>
      </rPr>
      <t>Box 7210 Edmond, OK  73083</t>
    </r>
  </si>
  <si>
    <r>
      <rPr>
        <sz val="11"/>
        <color rgb="FF363434"/>
        <rFont val="Arial"/>
        <family val="2"/>
      </rPr>
      <t>163. William D. Kiser, Trustee of the William D. Kiser 2013</t>
    </r>
  </si>
  <si>
    <r>
      <rPr>
        <sz val="11"/>
        <color rgb="FF363434"/>
        <rFont val="Arial"/>
        <family val="2"/>
      </rPr>
      <t>Trust</t>
    </r>
  </si>
  <si>
    <r>
      <rPr>
        <sz val="12"/>
        <color rgb="FF363434"/>
        <rFont val="Times New Roman"/>
        <family val="1"/>
      </rPr>
      <t>812</t>
    </r>
    <r>
      <rPr>
        <sz val="12"/>
        <color rgb="FF363434"/>
        <rFont val="Arial"/>
        <family val="2"/>
      </rPr>
      <t xml:space="preserve"> </t>
    </r>
    <r>
      <rPr>
        <sz val="11"/>
        <color rgb="FF363434"/>
        <rFont val="Arial"/>
        <family val="2"/>
      </rPr>
      <t>Glenlake Drive</t>
    </r>
  </si>
  <si>
    <r>
      <rPr>
        <sz val="11"/>
        <color rgb="FF363434"/>
        <rFont val="Arial"/>
        <family val="2"/>
      </rPr>
      <t>Edmond, OK 73013</t>
    </r>
  </si>
  <si>
    <r>
      <rPr>
        <sz val="11"/>
        <color rgb="FF363434"/>
        <rFont val="Arial"/>
        <family val="2"/>
      </rPr>
      <t>164. William Glenn Shover, Assumed Deceased Per ADH 2804/195, dated 6/3/15</t>
    </r>
  </si>
  <si>
    <r>
      <rPr>
        <sz val="11"/>
        <color rgb="FF363434"/>
        <rFont val="Arial"/>
        <family val="2"/>
      </rPr>
      <t>165.  William Jap Renshaw c/o Tessie Renshaw</t>
    </r>
  </si>
  <si>
    <r>
      <rPr>
        <sz val="11"/>
        <color rgb="FF363434"/>
        <rFont val="Arial"/>
        <family val="2"/>
      </rPr>
      <t>5323 N. 8th Ave. Phoenix, AZ  85013</t>
    </r>
  </si>
  <si>
    <r>
      <rPr>
        <sz val="11"/>
        <color rgb="FF363434"/>
        <rFont val="Arial"/>
        <family val="2"/>
      </rPr>
      <t>166.  Wilma Joan Duffy 616 Yukon Avenue Yukon, OK  73099</t>
    </r>
  </si>
  <si>
    <r>
      <rPr>
        <sz val="11"/>
        <color rgb="FF363434"/>
        <rFont val="Arial"/>
        <family val="2"/>
      </rPr>
      <t>R</t>
    </r>
    <r>
      <rPr>
        <u/>
        <sz val="11"/>
        <color rgb="FF363434"/>
        <rFont val="Arial"/>
        <family val="2"/>
      </rPr>
      <t>E</t>
    </r>
    <r>
      <rPr>
        <sz val="11"/>
        <color rgb="FF363434"/>
        <rFont val="Arial"/>
        <family val="2"/>
      </rPr>
      <t>SPONDENTS WITH UNKNOWN ADDRESSES:</t>
    </r>
  </si>
  <si>
    <r>
      <rPr>
        <sz val="11"/>
        <color rgb="FF363434"/>
        <rFont val="Arial"/>
        <family val="2"/>
      </rPr>
      <t>167.  Richard Mack</t>
    </r>
  </si>
  <si>
    <t>Los Altos, CA  94022</t>
  </si>
  <si>
    <t>Houston</t>
  </si>
  <si>
    <t xml:space="preserve">A </t>
  </si>
  <si>
    <t>Los Altos,</t>
  </si>
  <si>
    <t xml:space="preserve"> [12,]  </t>
  </si>
  <si>
    <t xml:space="preserve"> [13,]  </t>
  </si>
  <si>
    <t xml:space="preserve"> [14,] -</t>
  </si>
  <si>
    <t xml:space="preserve"> [15,] -</t>
  </si>
  <si>
    <t xml:space="preserve"> [16,]  </t>
  </si>
  <si>
    <t xml:space="preserve"> [17,]  </t>
  </si>
  <si>
    <t xml:space="preserve"> [18,]  </t>
  </si>
  <si>
    <t xml:space="preserve"> [19,]  </t>
  </si>
  <si>
    <t xml:space="preserve"> [20,]  </t>
  </si>
  <si>
    <t xml:space="preserve"> [21,]  </t>
  </si>
  <si>
    <t xml:space="preserve"> [22,]  </t>
  </si>
  <si>
    <t xml:space="preserve"> [23,]  </t>
  </si>
  <si>
    <t xml:space="preserve"> [24,]  </t>
  </si>
  <si>
    <t xml:space="preserve"> [25,]  </t>
  </si>
  <si>
    <t xml:space="preserve"> [26,]  </t>
  </si>
  <si>
    <t xml:space="preserve"> [27,]  </t>
  </si>
  <si>
    <t xml:space="preserve"> [28,]  </t>
  </si>
  <si>
    <t xml:space="preserve"> [29,]  </t>
  </si>
  <si>
    <t xml:space="preserve"> [30,]  </t>
  </si>
  <si>
    <t xml:space="preserve"> [31,]  </t>
  </si>
  <si>
    <t xml:space="preserve"> [32,]  </t>
  </si>
  <si>
    <t xml:space="preserve"> [33,]  </t>
  </si>
  <si>
    <t xml:space="preserve"> [34,]  </t>
  </si>
  <si>
    <t xml:space="preserve"> [35,]  </t>
  </si>
  <si>
    <t xml:space="preserve"> [36,]  </t>
  </si>
  <si>
    <t xml:space="preserve"> [37,]  </t>
  </si>
  <si>
    <t xml:space="preserve"> [38,]  </t>
  </si>
  <si>
    <t xml:space="preserve"> [39,]  </t>
  </si>
  <si>
    <t xml:space="preserve"> [40,]  </t>
  </si>
  <si>
    <t xml:space="preserve"> [41,]  </t>
  </si>
  <si>
    <t xml:space="preserve"> [42,]  </t>
  </si>
  <si>
    <t xml:space="preserve"> [43,]  </t>
  </si>
  <si>
    <t xml:space="preserve"> [44,]  </t>
  </si>
  <si>
    <t xml:space="preserve"> [45,]  </t>
  </si>
  <si>
    <t xml:space="preserve"> [46,]  </t>
  </si>
  <si>
    <t xml:space="preserve"> [47,]  </t>
  </si>
  <si>
    <t xml:space="preserve"> [48,]  </t>
  </si>
  <si>
    <t xml:space="preserve"> [49,]  </t>
  </si>
  <si>
    <t xml:space="preserve"> [50,] 1</t>
  </si>
  <si>
    <t xml:space="preserve"> [51,] 1</t>
  </si>
  <si>
    <t xml:space="preserve"> [52,] 1</t>
  </si>
  <si>
    <t xml:space="preserve"> [53,] 1</t>
  </si>
  <si>
    <t xml:space="preserve"> [54,] 1</t>
  </si>
  <si>
    <t xml:space="preserve"> [55,] 1</t>
  </si>
  <si>
    <t xml:space="preserve"> [56,]  </t>
  </si>
  <si>
    <t xml:space="preserve"> [57,] 1</t>
  </si>
  <si>
    <t xml:space="preserve"> [58,] 1</t>
  </si>
  <si>
    <t xml:space="preserve"> [59,] 1</t>
  </si>
  <si>
    <t xml:space="preserve"> [60,] 1</t>
  </si>
  <si>
    <t xml:space="preserve"> [61,] 1</t>
  </si>
  <si>
    <t xml:space="preserve"> [62,] 1</t>
  </si>
  <si>
    <t xml:space="preserve"> [63,] 1</t>
  </si>
  <si>
    <t xml:space="preserve"> [64,] 1</t>
  </si>
  <si>
    <t xml:space="preserve"> [65,] 1</t>
  </si>
  <si>
    <t xml:space="preserve"> [66,] 1</t>
  </si>
  <si>
    <t xml:space="preserve"> [67,]  </t>
  </si>
  <si>
    <t xml:space="preserve"> [68,]  </t>
  </si>
  <si>
    <t xml:space="preserve"> [69,]  </t>
  </si>
  <si>
    <t xml:space="preserve"> [70,]  </t>
  </si>
  <si>
    <t xml:space="preserve"> [71,] 1</t>
  </si>
  <si>
    <t xml:space="preserve"> [72,] 1</t>
  </si>
  <si>
    <t xml:space="preserve"> [73,] 1</t>
  </si>
  <si>
    <t xml:space="preserve"> [74,] 1</t>
  </si>
  <si>
    <t xml:space="preserve"> [75,] 1</t>
  </si>
  <si>
    <t xml:space="preserve"> [76,] 1</t>
  </si>
  <si>
    <t xml:space="preserve"> [77,] 1</t>
  </si>
  <si>
    <t xml:space="preserve"> [78,] 1</t>
  </si>
  <si>
    <t xml:space="preserve"> [79,] 1</t>
  </si>
  <si>
    <t xml:space="preserve"> [80,] 1</t>
  </si>
  <si>
    <t xml:space="preserve"> [81,] 1</t>
  </si>
  <si>
    <t xml:space="preserve"> [82,]  </t>
  </si>
  <si>
    <t xml:space="preserve"> [83,] 1</t>
  </si>
  <si>
    <t xml:space="preserve"> [84,]  </t>
  </si>
  <si>
    <t xml:space="preserve"> [85,]  </t>
  </si>
  <si>
    <t xml:space="preserve"> [86,]  </t>
  </si>
  <si>
    <t xml:space="preserve"> [87,]  </t>
  </si>
  <si>
    <t xml:space="preserve"> [88,]  </t>
  </si>
  <si>
    <t xml:space="preserve"> [89,]  </t>
  </si>
  <si>
    <t xml:space="preserve"> [90,]  </t>
  </si>
  <si>
    <t xml:space="preserve"> [91,]  </t>
  </si>
  <si>
    <t xml:space="preserve"> [92,]  </t>
  </si>
  <si>
    <t xml:space="preserve"> [93,]  </t>
  </si>
  <si>
    <t xml:space="preserve"> [94,]  </t>
  </si>
  <si>
    <t xml:space="preserve"> [95,]  </t>
  </si>
  <si>
    <t xml:space="preserve"> [96,]  </t>
  </si>
  <si>
    <t xml:space="preserve"> [97,]  </t>
  </si>
  <si>
    <t xml:space="preserve"> [98,]  </t>
  </si>
  <si>
    <t xml:space="preserve"> [99,]  </t>
  </si>
  <si>
    <t xml:space="preserve">[100,]  </t>
  </si>
  <si>
    <t xml:space="preserve">[101,]  </t>
  </si>
  <si>
    <t xml:space="preserve">[102,]  </t>
  </si>
  <si>
    <t xml:space="preserve">[103,]  </t>
  </si>
  <si>
    <t xml:space="preserve">[104,]  </t>
  </si>
  <si>
    <t xml:space="preserve">[105,]  </t>
  </si>
  <si>
    <t xml:space="preserve">[106,]  </t>
  </si>
  <si>
    <t xml:space="preserve">[107,]  </t>
  </si>
  <si>
    <t xml:space="preserve">[108,]  </t>
  </si>
  <si>
    <t xml:space="preserve">[109,]  </t>
  </si>
  <si>
    <t xml:space="preserve">[110,]  </t>
  </si>
  <si>
    <t xml:space="preserve">[111,]  </t>
  </si>
  <si>
    <t xml:space="preserve">[112,]  </t>
  </si>
  <si>
    <t xml:space="preserve">[113,]  </t>
  </si>
  <si>
    <t xml:space="preserve">[114,]  </t>
  </si>
  <si>
    <t xml:space="preserve">[115,]  </t>
  </si>
  <si>
    <t xml:space="preserve">[116,]  </t>
  </si>
  <si>
    <t xml:space="preserve">[117,]  </t>
  </si>
  <si>
    <t xml:space="preserve">[118,]  </t>
  </si>
  <si>
    <t xml:space="preserve">[119,]  </t>
  </si>
  <si>
    <t xml:space="preserve">[120,]  </t>
  </si>
  <si>
    <t xml:space="preserve">[121,]  </t>
  </si>
  <si>
    <t xml:space="preserve">[122,]  </t>
  </si>
  <si>
    <t xml:space="preserve">[123,]  </t>
  </si>
  <si>
    <t xml:space="preserve">[124,]  </t>
  </si>
  <si>
    <t xml:space="preserve">[125,]  </t>
  </si>
  <si>
    <t xml:space="preserve">[126,]  </t>
  </si>
  <si>
    <t xml:space="preserve">[127,]  </t>
  </si>
  <si>
    <t xml:space="preserve">[128,]  </t>
  </si>
  <si>
    <t xml:space="preserve">[129,]  </t>
  </si>
  <si>
    <t xml:space="preserve">[130,]  </t>
  </si>
  <si>
    <t xml:space="preserve">[131,]  </t>
  </si>
  <si>
    <t xml:space="preserve">[132,]  </t>
  </si>
  <si>
    <t xml:space="preserve">[133,]  </t>
  </si>
  <si>
    <t xml:space="preserve">[134,]  </t>
  </si>
  <si>
    <t xml:space="preserve">[135,]  </t>
  </si>
  <si>
    <t xml:space="preserve">[136,]  </t>
  </si>
  <si>
    <t xml:space="preserve">[137,]  </t>
  </si>
  <si>
    <t xml:space="preserve">[138,]  </t>
  </si>
  <si>
    <t xml:space="preserve">[139,]  </t>
  </si>
  <si>
    <t xml:space="preserve">[140,]  </t>
  </si>
  <si>
    <t xml:space="preserve">[141,]  </t>
  </si>
  <si>
    <t xml:space="preserve">[142,]  </t>
  </si>
  <si>
    <t xml:space="preserve">[143,]  </t>
  </si>
  <si>
    <t xml:space="preserve">[144,]  </t>
  </si>
  <si>
    <t xml:space="preserve">[145,]  </t>
  </si>
  <si>
    <t xml:space="preserve">[146,]  </t>
  </si>
  <si>
    <t xml:space="preserve">[147,]  </t>
  </si>
  <si>
    <t xml:space="preserve">[148,]  </t>
  </si>
  <si>
    <t xml:space="preserve">[149,]  </t>
  </si>
  <si>
    <t xml:space="preserve">[150,]  </t>
  </si>
  <si>
    <t xml:space="preserve">[151,]  </t>
  </si>
  <si>
    <t xml:space="preserve">[152,]  </t>
  </si>
  <si>
    <t xml:space="preserve">[153,]  </t>
  </si>
  <si>
    <t xml:space="preserve">[154,]  </t>
  </si>
  <si>
    <t xml:space="preserve">[155,]  </t>
  </si>
  <si>
    <t xml:space="preserve">[156,]  </t>
  </si>
  <si>
    <t xml:space="preserve">[157,]  </t>
  </si>
  <si>
    <t>[158,] 1</t>
  </si>
  <si>
    <t>[159,] 1</t>
  </si>
  <si>
    <t xml:space="preserve">[160,]  </t>
  </si>
  <si>
    <t>[161,] 1</t>
  </si>
  <si>
    <t>[162,] 1</t>
  </si>
  <si>
    <t>[163,] 1</t>
  </si>
  <si>
    <t xml:space="preserve">[164,]  </t>
  </si>
  <si>
    <t xml:space="preserve">[165,]  </t>
  </si>
  <si>
    <t xml:space="preserve">[166,]  </t>
  </si>
  <si>
    <t xml:space="preserve">[167,]  </t>
  </si>
  <si>
    <t xml:space="preserve">[168,]  </t>
  </si>
  <si>
    <t xml:space="preserve">[169,]  </t>
  </si>
  <si>
    <t xml:space="preserve">[170,]  </t>
  </si>
  <si>
    <t xml:space="preserve">[171,]  </t>
  </si>
  <si>
    <t xml:space="preserve">[172,]  </t>
  </si>
  <si>
    <t xml:space="preserve">[173,]  </t>
  </si>
  <si>
    <t xml:space="preserve">[174,]  </t>
  </si>
  <si>
    <t>[175,] 1</t>
  </si>
  <si>
    <t>[176,] 1</t>
  </si>
  <si>
    <t>[177,] 1</t>
  </si>
  <si>
    <t>[178,] 1</t>
  </si>
  <si>
    <t>[179,] 1</t>
  </si>
  <si>
    <t>[180,] 1</t>
  </si>
  <si>
    <t xml:space="preserve">[181,]  </t>
  </si>
  <si>
    <t xml:space="preserve">[182,]  </t>
  </si>
  <si>
    <t xml:space="preserve">[183,]  </t>
  </si>
  <si>
    <t xml:space="preserve">[184,]  </t>
  </si>
  <si>
    <t xml:space="preserve">[185,]  </t>
  </si>
  <si>
    <t xml:space="preserve">[186,]  </t>
  </si>
  <si>
    <t xml:space="preserve">[187,]  </t>
  </si>
  <si>
    <t xml:space="preserve">[188,]  </t>
  </si>
  <si>
    <t xml:space="preserve">[189,]  </t>
  </si>
  <si>
    <t xml:space="preserve">[190,]  </t>
  </si>
  <si>
    <t xml:space="preserve">[191,]  </t>
  </si>
  <si>
    <t xml:space="preserve">[192,]  </t>
  </si>
  <si>
    <t xml:space="preserve">[193,]  </t>
  </si>
  <si>
    <t xml:space="preserve">[194,]  </t>
  </si>
  <si>
    <t xml:space="preserve">[195,]  </t>
  </si>
  <si>
    <t xml:space="preserve">[196,]  </t>
  </si>
  <si>
    <t xml:space="preserve">[197,]  </t>
  </si>
  <si>
    <t xml:space="preserve">[198,]  </t>
  </si>
  <si>
    <t xml:space="preserve">[199,]  </t>
  </si>
  <si>
    <t xml:space="preserve">[200,]  </t>
  </si>
  <si>
    <t xml:space="preserve">[201,]  </t>
  </si>
  <si>
    <t>[202,] 1</t>
  </si>
  <si>
    <t>[203,] 1</t>
  </si>
  <si>
    <t>[204,] 1</t>
  </si>
  <si>
    <t xml:space="preserve">[205,]  </t>
  </si>
  <si>
    <t xml:space="preserve">[206,]  </t>
  </si>
  <si>
    <t>[207,] 1</t>
  </si>
  <si>
    <t xml:space="preserve">[208,]  </t>
  </si>
  <si>
    <t>[209,] 1</t>
  </si>
  <si>
    <t xml:space="preserve">[210,]  </t>
  </si>
  <si>
    <t>[211,] 1</t>
  </si>
  <si>
    <t>[212,] 1</t>
  </si>
  <si>
    <t>[213,] 1</t>
  </si>
  <si>
    <t>[214,] 1</t>
  </si>
  <si>
    <t>[215,] 1</t>
  </si>
  <si>
    <t>[216,] 1</t>
  </si>
  <si>
    <t>[217,] 1</t>
  </si>
  <si>
    <t>[218,] 1</t>
  </si>
  <si>
    <t>[219,] 1</t>
  </si>
  <si>
    <t>[220,] 1</t>
  </si>
  <si>
    <t>[221,] 1</t>
  </si>
  <si>
    <t>[222,] 1</t>
  </si>
  <si>
    <t>[223,] 1</t>
  </si>
  <si>
    <t>[224,] 1</t>
  </si>
  <si>
    <t>[225,] 1</t>
  </si>
  <si>
    <t>[226,] 1</t>
  </si>
  <si>
    <t>[227,] 1</t>
  </si>
  <si>
    <t>[228,] 1</t>
  </si>
  <si>
    <t>[229,] 1</t>
  </si>
  <si>
    <t>[230,] 1</t>
  </si>
  <si>
    <t>[231,] 1</t>
  </si>
  <si>
    <t>[232,] 1</t>
  </si>
  <si>
    <t>[233,] 1</t>
  </si>
  <si>
    <t>[234,] 1</t>
  </si>
  <si>
    <t>[235,] 1</t>
  </si>
  <si>
    <t xml:space="preserve">[236,]  </t>
  </si>
  <si>
    <t xml:space="preserve">[237,]  </t>
  </si>
  <si>
    <t>[238,] 1</t>
  </si>
  <si>
    <t>[239,] 1</t>
  </si>
  <si>
    <t>[240,] 1</t>
  </si>
  <si>
    <t>[241,] 1</t>
  </si>
  <si>
    <t>[242,] 1</t>
  </si>
  <si>
    <t>[243,] 1</t>
  </si>
  <si>
    <t>[244,] 1</t>
  </si>
  <si>
    <t>[245,] 1</t>
  </si>
  <si>
    <t>[246,] 1</t>
  </si>
  <si>
    <t>[247,] 1</t>
  </si>
  <si>
    <t>[248,] 1</t>
  </si>
  <si>
    <t>[249,] 1</t>
  </si>
  <si>
    <t>[250,] 1</t>
  </si>
  <si>
    <t>[251,] 1</t>
  </si>
  <si>
    <t xml:space="preserve">[252,]  </t>
  </si>
  <si>
    <t>[253,] 1</t>
  </si>
  <si>
    <t>[254,] 1</t>
  </si>
  <si>
    <t>[255,] 1</t>
  </si>
  <si>
    <t xml:space="preserve">[256,]  </t>
  </si>
  <si>
    <t xml:space="preserve">[257,]  </t>
  </si>
  <si>
    <t>[258,] 1</t>
  </si>
  <si>
    <t>[259,] 1</t>
  </si>
  <si>
    <t>[260,] 1</t>
  </si>
  <si>
    <t>[261,] 1</t>
  </si>
  <si>
    <t>[262,] 1</t>
  </si>
  <si>
    <t>[263,] 1</t>
  </si>
  <si>
    <t>[264,] 1</t>
  </si>
  <si>
    <t>[265,] 1</t>
  </si>
  <si>
    <t>[266,] 1</t>
  </si>
  <si>
    <t>[267,] 1</t>
  </si>
  <si>
    <t>[268,] 1</t>
  </si>
  <si>
    <t xml:space="preserve">[269,]  </t>
  </si>
  <si>
    <t xml:space="preserve">[270,]  </t>
  </si>
  <si>
    <t xml:space="preserve">[271,]  </t>
  </si>
  <si>
    <t xml:space="preserve">[272,]  </t>
  </si>
  <si>
    <t xml:space="preserve">[273,]  </t>
  </si>
  <si>
    <t xml:space="preserve">[274,]  </t>
  </si>
  <si>
    <t xml:space="preserve">[275,]  </t>
  </si>
  <si>
    <t xml:space="preserve">[276,]  </t>
  </si>
  <si>
    <t xml:space="preserve">[277,]  </t>
  </si>
  <si>
    <t xml:space="preserve">[278,]  </t>
  </si>
  <si>
    <t xml:space="preserve">[279,]  </t>
  </si>
  <si>
    <t xml:space="preserve">[280,]  </t>
  </si>
  <si>
    <t xml:space="preserve">[281,]  </t>
  </si>
  <si>
    <t xml:space="preserve">[282,]  </t>
  </si>
  <si>
    <t xml:space="preserve">[283,]  </t>
  </si>
  <si>
    <t xml:space="preserve">[284,]  </t>
  </si>
  <si>
    <t xml:space="preserve">[285,]  </t>
  </si>
  <si>
    <t xml:space="preserve">[286,]  </t>
  </si>
  <si>
    <t xml:space="preserve">[287,]  </t>
  </si>
  <si>
    <t xml:space="preserve">[288,]  </t>
  </si>
  <si>
    <t xml:space="preserve">[289,]  </t>
  </si>
  <si>
    <t xml:space="preserve">[290,]  </t>
  </si>
  <si>
    <t xml:space="preserve">[291,]  </t>
  </si>
  <si>
    <t xml:space="preserve">[292,]  </t>
  </si>
  <si>
    <t>[293,] -</t>
  </si>
  <si>
    <t>[294,] -</t>
  </si>
  <si>
    <t xml:space="preserve">[295,]  </t>
  </si>
  <si>
    <t>[296,] -</t>
  </si>
  <si>
    <t>[297,] -</t>
  </si>
  <si>
    <t>[298,] -</t>
  </si>
  <si>
    <t>[299,] -</t>
  </si>
  <si>
    <t>[300,] -</t>
  </si>
  <si>
    <t>[301,] -</t>
  </si>
  <si>
    <t xml:space="preserve">[302,]  </t>
  </si>
  <si>
    <t xml:space="preserve">[303,]  </t>
  </si>
  <si>
    <t xml:space="preserve">[304,]  </t>
  </si>
  <si>
    <t xml:space="preserve">[305,]  </t>
  </si>
  <si>
    <t xml:space="preserve">[306,]  </t>
  </si>
  <si>
    <t xml:space="preserve">[307,]  </t>
  </si>
  <si>
    <t xml:space="preserve">[308,]  </t>
  </si>
  <si>
    <t xml:space="preserve">[309,]  </t>
  </si>
  <si>
    <t xml:space="preserve">[310,]  </t>
  </si>
  <si>
    <t xml:space="preserve">[311,]  </t>
  </si>
  <si>
    <t xml:space="preserve">[312,]  </t>
  </si>
  <si>
    <t xml:space="preserve">[313,]  </t>
  </si>
  <si>
    <t xml:space="preserve">[314,]  </t>
  </si>
  <si>
    <t xml:space="preserve">[315,]  </t>
  </si>
  <si>
    <t xml:space="preserve">[316,]  </t>
  </si>
  <si>
    <t xml:space="preserve">[317,]  </t>
  </si>
  <si>
    <t xml:space="preserve">[318,]  </t>
  </si>
  <si>
    <t xml:space="preserve">[319,]  </t>
  </si>
  <si>
    <t xml:space="preserve">[320,]  </t>
  </si>
  <si>
    <t xml:space="preserve">[321,]  </t>
  </si>
  <si>
    <t xml:space="preserve">[322,]  </t>
  </si>
  <si>
    <t xml:space="preserve">[323,]  </t>
  </si>
  <si>
    <t xml:space="preserve">[324,]  </t>
  </si>
  <si>
    <t xml:space="preserve">[325,]  </t>
  </si>
  <si>
    <t xml:space="preserve">[326,]  </t>
  </si>
  <si>
    <t xml:space="preserve">[327,]  </t>
  </si>
  <si>
    <t xml:space="preserve">[328,]  </t>
  </si>
  <si>
    <t xml:space="preserve">[329,]  </t>
  </si>
  <si>
    <t xml:space="preserve">[330,]  </t>
  </si>
  <si>
    <t xml:space="preserve">[331,]  </t>
  </si>
  <si>
    <t xml:space="preserve">[332,]  </t>
  </si>
  <si>
    <t xml:space="preserve">[333,]  </t>
  </si>
  <si>
    <t xml:space="preserve">[334,]  </t>
  </si>
  <si>
    <t xml:space="preserve">[335,]  </t>
  </si>
  <si>
    <t xml:space="preserve">[336,]  </t>
  </si>
  <si>
    <t xml:space="preserve">[337,]  </t>
  </si>
  <si>
    <t xml:space="preserve">[338,]  </t>
  </si>
  <si>
    <t xml:space="preserve">[339,]  </t>
  </si>
  <si>
    <t xml:space="preserve">[340,]  </t>
  </si>
  <si>
    <t xml:space="preserve">[341,]  </t>
  </si>
  <si>
    <t xml:space="preserve">[342,]  </t>
  </si>
  <si>
    <t xml:space="preserve">[343,]  </t>
  </si>
  <si>
    <t xml:space="preserve">[344,]  </t>
  </si>
  <si>
    <t xml:space="preserve">[345,]  </t>
  </si>
  <si>
    <t xml:space="preserve">[346,]  </t>
  </si>
  <si>
    <t xml:space="preserve">[347,]  </t>
  </si>
  <si>
    <t xml:space="preserve">[348,]  </t>
  </si>
  <si>
    <t xml:space="preserve">[349,]  </t>
  </si>
  <si>
    <t xml:space="preserve">[350,]  </t>
  </si>
  <si>
    <t xml:space="preserve">[351,]  </t>
  </si>
  <si>
    <t xml:space="preserve">[352,]  </t>
  </si>
  <si>
    <t xml:space="preserve">[353,]  </t>
  </si>
  <si>
    <t xml:space="preserve">[354,]  </t>
  </si>
  <si>
    <t xml:space="preserve">[355,]  </t>
  </si>
  <si>
    <t xml:space="preserve">[356,]  </t>
  </si>
  <si>
    <t>[357,] 1</t>
  </si>
  <si>
    <t>[358,] 1</t>
  </si>
  <si>
    <t>[359,] 1</t>
  </si>
  <si>
    <t>[360,] 1</t>
  </si>
  <si>
    <t xml:space="preserve">[361,]  </t>
  </si>
  <si>
    <t xml:space="preserve">[362,]  </t>
  </si>
  <si>
    <t xml:space="preserve">[363,]  </t>
  </si>
  <si>
    <t xml:space="preserve">[364,]  </t>
  </si>
  <si>
    <t xml:space="preserve">[365,]  </t>
  </si>
  <si>
    <t xml:space="preserve">[366,]  </t>
  </si>
  <si>
    <t>Date</t>
  </si>
  <si>
    <t>Deviation (%)</t>
  </si>
  <si>
    <t xml:space="preserve"> [50,]  </t>
  </si>
  <si>
    <t xml:space="preserve"> [51,]  </t>
  </si>
  <si>
    <t xml:space="preserve"> [52,]  </t>
  </si>
  <si>
    <t xml:space="preserve"> [53,]  </t>
  </si>
  <si>
    <t xml:space="preserve"> [54,]  </t>
  </si>
  <si>
    <t xml:space="preserve"> [55,]  </t>
  </si>
  <si>
    <t xml:space="preserve"> [57,]  </t>
  </si>
  <si>
    <t xml:space="preserve"> [58,]  </t>
  </si>
  <si>
    <t xml:space="preserve"> [59,]  </t>
  </si>
  <si>
    <t xml:space="preserve"> [60,]  </t>
  </si>
  <si>
    <t xml:space="preserve"> [61,]  </t>
  </si>
  <si>
    <t xml:space="preserve"> [62,]  </t>
  </si>
  <si>
    <t xml:space="preserve"> [63,]  </t>
  </si>
  <si>
    <t xml:space="preserve"> [64,]  </t>
  </si>
  <si>
    <t xml:space="preserve"> [65,]  </t>
  </si>
  <si>
    <t xml:space="preserve"> [66,]  </t>
  </si>
  <si>
    <t xml:space="preserve"> [71,]  </t>
  </si>
  <si>
    <t xml:space="preserve"> [72,]  </t>
  </si>
  <si>
    <t xml:space="preserve"> [73,]  </t>
  </si>
  <si>
    <t xml:space="preserve"> [74,]  </t>
  </si>
  <si>
    <t xml:space="preserve"> [75,]  </t>
  </si>
  <si>
    <t xml:space="preserve"> [76,]  </t>
  </si>
  <si>
    <t xml:space="preserve"> [77,]  </t>
  </si>
  <si>
    <t xml:space="preserve"> [78,]  </t>
  </si>
  <si>
    <t xml:space="preserve"> [79,]  </t>
  </si>
  <si>
    <t xml:space="preserve"> [80,]  </t>
  </si>
  <si>
    <t xml:space="preserve"> [81,]  </t>
  </si>
  <si>
    <t xml:space="preserve"> [83,]  </t>
  </si>
  <si>
    <t>[141,] -</t>
  </si>
  <si>
    <t>[143,] -</t>
  </si>
  <si>
    <t>[144,] -</t>
  </si>
  <si>
    <t>[145,] -</t>
  </si>
  <si>
    <t>[146,] -</t>
  </si>
  <si>
    <t>[150,] -</t>
  </si>
  <si>
    <t xml:space="preserve">[158,]  </t>
  </si>
  <si>
    <t xml:space="preserve">[159,]  </t>
  </si>
  <si>
    <t xml:space="preserve">[161,]  </t>
  </si>
  <si>
    <t xml:space="preserve">[162,]  </t>
  </si>
  <si>
    <t xml:space="preserve">[163,]  </t>
  </si>
  <si>
    <t xml:space="preserve">[175,]  </t>
  </si>
  <si>
    <t xml:space="preserve">[176,]  </t>
  </si>
  <si>
    <t xml:space="preserve">[177,]  </t>
  </si>
  <si>
    <t xml:space="preserve">[178,]  </t>
  </si>
  <si>
    <t xml:space="preserve">[179,]  </t>
  </si>
  <si>
    <t xml:space="preserve">[180,]  </t>
  </si>
  <si>
    <t>[191,] -</t>
  </si>
  <si>
    <t>[192,] -</t>
  </si>
  <si>
    <t>[193,] -</t>
  </si>
  <si>
    <t>[199,] -</t>
  </si>
  <si>
    <t>[200,] -</t>
  </si>
  <si>
    <t>[201,] -</t>
  </si>
  <si>
    <t>[202,] -</t>
  </si>
  <si>
    <t>[203,] -</t>
  </si>
  <si>
    <t xml:space="preserve">[204,]  </t>
  </si>
  <si>
    <t>[206,] -</t>
  </si>
  <si>
    <t>[207,] -</t>
  </si>
  <si>
    <t>[209,] -</t>
  </si>
  <si>
    <t>[210,] -</t>
  </si>
  <si>
    <t>[211,] -</t>
  </si>
  <si>
    <t>[212,] -</t>
  </si>
  <si>
    <t>[213,] -</t>
  </si>
  <si>
    <t>[214,] -</t>
  </si>
  <si>
    <t>[215,] -</t>
  </si>
  <si>
    <t>[216,] -</t>
  </si>
  <si>
    <t>[217,] -</t>
  </si>
  <si>
    <t>[218,] -</t>
  </si>
  <si>
    <t>[219,] -</t>
  </si>
  <si>
    <t>[220,] -</t>
  </si>
  <si>
    <t>[221,] -</t>
  </si>
  <si>
    <t>[222,] -</t>
  </si>
  <si>
    <t>[223,] -</t>
  </si>
  <si>
    <t>[224,] -</t>
  </si>
  <si>
    <t>[225,] -</t>
  </si>
  <si>
    <t>[226,] -</t>
  </si>
  <si>
    <t>[227,] -</t>
  </si>
  <si>
    <t>[228,] -</t>
  </si>
  <si>
    <t>[229,] -</t>
  </si>
  <si>
    <t>[230,] -</t>
  </si>
  <si>
    <t>[231,] -</t>
  </si>
  <si>
    <t>[232,] -</t>
  </si>
  <si>
    <t>[233,] -</t>
  </si>
  <si>
    <t>[234,] -</t>
  </si>
  <si>
    <t>[235,] -</t>
  </si>
  <si>
    <t>[236,] -</t>
  </si>
  <si>
    <t>[237,] -</t>
  </si>
  <si>
    <t>[238,] -</t>
  </si>
  <si>
    <t>[239,] -</t>
  </si>
  <si>
    <t>[240,] -</t>
  </si>
  <si>
    <t>[241,] -</t>
  </si>
  <si>
    <t>[242,] -</t>
  </si>
  <si>
    <t>[243,] -</t>
  </si>
  <si>
    <t>[244,] -</t>
  </si>
  <si>
    <t>[245,] -</t>
  </si>
  <si>
    <t>[246,] -</t>
  </si>
  <si>
    <t>[247,] -</t>
  </si>
  <si>
    <t>[248,] -</t>
  </si>
  <si>
    <t>[249,] -</t>
  </si>
  <si>
    <t>[250,] -</t>
  </si>
  <si>
    <t>[251,] -</t>
  </si>
  <si>
    <t>[252,] -</t>
  </si>
  <si>
    <t>[253,] -</t>
  </si>
  <si>
    <t>[254,] -</t>
  </si>
  <si>
    <t>[255,] -</t>
  </si>
  <si>
    <t>[256,] -</t>
  </si>
  <si>
    <t xml:space="preserve">[258,]  </t>
  </si>
  <si>
    <t xml:space="preserve">[259,]  </t>
  </si>
  <si>
    <t>[260,] -</t>
  </si>
  <si>
    <t xml:space="preserve">[261,]  </t>
  </si>
  <si>
    <t xml:space="preserve">[262,]  </t>
  </si>
  <si>
    <t xml:space="preserve">[263,]  </t>
  </si>
  <si>
    <t>[264,] -</t>
  </si>
  <si>
    <t>[265,] -</t>
  </si>
  <si>
    <t>[266,] -</t>
  </si>
  <si>
    <t>[267,] -</t>
  </si>
  <si>
    <t xml:space="preserve">[268,]  </t>
  </si>
  <si>
    <t>[288,] -</t>
  </si>
  <si>
    <t>[290,] -</t>
  </si>
  <si>
    <t>[291,] -</t>
  </si>
  <si>
    <t>[292,] -</t>
  </si>
  <si>
    <t>[295,] -</t>
  </si>
  <si>
    <t>[302,] -</t>
  </si>
  <si>
    <t>[303,] -</t>
  </si>
  <si>
    <t>[304,] -</t>
  </si>
  <si>
    <t>[305,] -</t>
  </si>
  <si>
    <t>[306,] -</t>
  </si>
  <si>
    <t>[307,] -</t>
  </si>
  <si>
    <t>[308,] -</t>
  </si>
  <si>
    <t>[309,] -</t>
  </si>
  <si>
    <t>[310,] -</t>
  </si>
  <si>
    <t>[311,] -</t>
  </si>
  <si>
    <t>[312,] -</t>
  </si>
  <si>
    <t>[313,] -</t>
  </si>
  <si>
    <t>[314,] -</t>
  </si>
  <si>
    <t>[315,] -</t>
  </si>
  <si>
    <t>[316,] -</t>
  </si>
  <si>
    <t>[317,] -</t>
  </si>
  <si>
    <t>[318,] -</t>
  </si>
  <si>
    <t>[319,] -</t>
  </si>
  <si>
    <t>[320,] -</t>
  </si>
  <si>
    <t>[321,] -</t>
  </si>
  <si>
    <t>[322,] -</t>
  </si>
  <si>
    <t>[323,] -</t>
  </si>
  <si>
    <t>[324,] -</t>
  </si>
  <si>
    <t>[325,] -</t>
  </si>
  <si>
    <t>[326,] -</t>
  </si>
  <si>
    <t>[327,] -</t>
  </si>
  <si>
    <t>[328,] -</t>
  </si>
  <si>
    <t>[329,] -</t>
  </si>
  <si>
    <t>[330,] -</t>
  </si>
  <si>
    <t>[331,] -</t>
  </si>
  <si>
    <t>[332,] -</t>
  </si>
  <si>
    <t>[333,] -</t>
  </si>
  <si>
    <t>[334,] -</t>
  </si>
  <si>
    <t>[335,] -</t>
  </si>
  <si>
    <t>[336,] -</t>
  </si>
  <si>
    <t>[337,] -</t>
  </si>
  <si>
    <t>[338,] -</t>
  </si>
  <si>
    <t>[339,] -</t>
  </si>
  <si>
    <t>[340,] -</t>
  </si>
  <si>
    <t>[341,] -</t>
  </si>
  <si>
    <t>[342,] -</t>
  </si>
  <si>
    <t>[343,] -</t>
  </si>
  <si>
    <t>[344,] -</t>
  </si>
  <si>
    <t>[345,] -</t>
  </si>
  <si>
    <t>[346,] -</t>
  </si>
  <si>
    <t>[347,] -</t>
  </si>
  <si>
    <t>[348,] -</t>
  </si>
  <si>
    <t>[349,] -</t>
  </si>
  <si>
    <t>[350,] -</t>
  </si>
  <si>
    <t>[351,] -</t>
  </si>
  <si>
    <t>[352,] -</t>
  </si>
  <si>
    <t>[353,] -</t>
  </si>
  <si>
    <t>[354,] -</t>
  </si>
  <si>
    <t>[355,] -</t>
  </si>
  <si>
    <t>[356,] -</t>
  </si>
  <si>
    <t>[357,] -</t>
  </si>
  <si>
    <t>[358,] -</t>
  </si>
  <si>
    <t>[359,] -</t>
  </si>
  <si>
    <t>[360,] -</t>
  </si>
  <si>
    <t>[361,] -</t>
  </si>
  <si>
    <t>[362,] -</t>
  </si>
  <si>
    <t>[363,] -</t>
  </si>
  <si>
    <t>[364,] -</t>
  </si>
  <si>
    <t>[365,] -</t>
  </si>
  <si>
    <t>[366,] -</t>
  </si>
  <si>
    <t xml:space="preserve"> [37,] </t>
  </si>
  <si>
    <t xml:space="preserve"> [38,] </t>
  </si>
  <si>
    <t xml:space="preserve"> [39,] </t>
  </si>
  <si>
    <t xml:space="preserve"> [40,] </t>
  </si>
  <si>
    <t xml:space="preserve"> [41,] </t>
  </si>
  <si>
    <t xml:space="preserve"> [42,] </t>
  </si>
  <si>
    <t xml:space="preserve"> [43,] </t>
  </si>
  <si>
    <t xml:space="preserve"> [44,] </t>
  </si>
  <si>
    <t xml:space="preserve"> [45,] </t>
  </si>
  <si>
    <t xml:space="preserve"> [46,] </t>
  </si>
  <si>
    <t xml:space="preserve"> [47,] </t>
  </si>
  <si>
    <t xml:space="preserve"> [48,] </t>
  </si>
  <si>
    <t xml:space="preserve"> [49,] </t>
  </si>
  <si>
    <t xml:space="preserve"> [50,] </t>
  </si>
  <si>
    <t xml:space="preserve"> [51,] </t>
  </si>
  <si>
    <t xml:space="preserve"> [52,] </t>
  </si>
  <si>
    <t xml:space="preserve"> [53,] </t>
  </si>
  <si>
    <t xml:space="preserve"> [54,] </t>
  </si>
  <si>
    <t xml:space="preserve"> [55,] </t>
  </si>
  <si>
    <t xml:space="preserve"> [56,] </t>
  </si>
  <si>
    <t xml:space="preserve"> [57,] </t>
  </si>
  <si>
    <t xml:space="preserve"> [58,] </t>
  </si>
  <si>
    <t xml:space="preserve"> [59,] </t>
  </si>
  <si>
    <t xml:space="preserve"> [60,] </t>
  </si>
  <si>
    <t xml:space="preserve"> [61,] </t>
  </si>
  <si>
    <t xml:space="preserve"> [62,] </t>
  </si>
  <si>
    <t xml:space="preserve"> [63,] </t>
  </si>
  <si>
    <t xml:space="preserve"> [64,] </t>
  </si>
  <si>
    <t xml:space="preserve"> [65,] </t>
  </si>
  <si>
    <t xml:space="preserve"> [66,] </t>
  </si>
  <si>
    <t xml:space="preserve"> [67,] </t>
  </si>
  <si>
    <t xml:space="preserve"> [68,] </t>
  </si>
  <si>
    <t xml:space="preserve"> [69,] </t>
  </si>
  <si>
    <t xml:space="preserve"> [70,] </t>
  </si>
  <si>
    <t xml:space="preserve"> [71,] </t>
  </si>
  <si>
    <t xml:space="preserve"> [72,] </t>
  </si>
  <si>
    <t xml:space="preserve"> [73,] </t>
  </si>
  <si>
    <t xml:space="preserve"> [74,] </t>
  </si>
  <si>
    <t xml:space="preserve"> [75,] </t>
  </si>
  <si>
    <t xml:space="preserve"> [76,] </t>
  </si>
  <si>
    <t xml:space="preserve"> [77,] </t>
  </si>
  <si>
    <t xml:space="preserve"> [78,] </t>
  </si>
  <si>
    <t xml:space="preserve"> [79,] </t>
  </si>
  <si>
    <t xml:space="preserve"> [80,] </t>
  </si>
  <si>
    <t xml:space="preserve"> [81,] </t>
  </si>
  <si>
    <t xml:space="preserve"> [82,] </t>
  </si>
  <si>
    <t xml:space="preserve"> [83,] </t>
  </si>
  <si>
    <t xml:space="preserve"> [84,] </t>
  </si>
  <si>
    <t xml:space="preserve"> [85,] </t>
  </si>
  <si>
    <t xml:space="preserve"> [86,] </t>
  </si>
  <si>
    <t xml:space="preserve"> [87,] </t>
  </si>
  <si>
    <t xml:space="preserve"> [88,] </t>
  </si>
  <si>
    <t xml:space="preserve"> [89,] </t>
  </si>
  <si>
    <t xml:space="preserve"> [90,] </t>
  </si>
  <si>
    <t xml:space="preserve"> [91,] </t>
  </si>
  <si>
    <t xml:space="preserve"> [92,] </t>
  </si>
  <si>
    <t xml:space="preserve"> [93,] </t>
  </si>
  <si>
    <t xml:space="preserve"> [94,] </t>
  </si>
  <si>
    <t xml:space="preserve"> [95,] </t>
  </si>
  <si>
    <t xml:space="preserve"> [96,] </t>
  </si>
  <si>
    <t xml:space="preserve"> [97,] </t>
  </si>
  <si>
    <t xml:space="preserve"> [98,] </t>
  </si>
  <si>
    <t xml:space="preserve"> [99,] </t>
  </si>
  <si>
    <t xml:space="preserve">[100,] </t>
  </si>
  <si>
    <t xml:space="preserve">[101,] </t>
  </si>
  <si>
    <t xml:space="preserve">[102,] </t>
  </si>
  <si>
    <t xml:space="preserve">[103,] </t>
  </si>
  <si>
    <t xml:space="preserve">[104,] </t>
  </si>
  <si>
    <t xml:space="preserve">[105,] </t>
  </si>
  <si>
    <t xml:space="preserve">[106,] </t>
  </si>
  <si>
    <t xml:space="preserve">[107,] </t>
  </si>
  <si>
    <t xml:space="preserve">[108,] </t>
  </si>
  <si>
    <t xml:space="preserve">[109,] </t>
  </si>
  <si>
    <t xml:space="preserve">[110,] </t>
  </si>
  <si>
    <t xml:space="preserve">[111,] </t>
  </si>
  <si>
    <t xml:space="preserve">[112,] </t>
  </si>
  <si>
    <t xml:space="preserve">[113,] </t>
  </si>
  <si>
    <t xml:space="preserve">[114,] </t>
  </si>
  <si>
    <t xml:space="preserve">[115,] </t>
  </si>
  <si>
    <t xml:space="preserve">[116,] </t>
  </si>
  <si>
    <t xml:space="preserve">[117,] </t>
  </si>
  <si>
    <t xml:space="preserve">[118,] </t>
  </si>
  <si>
    <t xml:space="preserve">[119,] </t>
  </si>
  <si>
    <t xml:space="preserve">[120,] </t>
  </si>
  <si>
    <t xml:space="preserve">[121,] </t>
  </si>
  <si>
    <t xml:space="preserve">[122,] </t>
  </si>
  <si>
    <t xml:space="preserve">[123,] </t>
  </si>
  <si>
    <t xml:space="preserve">[124,] </t>
  </si>
  <si>
    <t xml:space="preserve">[125,] </t>
  </si>
  <si>
    <t xml:space="preserve">[126,] </t>
  </si>
  <si>
    <t xml:space="preserve">[127,] </t>
  </si>
  <si>
    <t xml:space="preserve">[128,] </t>
  </si>
  <si>
    <t xml:space="preserve">[129,] </t>
  </si>
  <si>
    <t xml:space="preserve">[130,] </t>
  </si>
  <si>
    <t xml:space="preserve">[131,] </t>
  </si>
  <si>
    <t xml:space="preserve">[132,] </t>
  </si>
  <si>
    <t xml:space="preserve">[133,] </t>
  </si>
  <si>
    <t xml:space="preserve">[134,] </t>
  </si>
  <si>
    <t xml:space="preserve">[135,] </t>
  </si>
  <si>
    <t xml:space="preserve">[136,] </t>
  </si>
  <si>
    <t xml:space="preserve">[137,] </t>
  </si>
  <si>
    <t xml:space="preserve">[138,] </t>
  </si>
  <si>
    <t xml:space="preserve">[139,] </t>
  </si>
  <si>
    <t xml:space="preserve">[140,] </t>
  </si>
  <si>
    <t xml:space="preserve">[141,] </t>
  </si>
  <si>
    <t xml:space="preserve">[142,] </t>
  </si>
  <si>
    <t xml:space="preserve">[143,] </t>
  </si>
  <si>
    <t xml:space="preserve">[144,] </t>
  </si>
  <si>
    <t xml:space="preserve">[145,] </t>
  </si>
  <si>
    <t xml:space="preserve">[146,] </t>
  </si>
  <si>
    <t xml:space="preserve">[147,] </t>
  </si>
  <si>
    <t xml:space="preserve">[148,] </t>
  </si>
  <si>
    <t xml:space="preserve">[149,] </t>
  </si>
  <si>
    <t xml:space="preserve">[150,] </t>
  </si>
  <si>
    <t xml:space="preserve">[151,] </t>
  </si>
  <si>
    <t xml:space="preserve">[152,] </t>
  </si>
  <si>
    <t xml:space="preserve">[153,] </t>
  </si>
  <si>
    <t xml:space="preserve">[154,] </t>
  </si>
  <si>
    <t xml:space="preserve">[155,] </t>
  </si>
  <si>
    <t xml:space="preserve">[156,] </t>
  </si>
  <si>
    <t xml:space="preserve">[157,] </t>
  </si>
  <si>
    <t xml:space="preserve">[158,] </t>
  </si>
  <si>
    <t xml:space="preserve">[159,] </t>
  </si>
  <si>
    <t xml:space="preserve">[160,] </t>
  </si>
  <si>
    <t xml:space="preserve">[161,] </t>
  </si>
  <si>
    <t xml:space="preserve">[162,] </t>
  </si>
  <si>
    <t xml:space="preserve">[163,] </t>
  </si>
  <si>
    <t xml:space="preserve">[164,] </t>
  </si>
  <si>
    <t xml:space="preserve">[165,] </t>
  </si>
  <si>
    <t xml:space="preserve">[166,] </t>
  </si>
  <si>
    <t xml:space="preserve">[167,] </t>
  </si>
  <si>
    <t xml:space="preserve">[168,] </t>
  </si>
  <si>
    <t xml:space="preserve">[169,] </t>
  </si>
  <si>
    <t xml:space="preserve">[170,] </t>
  </si>
  <si>
    <t xml:space="preserve">[171,] </t>
  </si>
  <si>
    <t xml:space="preserve">[172,] </t>
  </si>
  <si>
    <t xml:space="preserve">[173,] </t>
  </si>
  <si>
    <t xml:space="preserve">[174,] </t>
  </si>
  <si>
    <t xml:space="preserve">[175,] </t>
  </si>
  <si>
    <t xml:space="preserve">[176,] </t>
  </si>
  <si>
    <t xml:space="preserve">[177,] </t>
  </si>
  <si>
    <t xml:space="preserve">[178,] </t>
  </si>
  <si>
    <t xml:space="preserve">[179,] </t>
  </si>
  <si>
    <t xml:space="preserve">[180,] </t>
  </si>
  <si>
    <t xml:space="preserve">[181,] </t>
  </si>
  <si>
    <t xml:space="preserve">[182,] </t>
  </si>
  <si>
    <t xml:space="preserve">[183,] </t>
  </si>
  <si>
    <t xml:space="preserve">[184,] </t>
  </si>
  <si>
    <t xml:space="preserve">[185,] </t>
  </si>
  <si>
    <t xml:space="preserve">[186,] </t>
  </si>
  <si>
    <t xml:space="preserve">[187,] </t>
  </si>
  <si>
    <t xml:space="preserve">[188,] </t>
  </si>
  <si>
    <t xml:space="preserve">[189,] </t>
  </si>
  <si>
    <t xml:space="preserve">[190,] </t>
  </si>
  <si>
    <t xml:space="preserve">[191,] </t>
  </si>
  <si>
    <t xml:space="preserve">[192,] </t>
  </si>
  <si>
    <t xml:space="preserve">[193,] </t>
  </si>
  <si>
    <t xml:space="preserve">[194,] </t>
  </si>
  <si>
    <t xml:space="preserve">[195,] </t>
  </si>
  <si>
    <t xml:space="preserve">[196,] </t>
  </si>
  <si>
    <t xml:space="preserve">[197,] </t>
  </si>
  <si>
    <t xml:space="preserve">[198,] </t>
  </si>
  <si>
    <t xml:space="preserve">[199,] </t>
  </si>
  <si>
    <t xml:space="preserve">[200,] </t>
  </si>
  <si>
    <t xml:space="preserve">[201,] </t>
  </si>
  <si>
    <t xml:space="preserve">[202,] </t>
  </si>
  <si>
    <t xml:space="preserve">[203,] </t>
  </si>
  <si>
    <t xml:space="preserve">[204,] </t>
  </si>
  <si>
    <t xml:space="preserve">[205,] </t>
  </si>
  <si>
    <t xml:space="preserve">[206,] </t>
  </si>
  <si>
    <t xml:space="preserve">[207,] </t>
  </si>
  <si>
    <t xml:space="preserve">[208,] </t>
  </si>
  <si>
    <t xml:space="preserve">[209,] </t>
  </si>
  <si>
    <t xml:space="preserve">[210,] </t>
  </si>
  <si>
    <t xml:space="preserve">[211,] </t>
  </si>
  <si>
    <t xml:space="preserve">[212,] </t>
  </si>
  <si>
    <t xml:space="preserve">[213,] </t>
  </si>
  <si>
    <t xml:space="preserve">[214,] </t>
  </si>
  <si>
    <t xml:space="preserve">[215,] </t>
  </si>
  <si>
    <t xml:space="preserve">[216,] </t>
  </si>
  <si>
    <t xml:space="preserve">[217,] </t>
  </si>
  <si>
    <t xml:space="preserve">[218,] </t>
  </si>
  <si>
    <t xml:space="preserve">[219,] </t>
  </si>
  <si>
    <t xml:space="preserve">[220,] </t>
  </si>
  <si>
    <t xml:space="preserve">[221,] </t>
  </si>
  <si>
    <t xml:space="preserve">[222,] </t>
  </si>
  <si>
    <t xml:space="preserve">[223,] </t>
  </si>
  <si>
    <t xml:space="preserve">[224,] </t>
  </si>
  <si>
    <t xml:space="preserve">[225,] </t>
  </si>
  <si>
    <t xml:space="preserve">[226,] </t>
  </si>
  <si>
    <t xml:space="preserve">[227,] </t>
  </si>
  <si>
    <t xml:space="preserve">[228,] </t>
  </si>
  <si>
    <t xml:space="preserve">[229,] </t>
  </si>
  <si>
    <t xml:space="preserve">[230,] </t>
  </si>
  <si>
    <t xml:space="preserve">[231,] </t>
  </si>
  <si>
    <t xml:space="preserve">[232,] </t>
  </si>
  <si>
    <t xml:space="preserve">[233,] </t>
  </si>
  <si>
    <t xml:space="preserve">[234,] </t>
  </si>
  <si>
    <t xml:space="preserve">[235,] </t>
  </si>
  <si>
    <t xml:space="preserve">[236,] </t>
  </si>
  <si>
    <t xml:space="preserve">[237,] </t>
  </si>
  <si>
    <t xml:space="preserve">[238,] </t>
  </si>
  <si>
    <t xml:space="preserve">[239,] </t>
  </si>
  <si>
    <t xml:space="preserve">[240,] </t>
  </si>
  <si>
    <t xml:space="preserve">[241,] </t>
  </si>
  <si>
    <t xml:space="preserve">[242,] </t>
  </si>
  <si>
    <t xml:space="preserve">[243,] </t>
  </si>
  <si>
    <t xml:space="preserve">[244,] </t>
  </si>
  <si>
    <t xml:space="preserve">[245,] </t>
  </si>
  <si>
    <t xml:space="preserve">[246,] </t>
  </si>
  <si>
    <t xml:space="preserve">[247,] </t>
  </si>
  <si>
    <t xml:space="preserve">[248,] </t>
  </si>
  <si>
    <t xml:space="preserve">[249,] </t>
  </si>
  <si>
    <t xml:space="preserve">[250,] </t>
  </si>
  <si>
    <t xml:space="preserve">[251,] </t>
  </si>
  <si>
    <t xml:space="preserve">[252,] </t>
  </si>
  <si>
    <t xml:space="preserve">[253,] </t>
  </si>
  <si>
    <t xml:space="preserve">[254,] </t>
  </si>
  <si>
    <t xml:space="preserve">[255,] </t>
  </si>
  <si>
    <t xml:space="preserve">[256,] </t>
  </si>
  <si>
    <t xml:space="preserve">[257,] </t>
  </si>
  <si>
    <t xml:space="preserve">[258,] </t>
  </si>
  <si>
    <t xml:space="preserve">[259,] </t>
  </si>
  <si>
    <t xml:space="preserve">[260,] </t>
  </si>
  <si>
    <t xml:space="preserve">[261,] </t>
  </si>
  <si>
    <t xml:space="preserve">[262,] </t>
  </si>
  <si>
    <t xml:space="preserve">[263,] </t>
  </si>
  <si>
    <t xml:space="preserve">[264,] </t>
  </si>
  <si>
    <t xml:space="preserve">[265,] </t>
  </si>
  <si>
    <t xml:space="preserve">[266,] </t>
  </si>
  <si>
    <t xml:space="preserve">[267,] </t>
  </si>
  <si>
    <t xml:space="preserve">[268,] </t>
  </si>
  <si>
    <t xml:space="preserve">[269,] </t>
  </si>
  <si>
    <t xml:space="preserve">[270,] </t>
  </si>
  <si>
    <t xml:space="preserve">[271,] </t>
  </si>
  <si>
    <t xml:space="preserve">[272,] </t>
  </si>
  <si>
    <t xml:space="preserve">[273,] </t>
  </si>
  <si>
    <t xml:space="preserve">[274,] </t>
  </si>
  <si>
    <t xml:space="preserve">[275,] </t>
  </si>
  <si>
    <t xml:space="preserve">[276,] </t>
  </si>
  <si>
    <t xml:space="preserve">[277,] </t>
  </si>
  <si>
    <t xml:space="preserve">[278,] </t>
  </si>
  <si>
    <t xml:space="preserve">[279,] </t>
  </si>
  <si>
    <t xml:space="preserve">[280,] </t>
  </si>
  <si>
    <t xml:space="preserve">[281,] </t>
  </si>
  <si>
    <t xml:space="preserve">[282,] </t>
  </si>
  <si>
    <t xml:space="preserve">[283,] </t>
  </si>
  <si>
    <t xml:space="preserve">[284,] </t>
  </si>
  <si>
    <t xml:space="preserve">[285,] </t>
  </si>
  <si>
    <t xml:space="preserve">[286,] </t>
  </si>
  <si>
    <t xml:space="preserve">[287,] </t>
  </si>
  <si>
    <t xml:space="preserve">[288,] </t>
  </si>
  <si>
    <t xml:space="preserve">[289,] </t>
  </si>
  <si>
    <t xml:space="preserve">[290,] </t>
  </si>
  <si>
    <t xml:space="preserve">[291,] </t>
  </si>
  <si>
    <t xml:space="preserve">[292,] </t>
  </si>
  <si>
    <t xml:space="preserve">[293,] </t>
  </si>
  <si>
    <t xml:space="preserve">[294,] </t>
  </si>
  <si>
    <t xml:space="preserve">[295,] </t>
  </si>
  <si>
    <t xml:space="preserve">[296,] </t>
  </si>
  <si>
    <t xml:space="preserve">[297,] </t>
  </si>
  <si>
    <t xml:space="preserve">[298,] </t>
  </si>
  <si>
    <t xml:space="preserve">[299,] </t>
  </si>
  <si>
    <t xml:space="preserve">[300,] </t>
  </si>
  <si>
    <t xml:space="preserve">[301,] </t>
  </si>
  <si>
    <t xml:space="preserve">[302,] </t>
  </si>
  <si>
    <t xml:space="preserve">[303,] </t>
  </si>
  <si>
    <t xml:space="preserve">[304,] </t>
  </si>
  <si>
    <t xml:space="preserve">[305,] </t>
  </si>
  <si>
    <t xml:space="preserve">[306,] </t>
  </si>
  <si>
    <t xml:space="preserve">[307,] </t>
  </si>
  <si>
    <t xml:space="preserve">[308,] </t>
  </si>
  <si>
    <t xml:space="preserve">[309,] </t>
  </si>
  <si>
    <t xml:space="preserve">[310,] </t>
  </si>
  <si>
    <t xml:space="preserve">[311,] </t>
  </si>
  <si>
    <t xml:space="preserve">[312,] </t>
  </si>
  <si>
    <t xml:space="preserve">[313,] </t>
  </si>
  <si>
    <t xml:space="preserve">[314,] </t>
  </si>
  <si>
    <t xml:space="preserve">[315,] </t>
  </si>
  <si>
    <t xml:space="preserve">[316,] </t>
  </si>
  <si>
    <t xml:space="preserve">[317,] </t>
  </si>
  <si>
    <t xml:space="preserve">[318,] </t>
  </si>
  <si>
    <t xml:space="preserve">[319,] </t>
  </si>
  <si>
    <t xml:space="preserve">[320,] </t>
  </si>
  <si>
    <t xml:space="preserve">[321,] </t>
  </si>
  <si>
    <t xml:space="preserve">[322,] </t>
  </si>
  <si>
    <t xml:space="preserve">[323,] </t>
  </si>
  <si>
    <t xml:space="preserve">[324,] </t>
  </si>
  <si>
    <t xml:space="preserve">[325,] </t>
  </si>
  <si>
    <t xml:space="preserve">[326,] </t>
  </si>
  <si>
    <t xml:space="preserve">[327,] </t>
  </si>
  <si>
    <t xml:space="preserve">[328,] </t>
  </si>
  <si>
    <t xml:space="preserve">[329,] </t>
  </si>
  <si>
    <t xml:space="preserve">[330,] </t>
  </si>
  <si>
    <t xml:space="preserve">[331,] </t>
  </si>
  <si>
    <t xml:space="preserve">[332,] </t>
  </si>
  <si>
    <t xml:space="preserve">[333,] </t>
  </si>
  <si>
    <t xml:space="preserve">[334,] </t>
  </si>
  <si>
    <t xml:space="preserve">[335,] </t>
  </si>
  <si>
    <t xml:space="preserve">[336,] </t>
  </si>
  <si>
    <t xml:space="preserve">[337,] </t>
  </si>
  <si>
    <t xml:space="preserve">[338,] </t>
  </si>
  <si>
    <t xml:space="preserve">[339,] </t>
  </si>
  <si>
    <t xml:space="preserve">[340,] </t>
  </si>
  <si>
    <t xml:space="preserve">[341,] </t>
  </si>
  <si>
    <t xml:space="preserve">[342,] </t>
  </si>
  <si>
    <t xml:space="preserve">[343,] </t>
  </si>
  <si>
    <t xml:space="preserve">[344,] </t>
  </si>
  <si>
    <t xml:space="preserve">[345,] </t>
  </si>
  <si>
    <t xml:space="preserve">[346,] </t>
  </si>
  <si>
    <t xml:space="preserve">[347,] </t>
  </si>
  <si>
    <t xml:space="preserve">[348,] </t>
  </si>
  <si>
    <t xml:space="preserve">[349,] </t>
  </si>
  <si>
    <t xml:space="preserve">[350,] </t>
  </si>
  <si>
    <t xml:space="preserve">[351,] </t>
  </si>
  <si>
    <t xml:space="preserve">[352,] </t>
  </si>
  <si>
    <t xml:space="preserve">[353,] </t>
  </si>
  <si>
    <t xml:space="preserve">[354,] </t>
  </si>
  <si>
    <t xml:space="preserve">[355,] </t>
  </si>
  <si>
    <t xml:space="preserve">[356,] </t>
  </si>
  <si>
    <t xml:space="preserve">[357,] </t>
  </si>
  <si>
    <t xml:space="preserve">[358,] </t>
  </si>
  <si>
    <t xml:space="preserve">[359,] </t>
  </si>
  <si>
    <t xml:space="preserve">[360,] </t>
  </si>
  <si>
    <t xml:space="preserve">[361,] </t>
  </si>
  <si>
    <t xml:space="preserve">[362,] </t>
  </si>
  <si>
    <t xml:space="preserve">[363,] </t>
  </si>
  <si>
    <t xml:space="preserve">[364,] </t>
  </si>
  <si>
    <t xml:space="preserve">[365,] </t>
  </si>
  <si>
    <t xml:space="preserve">[366,] </t>
  </si>
  <si>
    <t xml:space="preserve"> [32</t>
  </si>
  <si>
    <t xml:space="preserve"> [33</t>
  </si>
  <si>
    <t xml:space="preserve"> [34</t>
  </si>
  <si>
    <t xml:space="preserve"> [35</t>
  </si>
  <si>
    <t>[31</t>
  </si>
  <si>
    <t xml:space="preserve"> [36</t>
  </si>
  <si>
    <t xml:space="preserve"> [37</t>
  </si>
  <si>
    <t xml:space="preserve"> [38</t>
  </si>
  <si>
    <t xml:space="preserve"> [39</t>
  </si>
  <si>
    <t xml:space="preserve"> [40</t>
  </si>
  <si>
    <t xml:space="preserve"> [41</t>
  </si>
  <si>
    <t xml:space="preserve"> [42</t>
  </si>
  <si>
    <t xml:space="preserve"> [43</t>
  </si>
  <si>
    <t xml:space="preserve"> [44</t>
  </si>
  <si>
    <t xml:space="preserve"> [45</t>
  </si>
  <si>
    <t>[244</t>
  </si>
  <si>
    <t>[245</t>
  </si>
  <si>
    <t>[246</t>
  </si>
  <si>
    <t>[247</t>
  </si>
  <si>
    <t>[248</t>
  </si>
  <si>
    <t>[249</t>
  </si>
  <si>
    <t>[250</t>
  </si>
  <si>
    <t>[251</t>
  </si>
  <si>
    <t>[252</t>
  </si>
  <si>
    <t xml:space="preserve"> [46</t>
  </si>
  <si>
    <t xml:space="preserve"> [47</t>
  </si>
  <si>
    <t xml:space="preserve"> [48</t>
  </si>
  <si>
    <t xml:space="preserve"> [49</t>
  </si>
  <si>
    <t xml:space="preserve"> [50</t>
  </si>
  <si>
    <t xml:space="preserve"> [51</t>
  </si>
  <si>
    <t xml:space="preserve"> [52</t>
  </si>
  <si>
    <t xml:space="preserve"> [53</t>
  </si>
  <si>
    <t xml:space="preserve"> [54</t>
  </si>
  <si>
    <t xml:space="preserve"> [55</t>
  </si>
  <si>
    <t xml:space="preserve"> [56</t>
  </si>
  <si>
    <t xml:space="preserve"> [57</t>
  </si>
  <si>
    <t xml:space="preserve"> [58</t>
  </si>
  <si>
    <t xml:space="preserve"> [59</t>
  </si>
  <si>
    <t xml:space="preserve"> [60</t>
  </si>
  <si>
    <t xml:space="preserve"> [61</t>
  </si>
  <si>
    <t xml:space="preserve"> [62</t>
  </si>
  <si>
    <t xml:space="preserve"> [63</t>
  </si>
  <si>
    <t xml:space="preserve"> [64</t>
  </si>
  <si>
    <t xml:space="preserve"> [65</t>
  </si>
  <si>
    <t xml:space="preserve"> [66</t>
  </si>
  <si>
    <t xml:space="preserve"> [67</t>
  </si>
  <si>
    <t xml:space="preserve"> [68</t>
  </si>
  <si>
    <t xml:space="preserve"> [69</t>
  </si>
  <si>
    <t xml:space="preserve"> [70</t>
  </si>
  <si>
    <t xml:space="preserve"> [71</t>
  </si>
  <si>
    <t xml:space="preserve"> [72</t>
  </si>
  <si>
    <t xml:space="preserve"> [73</t>
  </si>
  <si>
    <t xml:space="preserve"> [74</t>
  </si>
  <si>
    <t xml:space="preserve"> [75</t>
  </si>
  <si>
    <t xml:space="preserve"> [76</t>
  </si>
  <si>
    <t xml:space="preserve"> [77</t>
  </si>
  <si>
    <t xml:space="preserve"> [78</t>
  </si>
  <si>
    <t xml:space="preserve"> [79</t>
  </si>
  <si>
    <t xml:space="preserve"> [80</t>
  </si>
  <si>
    <t xml:space="preserve"> [81</t>
  </si>
  <si>
    <t xml:space="preserve"> [82</t>
  </si>
  <si>
    <t xml:space="preserve"> [83</t>
  </si>
  <si>
    <t xml:space="preserve"> [84</t>
  </si>
  <si>
    <t xml:space="preserve"> [85</t>
  </si>
  <si>
    <t xml:space="preserve"> [86</t>
  </si>
  <si>
    <t xml:space="preserve"> [87</t>
  </si>
  <si>
    <t xml:space="preserve"> [88</t>
  </si>
  <si>
    <t xml:space="preserve"> [89</t>
  </si>
  <si>
    <t xml:space="preserve"> [90</t>
  </si>
  <si>
    <t xml:space="preserve"> [91</t>
  </si>
  <si>
    <t xml:space="preserve"> [92</t>
  </si>
  <si>
    <t xml:space="preserve"> [93</t>
  </si>
  <si>
    <t xml:space="preserve"> [94</t>
  </si>
  <si>
    <t xml:space="preserve"> [95</t>
  </si>
  <si>
    <t xml:space="preserve"> [96</t>
  </si>
  <si>
    <t xml:space="preserve"> [97</t>
  </si>
  <si>
    <t xml:space="preserve"> [98</t>
  </si>
  <si>
    <t xml:space="preserve"> [99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</si>
  <si>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</si>
  <si>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</si>
  <si>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</si>
  <si>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</si>
  <si>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</si>
  <si>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</si>
  <si>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</si>
  <si>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</si>
  <si>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</si>
  <si>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</si>
  <si>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</si>
  <si>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</si>
  <si>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</si>
  <si>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</si>
  <si>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</si>
  <si>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</si>
  <si>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</si>
  <si>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</si>
  <si>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</si>
  <si>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</si>
  <si>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</si>
  <si>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</si>
  <si>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</si>
  <si>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</si>
  <si>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</si>
  <si>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</si>
  <si>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</si>
  <si>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</si>
  <si>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</si>
  <si>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</si>
  <si>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</si>
  <si>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</si>
  <si>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</si>
  <si>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</si>
  <si>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</si>
  <si>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</si>
  <si>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</si>
  <si>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</si>
  <si>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</si>
  <si>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</si>
  <si>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</si>
  <si>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</si>
  <si>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</si>
  <si>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</si>
  <si>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</si>
  <si>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</si>
  <si>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</si>
  <si>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</si>
  <si>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</si>
  <si>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</si>
  <si>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</si>
  <si>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</si>
  <si>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</si>
  <si>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</si>
  <si>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</si>
  <si>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</si>
  <si>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</si>
  <si>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</si>
  <si>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</si>
  <si>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</si>
  <si>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</si>
  <si>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</si>
  <si>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</si>
  <si>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</si>
  <si>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</si>
  <si>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</si>
  <si>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</si>
  <si>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</si>
  <si>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</si>
  <si>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</si>
  <si>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</si>
  <si>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</si>
  <si>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</si>
  <si>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</si>
  <si>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</si>
  <si>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</si>
  <si>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</si>
  <si>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</si>
  <si>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</si>
  <si>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</si>
  <si>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</si>
  <si>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</si>
  <si>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</si>
  <si>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</si>
  <si>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</si>
  <si>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</si>
  <si>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</si>
  <si>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</si>
  <si>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</si>
  <si>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</si>
  <si>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</si>
  <si>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</si>
  <si>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</si>
  <si>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</si>
  <si>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</si>
  <si>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</si>
  <si>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</si>
  <si>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</si>
  <si>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</si>
  <si>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</si>
  <si>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</si>
  <si>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</si>
  <si>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</si>
  <si>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</si>
  <si>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</si>
  <si>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</si>
  <si>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</si>
  <si>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</si>
  <si>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</si>
  <si>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</si>
  <si>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</si>
  <si>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</si>
  <si>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</si>
  <si>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</si>
  <si>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</si>
  <si>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</si>
  <si>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</si>
  <si>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</si>
  <si>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</si>
  <si>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</si>
  <si>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</si>
  <si>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</si>
  <si>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</si>
  <si>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</si>
  <si>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</si>
  <si>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</si>
  <si>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</si>
  <si>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</si>
  <si>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</si>
  <si>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</si>
  <si>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</si>
  <si>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</si>
  <si>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</si>
  <si>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</si>
  <si>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</si>
  <si>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</si>
  <si>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</si>
  <si>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</si>
  <si>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</si>
  <si>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</si>
  <si>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</si>
  <si>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</si>
  <si>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</si>
  <si>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</si>
  <si>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</si>
  <si>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</si>
  <si>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</si>
  <si>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</si>
  <si>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</si>
  <si>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</si>
  <si>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</si>
  <si>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</si>
  <si>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</si>
  <si>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</si>
  <si>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</si>
  <si>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</si>
  <si>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</si>
  <si>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</si>
  <si>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</si>
  <si>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</si>
  <si>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</si>
  <si>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</si>
  <si>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</si>
  <si>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</si>
  <si>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</si>
  <si>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</si>
  <si>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</si>
  <si>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</si>
  <si>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</si>
  <si>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</si>
  <si>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</si>
  <si>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</si>
  <si>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</si>
  <si>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</si>
  <si>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</si>
  <si>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</si>
  <si>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</si>
  <si>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</si>
  <si>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</si>
  <si>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</si>
  <si>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</si>
  <si>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</si>
  <si>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</si>
  <si>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</si>
  <si>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</si>
  <si>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</si>
  <si>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</si>
  <si>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</si>
  <si>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</si>
  <si>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</si>
  <si>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</si>
  <si>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</si>
  <si>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</si>
  <si>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</si>
  <si>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</si>
  <si>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</si>
  <si>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</si>
  <si>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</si>
  <si>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</si>
  <si>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</si>
  <si>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</si>
  <si>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</si>
  <si>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</si>
  <si>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</si>
  <si>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</si>
  <si>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</si>
  <si>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</si>
  <si>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</si>
  <si>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</si>
  <si>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</si>
  <si>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</si>
  <si>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</si>
  <si>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</si>
  <si>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</si>
  <si>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</si>
  <si>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</si>
  <si>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</si>
  <si>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</si>
  <si>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</si>
  <si>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</si>
  <si>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</si>
  <si>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</si>
  <si>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</si>
  <si>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</si>
  <si>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</si>
  <si>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</si>
  <si>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</si>
  <si>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</si>
  <si>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</si>
  <si>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</si>
  <si>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</si>
  <si>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</si>
  <si>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</si>
  <si>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</si>
  <si>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[343</t>
  </si>
  <si>
    <t>[344</t>
  </si>
  <si>
    <t>[345</t>
  </si>
  <si>
    <t>[346</t>
  </si>
  <si>
    <t>[347</t>
  </si>
  <si>
    <t>[348</t>
  </si>
  <si>
    <t>[349</t>
  </si>
  <si>
    <t>[350</t>
  </si>
  <si>
    <t>[351</t>
  </si>
  <si>
    <t>[352</t>
  </si>
  <si>
    <t>[353</t>
  </si>
  <si>
    <t>[354</t>
  </si>
  <si>
    <t>[355</t>
  </si>
  <si>
    <t>[356</t>
  </si>
  <si>
    <t>[357</t>
  </si>
  <si>
    <t>[358</t>
  </si>
  <si>
    <t>[359</t>
  </si>
  <si>
    <t>[360</t>
  </si>
  <si>
    <t>[361</t>
  </si>
  <si>
    <t>[362</t>
  </si>
  <si>
    <t>[363</t>
  </si>
  <si>
    <t>[364</t>
  </si>
  <si>
    <t>[365</t>
  </si>
  <si>
    <t>[366</t>
  </si>
  <si>
    <t xml:space="preserve"> [35,</t>
  </si>
  <si>
    <t xml:space="preserve"> [36,</t>
  </si>
  <si>
    <t xml:space="preserve"> [37,</t>
  </si>
  <si>
    <t xml:space="preserve"> [38,</t>
  </si>
  <si>
    <t xml:space="preserve"> [39,</t>
  </si>
  <si>
    <t xml:space="preserve"> [40,</t>
  </si>
  <si>
    <t xml:space="preserve"> [41,</t>
  </si>
  <si>
    <t xml:space="preserve"> [42,</t>
  </si>
  <si>
    <t xml:space="preserve"> [43,</t>
  </si>
  <si>
    <t xml:space="preserve"> [44,</t>
  </si>
  <si>
    <t xml:space="preserve"> [45,</t>
  </si>
  <si>
    <t xml:space="preserve"> [46,</t>
  </si>
  <si>
    <t xml:space="preserve"> [47,</t>
  </si>
  <si>
    <t xml:space="preserve"> [48,</t>
  </si>
  <si>
    <t xml:space="preserve"> [49,</t>
  </si>
  <si>
    <t xml:space="preserve"> [50,</t>
  </si>
  <si>
    <t xml:space="preserve"> [51,</t>
  </si>
  <si>
    <t xml:space="preserve"> [52,</t>
  </si>
  <si>
    <t xml:space="preserve"> [53,</t>
  </si>
  <si>
    <t xml:space="preserve"> [54,</t>
  </si>
  <si>
    <t xml:space="preserve"> [55,</t>
  </si>
  <si>
    <t xml:space="preserve"> [56,</t>
  </si>
  <si>
    <t xml:space="preserve"> [57,</t>
  </si>
  <si>
    <t xml:space="preserve"> [58,</t>
  </si>
  <si>
    <t xml:space="preserve"> [59,</t>
  </si>
  <si>
    <t xml:space="preserve"> [60,</t>
  </si>
  <si>
    <t xml:space="preserve"> [61,</t>
  </si>
  <si>
    <t xml:space="preserve"> [62,</t>
  </si>
  <si>
    <t xml:space="preserve"> [63,</t>
  </si>
  <si>
    <t xml:space="preserve"> [64,</t>
  </si>
  <si>
    <t xml:space="preserve"> [65,</t>
  </si>
  <si>
    <t xml:space="preserve"> [66,</t>
  </si>
  <si>
    <t xml:space="preserve"> [67,</t>
  </si>
  <si>
    <t xml:space="preserve"> [68,</t>
  </si>
  <si>
    <t xml:space="preserve"> [69,</t>
  </si>
  <si>
    <t xml:space="preserve"> [70,</t>
  </si>
  <si>
    <t xml:space="preserve"> [71,</t>
  </si>
  <si>
    <t xml:space="preserve"> [72,</t>
  </si>
  <si>
    <t xml:space="preserve"> [73,</t>
  </si>
  <si>
    <t xml:space="preserve"> [74,</t>
  </si>
  <si>
    <t xml:space="preserve"> [75,</t>
  </si>
  <si>
    <t xml:space="preserve"> [76,</t>
  </si>
  <si>
    <t xml:space="preserve"> [77,</t>
  </si>
  <si>
    <t xml:space="preserve"> [78,</t>
  </si>
  <si>
    <t xml:space="preserve"> [79,</t>
  </si>
  <si>
    <t xml:space="preserve"> [80,</t>
  </si>
  <si>
    <t xml:space="preserve"> [81,</t>
  </si>
  <si>
    <t xml:space="preserve"> [82,</t>
  </si>
  <si>
    <t xml:space="preserve"> [83,</t>
  </si>
  <si>
    <t xml:space="preserve"> [84,</t>
  </si>
  <si>
    <t xml:space="preserve"> [85,</t>
  </si>
  <si>
    <t xml:space="preserve"> [86,</t>
  </si>
  <si>
    <t xml:space="preserve"> [87,</t>
  </si>
  <si>
    <t xml:space="preserve"> [88,</t>
  </si>
  <si>
    <t xml:space="preserve"> [89,</t>
  </si>
  <si>
    <t xml:space="preserve"> [90,</t>
  </si>
  <si>
    <t xml:space="preserve"> [91,</t>
  </si>
  <si>
    <t xml:space="preserve"> [92,</t>
  </si>
  <si>
    <t xml:space="preserve"> [93,</t>
  </si>
  <si>
    <t xml:space="preserve"> [94,</t>
  </si>
  <si>
    <t xml:space="preserve"> [95,</t>
  </si>
  <si>
    <t xml:space="preserve"> [96,</t>
  </si>
  <si>
    <t xml:space="preserve"> [97,</t>
  </si>
  <si>
    <t xml:space="preserve"> [98,</t>
  </si>
  <si>
    <t xml:space="preserve"> [99,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</si>
  <si>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</si>
  <si>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</si>
  <si>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</si>
  <si>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</si>
  <si>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</si>
  <si>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</si>
  <si>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</si>
  <si>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</si>
  <si>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</si>
  <si>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</si>
  <si>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</si>
  <si>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</si>
  <si>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</si>
  <si>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</si>
  <si>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</si>
  <si>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</si>
  <si>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</si>
  <si>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</si>
  <si>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</si>
  <si>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</si>
  <si>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</si>
  <si>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</si>
  <si>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</si>
  <si>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</si>
  <si>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</si>
  <si>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</si>
  <si>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</si>
  <si>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</si>
  <si>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</si>
  <si>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</si>
  <si>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</si>
  <si>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</si>
  <si>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</si>
  <si>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</si>
  <si>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</si>
  <si>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</si>
  <si>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</si>
  <si>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</si>
  <si>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</si>
  <si>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</si>
  <si>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</si>
  <si>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</si>
  <si>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</si>
  <si>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</si>
  <si>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</si>
  <si>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</si>
  <si>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</si>
  <si>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</si>
  <si>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</si>
  <si>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</si>
  <si>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</si>
  <si>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</si>
  <si>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</si>
  <si>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</si>
  <si>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</si>
  <si>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</si>
  <si>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</si>
  <si>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</si>
  <si>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</si>
  <si>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</si>
  <si>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</si>
  <si>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</si>
  <si>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</si>
  <si>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</si>
  <si>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</si>
  <si>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</si>
  <si>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</si>
  <si>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</si>
  <si>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</si>
  <si>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</si>
  <si>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</si>
  <si>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</si>
  <si>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</si>
  <si>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</si>
  <si>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</si>
  <si>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</si>
  <si>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</si>
  <si>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</si>
  <si>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</si>
  <si>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</si>
  <si>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</si>
  <si>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</si>
  <si>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</si>
  <si>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</si>
  <si>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</si>
  <si>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</si>
  <si>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</si>
  <si>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</si>
  <si>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</si>
  <si>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</si>
  <si>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</si>
  <si>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</si>
  <si>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</si>
  <si>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</si>
  <si>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</si>
  <si>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</si>
  <si>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</si>
  <si>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</si>
  <si>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</si>
  <si>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</si>
  <si>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</si>
  <si>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</si>
  <si>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</si>
  <si>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</si>
  <si>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</si>
  <si>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</si>
  <si>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</si>
  <si>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</si>
  <si>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</si>
  <si>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</si>
  <si>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</si>
  <si>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</si>
  <si>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</si>
  <si>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</si>
  <si>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</si>
  <si>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</si>
  <si>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</si>
  <si>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</si>
  <si>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</si>
  <si>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</si>
  <si>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</si>
  <si>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</si>
  <si>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</si>
  <si>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</si>
  <si>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</si>
  <si>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</si>
  <si>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</si>
  <si>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</si>
  <si>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</si>
  <si>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</si>
  <si>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</si>
  <si>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</si>
  <si>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</si>
  <si>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</si>
  <si>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</si>
  <si>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</si>
  <si>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</si>
  <si>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</si>
  <si>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</si>
  <si>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</si>
  <si>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</si>
  <si>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</si>
  <si>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</si>
  <si>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</si>
  <si>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</si>
  <si>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</si>
  <si>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</si>
  <si>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</si>
  <si>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</si>
  <si>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</si>
  <si>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</si>
  <si>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</si>
  <si>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</si>
  <si>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</si>
  <si>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</si>
  <si>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</si>
  <si>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</si>
  <si>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</si>
  <si>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</si>
  <si>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</si>
  <si>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</si>
  <si>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</si>
  <si>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</si>
  <si>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</si>
  <si>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</si>
  <si>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</si>
  <si>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</si>
  <si>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</si>
  <si>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</si>
  <si>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</si>
  <si>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</si>
  <si>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</si>
  <si>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</si>
  <si>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</si>
  <si>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</si>
  <si>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</si>
  <si>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</si>
  <si>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</si>
  <si>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</si>
  <si>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</si>
  <si>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</si>
  <si>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</si>
  <si>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</si>
  <si>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</si>
  <si>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</si>
  <si>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</si>
  <si>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</si>
  <si>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</si>
  <si>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</si>
  <si>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</si>
  <si>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</si>
  <si>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</si>
  <si>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</si>
  <si>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</si>
  <si>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</si>
  <si>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</si>
  <si>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</si>
  <si>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</si>
  <si>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</si>
  <si>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</si>
  <si>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</si>
  <si>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</si>
  <si>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</si>
  <si>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</si>
  <si>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</si>
  <si>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</si>
  <si>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</si>
  <si>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</si>
  <si>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</si>
  <si>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</si>
  <si>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</si>
  <si>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</si>
  <si>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</si>
  <si>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</si>
  <si>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</si>
  <si>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</si>
  <si>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</si>
  <si>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</si>
  <si>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</si>
  <si>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</si>
  <si>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</si>
  <si>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</si>
  <si>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</si>
  <si>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</si>
  <si>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</si>
  <si>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</si>
  <si>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</si>
  <si>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</si>
  <si>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</si>
  <si>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</si>
  <si>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</si>
  <si>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</si>
  <si>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</si>
  <si>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</si>
  <si>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</si>
  <si>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</si>
  <si>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</si>
  <si>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</si>
  <si>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</si>
  <si>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</si>
  <si>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</si>
  <si>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</si>
  <si>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</si>
  <si>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[343,</t>
  </si>
  <si>
    <t>[344,</t>
  </si>
  <si>
    <t>[345,</t>
  </si>
  <si>
    <t>[346,</t>
  </si>
  <si>
    <t>[347,</t>
  </si>
  <si>
    <t>[348,</t>
  </si>
  <si>
    <t>[349,</t>
  </si>
  <si>
    <t>[350,</t>
  </si>
  <si>
    <t>[351,</t>
  </si>
  <si>
    <t>[352,</t>
  </si>
  <si>
    <t>[353,</t>
  </si>
  <si>
    <t>[354,</t>
  </si>
  <si>
    <t>[355,</t>
  </si>
  <si>
    <t>[356,</t>
  </si>
  <si>
    <t>[357,</t>
  </si>
  <si>
    <t>[358,</t>
  </si>
  <si>
    <t>[359,</t>
  </si>
  <si>
    <t>[360,</t>
  </si>
  <si>
    <t>[361,</t>
  </si>
  <si>
    <t>[362,</t>
  </si>
  <si>
    <t>[363,</t>
  </si>
  <si>
    <t>[364,</t>
  </si>
  <si>
    <t>[365,</t>
  </si>
  <si>
    <t>[366,</t>
  </si>
  <si>
    <t xml:space="preserve"> [27,</t>
  </si>
  <si>
    <t xml:space="preserve"> [28,</t>
  </si>
  <si>
    <t xml:space="preserve"> [29,</t>
  </si>
  <si>
    <t xml:space="preserve"> [30,</t>
  </si>
  <si>
    <t xml:space="preserve"> [31,</t>
  </si>
  <si>
    <t xml:space="preserve"> [32,</t>
  </si>
  <si>
    <t xml:space="preserve"> [33,</t>
  </si>
  <si>
    <t xml:space="preserve"> [34,</t>
  </si>
  <si>
    <t xml:space="preserve"> [32,] </t>
  </si>
  <si>
    <t xml:space="preserve"> [33,] </t>
  </si>
  <si>
    <t xml:space="preserve"> [34,] </t>
  </si>
  <si>
    <t xml:space="preserve"> [35,] </t>
  </si>
  <si>
    <t xml:space="preserve"> [36,] </t>
  </si>
  <si>
    <t xml:space="preserve">[202,]  </t>
  </si>
  <si>
    <t xml:space="preserve">[203,]  </t>
  </si>
  <si>
    <t xml:space="preserve">[213,]  </t>
  </si>
  <si>
    <t xml:space="preserve">[215,]  </t>
  </si>
  <si>
    <t xml:space="preserve">[219,]  </t>
  </si>
  <si>
    <t xml:space="preserve">[220,]  </t>
  </si>
  <si>
    <t xml:space="preserve">[221,]  </t>
  </si>
  <si>
    <t xml:space="preserve">[222,]  </t>
  </si>
  <si>
    <t xml:space="preserve">[223,]  </t>
  </si>
  <si>
    <t xml:space="preserve">[224,]  </t>
  </si>
  <si>
    <t xml:space="preserve">[225,]  </t>
  </si>
  <si>
    <t xml:space="preserve">[226,]  </t>
  </si>
  <si>
    <t xml:space="preserve">[227,]  </t>
  </si>
  <si>
    <t xml:space="preserve">[228,]  </t>
  </si>
  <si>
    <t xml:space="preserve">[229,]  </t>
  </si>
  <si>
    <t xml:space="preserve">[230,]  </t>
  </si>
  <si>
    <t xml:space="preserve">[231,]  </t>
  </si>
  <si>
    <t xml:space="preserve">[232,]  </t>
  </si>
  <si>
    <t xml:space="preserve">[233,]  </t>
  </si>
  <si>
    <t xml:space="preserve">[234,]  </t>
  </si>
  <si>
    <t xml:space="preserve">[235,]  </t>
  </si>
  <si>
    <t xml:space="preserve">[238,]  </t>
  </si>
  <si>
    <t xml:space="preserve">[239,]  </t>
  </si>
  <si>
    <t xml:space="preserve">[240,]  </t>
  </si>
  <si>
    <t xml:space="preserve">[241,]  </t>
  </si>
  <si>
    <t xml:space="preserve">[242,]  </t>
  </si>
  <si>
    <t xml:space="preserve">[243,]  </t>
  </si>
  <si>
    <t xml:space="preserve">[244,]  </t>
  </si>
  <si>
    <t xml:space="preserve">[245,]  </t>
  </si>
  <si>
    <t xml:space="preserve">[246,]  </t>
  </si>
  <si>
    <t xml:space="preserve">[247,]  </t>
  </si>
  <si>
    <t xml:space="preserve">[248,]  </t>
  </si>
  <si>
    <t xml:space="preserve">[249,]  </t>
  </si>
  <si>
    <t xml:space="preserve">[250,]  </t>
  </si>
  <si>
    <t xml:space="preserve">[251,]  </t>
  </si>
  <si>
    <t xml:space="preserve">[253,]  </t>
  </si>
  <si>
    <t xml:space="preserve">[254,]  </t>
  </si>
  <si>
    <t xml:space="preserve">[255,]  </t>
  </si>
  <si>
    <t xml:space="preserve">[260,]  </t>
  </si>
  <si>
    <t xml:space="preserve">[264,]  </t>
  </si>
  <si>
    <t xml:space="preserve">[265,]  </t>
  </si>
  <si>
    <t xml:space="preserve">[266,]  </t>
  </si>
  <si>
    <t xml:space="preserve">[267,]  </t>
  </si>
  <si>
    <t>[281,] -</t>
  </si>
  <si>
    <t>[282,] -</t>
  </si>
  <si>
    <t>[283,] -</t>
  </si>
  <si>
    <t>[284,] -</t>
  </si>
  <si>
    <t>[285,] -</t>
  </si>
  <si>
    <t>[286,] -</t>
  </si>
  <si>
    <t>[287,] -</t>
  </si>
  <si>
    <t>[289,] -</t>
  </si>
  <si>
    <t xml:space="preserve"> [33,]   0.33541833   0.47972362</t>
  </si>
  <si>
    <t xml:space="preserve"> [34,]   0.95835689   2.25368808</t>
  </si>
  <si>
    <t xml:space="preserve"> [35,]   1.39040635   3.25648896</t>
  </si>
  <si>
    <t xml:space="preserve"> [36,]   2.77370308   3.09102324</t>
  </si>
  <si>
    <t xml:space="preserve"> [37,]   3.47851054   3.65421293</t>
  </si>
  <si>
    <t xml:space="preserve"> [38,]   4.06387031   2.55223711</t>
  </si>
  <si>
    <t xml:space="preserve"> [39,]   3.70894624   3.16369805</t>
  </si>
  <si>
    <t xml:space="preserve"> [40,]   4.52039663   2.59807572</t>
  </si>
  <si>
    <t xml:space="preserve"> [41,]   5.36349811   3.83458353</t>
  </si>
  <si>
    <t xml:space="preserve"> [42,]   6.44338531   4.68800696</t>
  </si>
  <si>
    <t xml:space="preserve"> [43,]   6.33517372   4.98482301</t>
  </si>
  <si>
    <t xml:space="preserve"> [44,]   4.46475607   3.95047761</t>
  </si>
  <si>
    <t xml:space="preserve"> [45,]   4.54448516   5.69067751</t>
  </si>
  <si>
    <t xml:space="preserve"> [46,]   2.73909818   6.35000814</t>
  </si>
  <si>
    <t xml:space="preserve"> [47,]   2.84209590   8.31935301</t>
  </si>
  <si>
    <t xml:space="preserve"> [48,]   3.20573228   8.36183320</t>
  </si>
  <si>
    <t xml:space="preserve"> [49,]   2.66214655   8.30462854</t>
  </si>
  <si>
    <t xml:space="preserve"> [50,]   2.51472080   7.44111172</t>
  </si>
  <si>
    <t xml:space="preserve"> [51,]   2.73335554   7.92022785</t>
  </si>
  <si>
    <t xml:space="preserve"> [52,]   1.57202116   8.45669422</t>
  </si>
  <si>
    <t xml:space="preserve"> [53,]   3.42939240   9.58359106</t>
  </si>
  <si>
    <t xml:space="preserve"> [54,]   5.34750082  10.50426999</t>
  </si>
  <si>
    <t xml:space="preserve"> [55,]   4.77365389  11.00384317</t>
  </si>
  <si>
    <t xml:space="preserve"> [56,]   3.35141022  10.91984279</t>
  </si>
  <si>
    <t xml:space="preserve"> [57,]   2.42292684  10.59973252</t>
  </si>
  <si>
    <t xml:space="preserve"> [58,]   1.35163663  11.47979207</t>
  </si>
  <si>
    <t xml:space="preserve"> [59,]   1.98051177  11.62743033</t>
  </si>
  <si>
    <t xml:space="preserve"> [60,]   2.36635370  10.58299654</t>
  </si>
  <si>
    <t xml:space="preserve"> [61,]   2.49020757  10.00897854</t>
  </si>
  <si>
    <t xml:space="preserve"> [62,]   3.57867282   8.62155674</t>
  </si>
  <si>
    <t xml:space="preserve"> [63,]   3.05787565   7.43323320</t>
  </si>
  <si>
    <t xml:space="preserve"> [64,]   4.36817791   8.01604788</t>
  </si>
  <si>
    <t xml:space="preserve"> [65,]   4.94255366   9.00560220</t>
  </si>
  <si>
    <t xml:space="preserve"> [66,]   5.71103770  10.95826585</t>
  </si>
  <si>
    <t xml:space="preserve"> [67,]   7.79467775  10.18830653</t>
  </si>
  <si>
    <t xml:space="preserve"> [68,]   8.81264440   9.02491998</t>
  </si>
  <si>
    <t xml:space="preserve"> [69,]   8.07175869   8.11079348</t>
  </si>
  <si>
    <t xml:space="preserve"> [70,]   9.02912783   9.39182083</t>
  </si>
  <si>
    <t xml:space="preserve"> [71,]   9.55659446   8.94818162</t>
  </si>
  <si>
    <t xml:space="preserve"> [72,]   9.84538686  10.43752160</t>
  </si>
  <si>
    <t xml:space="preserve"> [73,]   9.37530679  11.33718171</t>
  </si>
  <si>
    <t xml:space="preserve"> [74,]  10.03216356  12.34707403</t>
  </si>
  <si>
    <t xml:space="preserve"> [75,]   9.67072795  12.62810659</t>
  </si>
  <si>
    <t xml:space="preserve"> [76,]  10.96431806  10.34237209</t>
  </si>
  <si>
    <t xml:space="preserve"> [77,]  11.95916643   9.57890986</t>
  </si>
  <si>
    <t xml:space="preserve"> [78,]  14.23207983   8.88806525</t>
  </si>
  <si>
    <t xml:space="preserve"> [79,]  13.23612315   7.99594065</t>
  </si>
  <si>
    <t xml:space="preserve"> [80,]  13.57535852   7.79697212</t>
  </si>
  <si>
    <t xml:space="preserve"> [81,]  12.93374955   8.92702867</t>
  </si>
  <si>
    <t xml:space="preserve"> [82,]  13.14368107   8.78835088</t>
  </si>
  <si>
    <t xml:space="preserve"> [83,]  14.45534349   8.51899799</t>
  </si>
  <si>
    <t xml:space="preserve"> [84,]  15.25899546   8.44708552</t>
  </si>
  <si>
    <t xml:space="preserve"> [85,]  14.40799773   6.96076853</t>
  </si>
  <si>
    <t xml:space="preserve"> [86,]  14.45486657   7.74292385</t>
  </si>
  <si>
    <t xml:space="preserve"> [87,]  13.60164009   7.24292363</t>
  </si>
  <si>
    <t xml:space="preserve"> [88,]  15.40334810   7.36968806</t>
  </si>
  <si>
    <t xml:space="preserve"> [89,]  15.63053305   6.96747315</t>
  </si>
  <si>
    <t xml:space="preserve"> [90,]  15.45750089   4.73393393</t>
  </si>
  <si>
    <t xml:space="preserve"> [91,]  15.97556495   4.38345812</t>
  </si>
  <si>
    <t xml:space="preserve"> [92,]  15.17347198   3.63038221</t>
  </si>
  <si>
    <t xml:space="preserve"> [93,]  16.00809328   3.64243518</t>
  </si>
  <si>
    <t xml:space="preserve"> [94,]  15.36047559   4.59859526</t>
  </si>
  <si>
    <t xml:space="preserve"> [95,]  14.70340815   4.53264652</t>
  </si>
  <si>
    <t xml:space="preserve"> [96,]  14.92180195   5.28336838</t>
  </si>
  <si>
    <t xml:space="preserve"> [97,]  16.92628006   5.94698213</t>
  </si>
  <si>
    <t xml:space="preserve"> [98,]  16.32817711   6.50496199</t>
  </si>
  <si>
    <t xml:space="preserve"> [99,]  16.11579529   5.33235602</t>
  </si>
  <si>
    <t>[100,]  16.78663243   5.85542703</t>
  </si>
  <si>
    <t>[101,]  17.85404879   7.16549752</t>
  </si>
  <si>
    <t>[102,]  15.53655447   7.37802124</t>
  </si>
  <si>
    <t>[103,]  15.63372665   6.96150951</t>
  </si>
  <si>
    <t>[104,]  14.17257445   6.67219516</t>
  </si>
  <si>
    <t>[105,]  12.35158418   6.50144999</t>
  </si>
  <si>
    <t>[106,]  10.71328697   8.76048668</t>
  </si>
  <si>
    <t>[107,]   8.96164017   9.08547689</t>
  </si>
  <si>
    <t>[108,]   9.14841078   9.29244520</t>
  </si>
  <si>
    <t>[109,]   6.52741245  11.24764715</t>
  </si>
  <si>
    <t>[110,]   6.30683962   9.31888666</t>
  </si>
  <si>
    <t>[111,]   6.55539778   8.67506808</t>
  </si>
  <si>
    <t>[112,]   6.65746200   6.61039676</t>
  </si>
  <si>
    <t>[113,]   5.41906011   6.61200405</t>
  </si>
  <si>
    <t>[114,]   5.08190898   7.33080704</t>
  </si>
  <si>
    <t>[115,]   3.84203306   8.92822758</t>
  </si>
  <si>
    <t>[116,]   2.56262500   7.73224144</t>
  </si>
  <si>
    <t>[117,]   2.14293578   5.89801227</t>
  </si>
  <si>
    <t>[118,]   1.05025633   5.63062005</t>
  </si>
  <si>
    <t>[119,]   1.90275568   5.17974342</t>
  </si>
  <si>
    <t>[120,]   1.72067456   4.91303021</t>
  </si>
  <si>
    <t>[121,]   2.07437503   5.49713718</t>
  </si>
  <si>
    <t>[122,]   3.47703076   6.40392280</t>
  </si>
  <si>
    <t>[123,]   4.25370881   7.28675275</t>
  </si>
  <si>
    <t>[124,]   5.74560456   6.96160136</t>
  </si>
  <si>
    <t>[125,]   2.96492718   7.81177545</t>
  </si>
  <si>
    <t>[126,]   2.89507650   8.03572072</t>
  </si>
  <si>
    <t>[127,]   3.91298660   5.91319656</t>
  </si>
  <si>
    <t>[128,]   2.30453115   6.45366934</t>
  </si>
  <si>
    <t>[129,]   2.07234946   5.95750581</t>
  </si>
  <si>
    <t>[130,]   1.97995994   4.77861547</t>
  </si>
  <si>
    <t>[131,]   2.62801515   3.79453012</t>
  </si>
  <si>
    <t>[132,]   2.38730626   3.15941178</t>
  </si>
  <si>
    <t>[133,]   1.83389019   3.50304127</t>
  </si>
  <si>
    <t>[134,]   0.42040665   2.42410521</t>
  </si>
  <si>
    <t>[135,]   0.95796853   2.53046663</t>
  </si>
  <si>
    <t>[136,]  -1.81793516   1.07572325</t>
  </si>
  <si>
    <t>[137,]  -1.29892162  -0.05968998</t>
  </si>
  <si>
    <t>[138,]  -0.37788018  -0.97530971</t>
  </si>
  <si>
    <t>[139,]  -1.42320795  -1.07122201</t>
  </si>
  <si>
    <t>[140,]   0.03277000  -2.64823233</t>
  </si>
  <si>
    <t>[141,]  -1.16177860  -2.17229560</t>
  </si>
  <si>
    <t>[142,]  -0.27304568  -3.29897671</t>
  </si>
  <si>
    <t>[143,]   1.70795848  -4.68059778</t>
  </si>
  <si>
    <t>[144,]   1.00127414  -5.55907984</t>
  </si>
  <si>
    <t>[145,]   0.74703691  -5.52738768</t>
  </si>
  <si>
    <t>[146,]   0.44338275  -6.42363135</t>
  </si>
  <si>
    <t>[147,]  -0.40903316  -6.86628623</t>
  </si>
  <si>
    <t>[148,]   0.43104608  -7.71573696</t>
  </si>
  <si>
    <t>[149,]  -0.06110590  -6.39280824</t>
  </si>
  <si>
    <t>[150,]  -0.96500819  -6.21301405</t>
  </si>
  <si>
    <t>[151,]  -0.58281781  -7.06257550</t>
  </si>
  <si>
    <t>[152,]  -0.29485520  -6.42092825</t>
  </si>
  <si>
    <t>[153,]  -0.26471153  -5.04475754</t>
  </si>
  <si>
    <t>[154,]  -1.22613477  -4.68554879</t>
  </si>
  <si>
    <t>[155,]  -1.23002920  -4.42465392</t>
  </si>
  <si>
    <t>[156,]  -1.25848574  -3.33098876</t>
  </si>
  <si>
    <t>[157,]  -0.13977731  -5.58909934</t>
  </si>
  <si>
    <t>[158,]  -0.88170726  -5.94315377</t>
  </si>
  <si>
    <t>[159,]  -1.58606218  -4.87635046</t>
  </si>
  <si>
    <t>[160,]  -2.21251589  -4.32001810</t>
  </si>
  <si>
    <t>[161,]  -2.61115065  -3.04827736</t>
  </si>
  <si>
    <t>[162,]  -2.01883374  -0.54030818</t>
  </si>
  <si>
    <t>[163,]  -3.24529271  -1.18572538</t>
  </si>
  <si>
    <t>[164,]  -2.63115228  -3.18809523</t>
  </si>
  <si>
    <t>[165,]  -4.33738514  -2.72416655</t>
  </si>
  <si>
    <t>[166,]  -5.11674873  -2.32916595</t>
  </si>
  <si>
    <t>[167,]  -5.68984857  -2.49923547</t>
  </si>
  <si>
    <t>[168,]  -5.46632079  -1.75813594</t>
  </si>
  <si>
    <t>[169,]  -4.34760141  -1.14072219</t>
  </si>
  <si>
    <t>[170,]  -4.88274547  -1.21572121</t>
  </si>
  <si>
    <t>[171,]  -3.93961304  -0.68742474</t>
  </si>
  <si>
    <t>[172,]  -4.07744260  -0.68264504</t>
  </si>
  <si>
    <t>[173,]  -4.31870092  -0.51925669</t>
  </si>
  <si>
    <t>[174,]  -3.26470213  -1.42407536</t>
  </si>
  <si>
    <t>[175,]  -4.48039100  -1.48106803</t>
  </si>
  <si>
    <t>[176,]  -5.75253277   0.91867076</t>
  </si>
  <si>
    <t>[177,]  -5.95547261   0.27194475</t>
  </si>
  <si>
    <t>[178,]  -5.38544907  -0.54104909</t>
  </si>
  <si>
    <t>[179,]  -4.34429300   0.45199965</t>
  </si>
  <si>
    <t>[180,]  -5.30899924  -1.04780329</t>
  </si>
  <si>
    <t>[181,]  -4.01023596  -1.10522454</t>
  </si>
  <si>
    <t>[182,]  -4.79495641  -2.15126085</t>
  </si>
  <si>
    <t>[183,]  -4.20531559  -3.60260363</t>
  </si>
  <si>
    <t>[184,]  -3.28263148  -5.15167496</t>
  </si>
  <si>
    <t>[185,]  -4.95257288  -6.60307489</t>
  </si>
  <si>
    <t>[186,]  -5.46499053  -7.52174853</t>
  </si>
  <si>
    <t>[187,]  -5.56807686  -6.34661797</t>
  </si>
  <si>
    <t>[188,]  -5.27327071  -3.55403947</t>
  </si>
  <si>
    <t>[189,]  -6.82486314  -3.84678624</t>
  </si>
  <si>
    <t>[190,]  -7.31179237  -4.72568935</t>
  </si>
  <si>
    <t>[191,]  -9.07323314  -4.40165215</t>
  </si>
  <si>
    <t>[192,]  -8.67517063  -6.65073862</t>
  </si>
  <si>
    <t>[193,]  -8.41799173  -6.76632843</t>
  </si>
  <si>
    <t>[194,]  -9.61573990  -6.91353915</t>
  </si>
  <si>
    <t>[195,]  -8.95191463  -6.94810094</t>
  </si>
  <si>
    <t>[196,]  -8.43020845  -9.28152358</t>
  </si>
  <si>
    <t>[197,]  -8.31974859  -9.46003965</t>
  </si>
  <si>
    <t>[198,]  -8.06311109 -10.65848026</t>
  </si>
  <si>
    <t>[199,]  -8.23671531 -10.04924870</t>
  </si>
  <si>
    <t>[200,]  -8.78265909 -10.37290572</t>
  </si>
  <si>
    <t>[201,]  -7.92764197 -11.58438693</t>
  </si>
  <si>
    <t>[202,]  -7.14868044 -12.00746653</t>
  </si>
  <si>
    <t>[203,]  -7.34932104 -11.26334994</t>
  </si>
  <si>
    <t>[204,]  -5.64175214 -10.67075022</t>
  </si>
  <si>
    <t>[205,]  -7.98169505 -11.34786334</t>
  </si>
  <si>
    <t>[206,]  -7.89611106 -12.33521502</t>
  </si>
  <si>
    <t>[207,] -10.22841457 -12.68587231</t>
  </si>
  <si>
    <t>[208,]  -9.60220065 -12.50293726</t>
  </si>
  <si>
    <t>[209,] -11.44601144 -11.37871709</t>
  </si>
  <si>
    <t>[210,] -10.58674299  -9.72175524</t>
  </si>
  <si>
    <t>[211,] -11.18730625 -10.22394165</t>
  </si>
  <si>
    <t>[212,] -11.12973281  -9.60887276</t>
  </si>
  <si>
    <t>[213,]  -9.05705078  -8.97112686</t>
  </si>
  <si>
    <t>[214,] -10.13010289  -9.79031042</t>
  </si>
  <si>
    <t>[215,]  -9.53226372  -8.73535648</t>
  </si>
  <si>
    <t>[216,] -10.36441570 -10.53225812</t>
  </si>
  <si>
    <t>[217,] -10.53916252 -11.13492890</t>
  </si>
  <si>
    <t>[218,] -10.15005949 -10.79006340</t>
  </si>
  <si>
    <t>[219,]  -8.83923580 -10.03510007</t>
  </si>
  <si>
    <t>[220,]  -6.75866247  -8.84328347</t>
  </si>
  <si>
    <t>[221,]  -7.76847435 -10.08137791</t>
  </si>
  <si>
    <t>[222,]  -7.03443429 -10.01284680</t>
  </si>
  <si>
    <t>[223,]  -5.65232351  -9.22231503</t>
  </si>
  <si>
    <t>[224,]  -6.15444207  -9.21601299</t>
  </si>
  <si>
    <t>[225,]  -6.96933759  -6.88235489</t>
  </si>
  <si>
    <t>[226,]  -5.56538349  -7.49716444</t>
  </si>
  <si>
    <t>[227,]  -6.57633580  -7.43568135</t>
  </si>
  <si>
    <t>[228,]  -6.95286552  -9.61749805</t>
  </si>
  <si>
    <t>[229,]  -7.28209279 -10.00137628</t>
  </si>
  <si>
    <t>[230,]  -7.96533487 -10.88101830</t>
  </si>
  <si>
    <t>[231,]  -8.66888753 -10.69491233</t>
  </si>
  <si>
    <t>[232,]  -8.05172711 -10.66373591</t>
  </si>
  <si>
    <t>[233,]  -7.65705266 -10.73042337</t>
  </si>
  <si>
    <t>[234,]  -6.65543585  -9.28728456</t>
  </si>
  <si>
    <t>[235,]  -5.73060192  -7.73691689</t>
  </si>
  <si>
    <t>[236,]  -6.61611462  -7.43351873</t>
  </si>
  <si>
    <t>[237,]  -5.90718750  -7.34525390</t>
  </si>
  <si>
    <t>[238,]  -5.92381139  -7.27457300</t>
  </si>
  <si>
    <t>[239,]  -7.64386391  -7.38885670</t>
  </si>
  <si>
    <t>[240,]  -6.81327605  -6.53627182</t>
  </si>
  <si>
    <t>[241,]  -7.43799282  -6.13950973</t>
  </si>
  <si>
    <t>[242,]  -6.12776978  -5.55809260</t>
  </si>
  <si>
    <t>[243,]  -4.90555577  -5.07344963</t>
  </si>
  <si>
    <t>[244,]  -4.84792621  -5.00681910</t>
  </si>
  <si>
    <t>[245,]  -6.58155092  -4.55102016</t>
  </si>
  <si>
    <t>[246,]  -5.93141746  -5.39212015</t>
  </si>
  <si>
    <t>[247,]  -5.80550025  -4.97454971</t>
  </si>
  <si>
    <t>[248,]  -4.83353932  -5.25126947</t>
  </si>
  <si>
    <t>[249,]  -3.04828289  -5.91120052</t>
  </si>
  <si>
    <t>[250,]  -2.87991902  -6.27162359</t>
  </si>
  <si>
    <t>[251,]  -3.60449160  -5.68558046</t>
  </si>
  <si>
    <t>[252,]  -4.45996901  -4.97951783</t>
  </si>
  <si>
    <t>[253,]  -5.78340088  -4.43782495</t>
  </si>
  <si>
    <t>[254,]  -4.39025044  -5.93996467</t>
  </si>
  <si>
    <t>[255,]  -4.38643042  -5.60273427</t>
  </si>
  <si>
    <t>[256,]  -4.60196506  -5.94722764</t>
  </si>
  <si>
    <t>[257,]  -2.81296812  -4.13420588</t>
  </si>
  <si>
    <t>[258,]  -3.85408147  -4.70745495</t>
  </si>
  <si>
    <t>[259,]  -3.94831462  -3.95634304</t>
  </si>
  <si>
    <t>[260,]  -4.25097816  -4.95574468</t>
  </si>
  <si>
    <t>[261,]  -4.60404414  -4.57488152</t>
  </si>
  <si>
    <t>[262,]  -4.56116177  -3.86488437</t>
  </si>
  <si>
    <t>[263,]  -5.35704227  -4.90959492</t>
  </si>
  <si>
    <t>[264,]  -4.45850481  -5.03464214</t>
  </si>
  <si>
    <t>[265,]  -3.23194194  -3.64405830</t>
  </si>
  <si>
    <t>[266,]  -2.37422954  -2.81736771</t>
  </si>
  <si>
    <t>[267,]  -2.31151392  -2.58070074</t>
  </si>
  <si>
    <t>[268,]  -3.33643081  -2.40202961</t>
  </si>
  <si>
    <t>[269,]  -4.36624427  -1.13372888</t>
  </si>
  <si>
    <t>[270,]  -5.24936993  -2.47394408</t>
  </si>
  <si>
    <t>[271,]  -7.52023609  -2.45419187</t>
  </si>
  <si>
    <t>[272,]  -9.24277840  -4.33044950</t>
  </si>
  <si>
    <t>[273,]  -8.71200100  -4.37014043</t>
  </si>
  <si>
    <t>[274,]  -9.28981051  -3.18234564</t>
  </si>
  <si>
    <t>[275,]  -7.86420751  -2.95456849</t>
  </si>
  <si>
    <t>[276,]  -8.04674487  -4.51078803</t>
  </si>
  <si>
    <t>[277,]  -8.43646453  -4.21610187</t>
  </si>
  <si>
    <t>[278,]  -8.17774375  -2.68803771</t>
  </si>
  <si>
    <t>[279,]  -8.00400294  -2.65218108</t>
  </si>
  <si>
    <t>[280,]  -8.95705240  -4.77562599</t>
  </si>
  <si>
    <t>[281,] -10.77015654  -6.96984857</t>
  </si>
  <si>
    <t>[282,] -10.55929230  -5.87813485</t>
  </si>
  <si>
    <t>[283,] -10.67990578  -6.75733053</t>
  </si>
  <si>
    <t>[284,] -11.03849116  -7.56068152</t>
  </si>
  <si>
    <t>[285,] -12.32708767  -6.82893642</t>
  </si>
  <si>
    <t>[286,] -11.74487626  -6.72486438</t>
  </si>
  <si>
    <t>[287,] -12.35943798  -8.05669487</t>
  </si>
  <si>
    <t>[288,] -13.75370239  -7.58961420</t>
  </si>
  <si>
    <t>[289,] -14.37554643  -6.59142684</t>
  </si>
  <si>
    <t>[290,] -14.97977834  -4.82514851</t>
  </si>
  <si>
    <t>[291,] -15.09387791  -5.58805280</t>
  </si>
  <si>
    <t>[292,] -15.43844200  -5.41188099</t>
  </si>
  <si>
    <t>[293,] -13.58310913  -5.08739273</t>
  </si>
  <si>
    <t>[294,] -14.69686190  -5.02271379</t>
  </si>
  <si>
    <t>[295,] -15.22764889  -4.63762685</t>
  </si>
  <si>
    <t>[296,] -14.84166183  -5.31857379</t>
  </si>
  <si>
    <t>[297,] -15.63036294  -5.36181487</t>
  </si>
  <si>
    <t>[298,] -14.17619117  -5.95041284</t>
  </si>
  <si>
    <t>[299,] -14.16403009  -4.42693789</t>
  </si>
  <si>
    <t>[300,] -13.15901411  -5.09263972</t>
  </si>
  <si>
    <t>[301,] -12.37612152  -5.07146842</t>
  </si>
  <si>
    <t>[302,] -12.40367806  -4.45877646</t>
  </si>
  <si>
    <t>[303,] -12.28871224  -6.03239505</t>
  </si>
  <si>
    <t>[304,] -13.78001758  -4.63515241</t>
  </si>
  <si>
    <t>[305,] -14.07532365  -5.10674757</t>
  </si>
  <si>
    <t>[306,] -14.90938540  -3.72933334</t>
  </si>
  <si>
    <t>[307,] -14.56149748  -4.30584838</t>
  </si>
  <si>
    <t>[308,] -15.42415016  -4.43223194</t>
  </si>
  <si>
    <t>[309,] -15.06295835  -4.00661882</t>
  </si>
  <si>
    <t>[310,] -15.47881780  -4.84831357</t>
  </si>
  <si>
    <t>[311,] -15.35620763  -6.00398672</t>
  </si>
  <si>
    <t>[312,] -14.34920583  -5.77348244</t>
  </si>
  <si>
    <t>[313,] -14.94248212  -6.13168021</t>
  </si>
  <si>
    <t>[314,] -12.37902690  -8.48271507</t>
  </si>
  <si>
    <t>[315,] -12.97693840  -8.76617111</t>
  </si>
  <si>
    <t>[316,] -13.71448162  -9.06656341</t>
  </si>
  <si>
    <t>[317,] -15.04880717  -9.13871479</t>
  </si>
  <si>
    <t>[318,] -14.19050534  -9.30985935</t>
  </si>
  <si>
    <t>[319,] -14.02787955  -7.28113075</t>
  </si>
  <si>
    <t>[320,] -13.33653614  -6.50977762</t>
  </si>
  <si>
    <t>[321,] -12.42749986  -5.39597192</t>
  </si>
  <si>
    <t>[322,] -10.88676076  -3.45444843</t>
  </si>
  <si>
    <t>[323,]  -9.19211333  -3.38124212</t>
  </si>
  <si>
    <t>[324,] -10.12378380  -3.99690348</t>
  </si>
  <si>
    <t>[325,] -11.64161298  -5.35511047</t>
  </si>
  <si>
    <t>[326,] -13.33560859  -4.66187969</t>
  </si>
  <si>
    <t>[327,] -14.27333535  -4.28825930</t>
  </si>
  <si>
    <t>[328,] -15.18926697  -4.71966220</t>
  </si>
  <si>
    <t>[329,] -17.78924335  -5.37183079</t>
  </si>
  <si>
    <t>[330,] -16.78232276  -6.60551076</t>
  </si>
  <si>
    <t>[331,] -16.80434970  -5.12038174</t>
  </si>
  <si>
    <t>[332,] -18.69166756  -5.24042241</t>
  </si>
  <si>
    <t>[333,] -19.50090052  -3.84614249</t>
  </si>
  <si>
    <t>[334,] -18.18833322  -5.79608334</t>
  </si>
  <si>
    <t>[335,] -18.77410675  -7.20464793</t>
  </si>
  <si>
    <t>[336,] -18.41636835  -7.14805547</t>
  </si>
  <si>
    <t>[337,] -18.94685275  -7.24770206</t>
  </si>
  <si>
    <t>[338,] -20.43070685  -7.72862677</t>
  </si>
  <si>
    <t>[339,] -19.98282423  -8.39279379</t>
  </si>
  <si>
    <t>[340,] -19.52273198  -8.20527144</t>
  </si>
  <si>
    <t>[341,] -20.46441293  -8.64014492</t>
  </si>
  <si>
    <t>[342,] -19.30469419  -7.18152357</t>
  </si>
  <si>
    <t>[343,] -18.29280139  -6.50734701</t>
  </si>
  <si>
    <t>[344,] -18.23634316  -6.10687778</t>
  </si>
  <si>
    <t>[345,] -18.39283987  -7.49631213</t>
  </si>
  <si>
    <t>[346,] -18.27375793  -9.13392062</t>
  </si>
  <si>
    <t>[347,] -19.30118931  -8.94856820</t>
  </si>
  <si>
    <t>[348,] -18.97238289  -7.98206897</t>
  </si>
  <si>
    <t>[349,] -19.14967169  -8.29113576</t>
  </si>
  <si>
    <t>[350,] -19.34538716  -9.31153032</t>
  </si>
  <si>
    <t>[351,] -17.25229869  -9.86086377</t>
  </si>
  <si>
    <t>[352,] -17.38262452  -9.96676042</t>
  </si>
  <si>
    <t>[353,] -18.84179676 -10.48519315</t>
  </si>
  <si>
    <t>[354,] -18.69849176  -9.47092159</t>
  </si>
  <si>
    <t>[355,] -17.51773749  -9.36824987</t>
  </si>
  <si>
    <t>[356,] -17.77166471  -7.58262482</t>
  </si>
  <si>
    <t>[357,] -18.32035567  -8.68603008</t>
  </si>
  <si>
    <t>[358,] -19.01402086  -7.88058139</t>
  </si>
  <si>
    <t>[359,] -18.99781493  -7.25731519</t>
  </si>
  <si>
    <t>[360,] -18.57552172  -8.72906087</t>
  </si>
  <si>
    <t>[361,] -17.68922856  -8.12117992</t>
  </si>
  <si>
    <t>[362,] -18.00853728  -8.90245233</t>
  </si>
  <si>
    <t>[363,] -20.19521034  -7.96137828</t>
  </si>
  <si>
    <t>[364,] -19.71837105  -8.63959441</t>
  </si>
  <si>
    <t>[365,] -19.69655050  -8.80194810</t>
  </si>
  <si>
    <t>[366,] -19.26220631  -7.43489658</t>
  </si>
  <si>
    <t xml:space="preserve"> [47,]</t>
  </si>
  <si>
    <t xml:space="preserve"> [48,]</t>
  </si>
  <si>
    <t xml:space="preserve"> [49,]</t>
  </si>
  <si>
    <t xml:space="preserve"> [50,]</t>
  </si>
  <si>
    <t xml:space="preserve"> [51,]</t>
  </si>
  <si>
    <t xml:space="preserve"> [52,]</t>
  </si>
  <si>
    <t xml:space="preserve"> [53,]</t>
  </si>
  <si>
    <t xml:space="preserve"> [54,]</t>
  </si>
  <si>
    <t xml:space="preserve"> [55,]</t>
  </si>
  <si>
    <t xml:space="preserve"> [56,]</t>
  </si>
  <si>
    <t xml:space="preserve"> [57,]</t>
  </si>
  <si>
    <t xml:space="preserve"> [58,]</t>
  </si>
  <si>
    <t xml:space="preserve"> [59,]</t>
  </si>
  <si>
    <t xml:space="preserve"> [60,]</t>
  </si>
  <si>
    <t xml:space="preserve"> [61,]</t>
  </si>
  <si>
    <t xml:space="preserve"> [62,]</t>
  </si>
  <si>
    <t xml:space="preserve"> [63,]</t>
  </si>
  <si>
    <t xml:space="preserve"> [64,]</t>
  </si>
  <si>
    <t xml:space="preserve"> [65,]</t>
  </si>
  <si>
    <t xml:space="preserve"> [66,]</t>
  </si>
  <si>
    <t xml:space="preserve"> [67,]</t>
  </si>
  <si>
    <t xml:space="preserve"> [68,]</t>
  </si>
  <si>
    <t xml:space="preserve"> [69,]</t>
  </si>
  <si>
    <t xml:space="preserve"> [70,]</t>
  </si>
  <si>
    <t xml:space="preserve"> [71,]</t>
  </si>
  <si>
    <t xml:space="preserve"> [72,]</t>
  </si>
  <si>
    <t xml:space="preserve"> [73,]</t>
  </si>
  <si>
    <t xml:space="preserve"> [74,]</t>
  </si>
  <si>
    <t xml:space="preserve"> [75,]</t>
  </si>
  <si>
    <t xml:space="preserve"> [76,]</t>
  </si>
  <si>
    <t xml:space="preserve"> [77,]</t>
  </si>
  <si>
    <t xml:space="preserve"> [78,]</t>
  </si>
  <si>
    <t xml:space="preserve"> [79,]</t>
  </si>
  <si>
    <t xml:space="preserve"> [80,]</t>
  </si>
  <si>
    <t xml:space="preserve"> [81,]</t>
  </si>
  <si>
    <t xml:space="preserve"> [82,]</t>
  </si>
  <si>
    <t xml:space="preserve"> [83,]</t>
  </si>
  <si>
    <t xml:space="preserve"> [84,]</t>
  </si>
  <si>
    <t xml:space="preserve"> [85,]</t>
  </si>
  <si>
    <t xml:space="preserve"> [86,]</t>
  </si>
  <si>
    <t xml:space="preserve"> [87,]</t>
  </si>
  <si>
    <t xml:space="preserve"> [88,]</t>
  </si>
  <si>
    <t xml:space="preserve"> [89,]</t>
  </si>
  <si>
    <t xml:space="preserve"> [90,]</t>
  </si>
  <si>
    <t xml:space="preserve"> [91,]</t>
  </si>
  <si>
    <t xml:space="preserve"> [92,]</t>
  </si>
  <si>
    <t xml:space="preserve"> [93,]</t>
  </si>
  <si>
    <t xml:space="preserve"> [94,]</t>
  </si>
  <si>
    <t xml:space="preserve"> [95,]</t>
  </si>
  <si>
    <t xml:space="preserve"> [96,]</t>
  </si>
  <si>
    <t xml:space="preserve"> [97,]</t>
  </si>
  <si>
    <t xml:space="preserve"> [98,]</t>
  </si>
  <si>
    <t xml:space="preserve"> [99,]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</si>
  <si>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</si>
  <si>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</si>
  <si>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</si>
  <si>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</si>
  <si>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</si>
  <si>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</si>
  <si>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</si>
  <si>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</si>
  <si>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</si>
  <si>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</si>
  <si>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</si>
  <si>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</si>
  <si>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</si>
  <si>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</si>
  <si>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</si>
  <si>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</si>
  <si>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</si>
  <si>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</si>
  <si>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</si>
  <si>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</si>
  <si>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</si>
  <si>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</si>
  <si>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</si>
  <si>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</si>
  <si>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</si>
  <si>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</si>
  <si>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</si>
  <si>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</si>
  <si>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</si>
  <si>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</si>
  <si>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</si>
  <si>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</si>
  <si>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</si>
  <si>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</si>
  <si>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</si>
  <si>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</si>
  <si>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</si>
  <si>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</si>
  <si>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</si>
  <si>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</si>
  <si>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</si>
  <si>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</si>
  <si>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</si>
  <si>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</si>
  <si>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</si>
  <si>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</si>
  <si>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</si>
  <si>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</si>
  <si>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</si>
  <si>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</si>
  <si>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</si>
  <si>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</si>
  <si>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</si>
  <si>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</si>
  <si>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</si>
  <si>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</si>
  <si>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</si>
  <si>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</si>
  <si>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</si>
  <si>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</si>
  <si>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</si>
  <si>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</si>
  <si>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</si>
  <si>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</si>
  <si>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</si>
  <si>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</si>
  <si>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</si>
  <si>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</si>
  <si>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</si>
  <si>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</si>
  <si>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</si>
  <si>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</si>
  <si>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</si>
  <si>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</si>
  <si>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</si>
  <si>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</si>
  <si>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</si>
  <si>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</si>
  <si>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</si>
  <si>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</si>
  <si>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</si>
  <si>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</si>
  <si>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</si>
  <si>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</si>
  <si>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</si>
  <si>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</si>
  <si>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</si>
  <si>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</si>
  <si>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</si>
  <si>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</si>
  <si>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</si>
  <si>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</si>
  <si>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</si>
  <si>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</si>
  <si>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</si>
  <si>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</si>
  <si>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</si>
  <si>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</si>
  <si>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</si>
  <si>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</si>
  <si>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</si>
  <si>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</si>
  <si>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</si>
  <si>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</si>
  <si>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</si>
  <si>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</si>
  <si>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</si>
  <si>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</si>
  <si>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</si>
  <si>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</si>
  <si>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</si>
  <si>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</si>
  <si>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</si>
  <si>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</si>
  <si>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</si>
  <si>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</si>
  <si>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</si>
  <si>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</si>
  <si>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</si>
  <si>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</si>
  <si>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</si>
  <si>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</si>
  <si>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</si>
  <si>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</si>
  <si>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</si>
  <si>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</si>
  <si>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</si>
  <si>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</si>
  <si>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</si>
  <si>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</si>
  <si>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</si>
  <si>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</si>
  <si>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</si>
  <si>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</si>
  <si>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</si>
  <si>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</si>
  <si>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</si>
  <si>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</si>
  <si>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</si>
  <si>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</si>
  <si>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</si>
  <si>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</si>
  <si>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</si>
  <si>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</si>
  <si>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</si>
  <si>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</si>
  <si>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</si>
  <si>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</si>
  <si>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</si>
  <si>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</si>
  <si>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</si>
  <si>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</si>
  <si>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</si>
  <si>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</si>
  <si>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</si>
  <si>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</si>
  <si>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</si>
  <si>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</si>
  <si>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</si>
  <si>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</si>
  <si>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</si>
  <si>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</si>
  <si>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</si>
  <si>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</si>
  <si>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</si>
  <si>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</si>
  <si>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</si>
  <si>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</si>
  <si>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</si>
  <si>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</si>
  <si>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</si>
  <si>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</si>
  <si>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</si>
  <si>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</si>
  <si>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</si>
  <si>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</si>
  <si>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</si>
  <si>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</si>
  <si>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</si>
  <si>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</si>
  <si>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</si>
  <si>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</si>
  <si>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</si>
  <si>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</si>
  <si>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</si>
  <si>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</si>
  <si>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</si>
  <si>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</si>
  <si>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</si>
  <si>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</si>
  <si>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</si>
  <si>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</si>
  <si>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</si>
  <si>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</si>
  <si>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</si>
  <si>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</si>
  <si>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</si>
  <si>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</si>
  <si>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</si>
  <si>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</si>
  <si>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</si>
  <si>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</si>
  <si>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</si>
  <si>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</si>
  <si>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</si>
  <si>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</si>
  <si>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</si>
  <si>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</si>
  <si>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</si>
  <si>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</si>
  <si>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</si>
  <si>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</si>
  <si>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</si>
  <si>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</si>
  <si>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</si>
  <si>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</si>
  <si>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</si>
  <si>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</si>
  <si>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</si>
  <si>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</si>
  <si>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</si>
  <si>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</si>
  <si>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</si>
  <si>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</si>
  <si>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</si>
  <si>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</si>
  <si>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</si>
  <si>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</si>
  <si>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</si>
  <si>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</si>
  <si>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</si>
  <si>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</si>
  <si>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</si>
  <si>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</si>
  <si>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</si>
  <si>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</si>
  <si>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</si>
  <si>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</si>
  <si>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</si>
  <si>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</si>
  <si>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</si>
  <si>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</si>
  <si>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</si>
  <si>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[343,]</t>
  </si>
  <si>
    <t>[344,]</t>
  </si>
  <si>
    <t>[345,]</t>
  </si>
  <si>
    <t>[346,]</t>
  </si>
  <si>
    <t>[347,]</t>
  </si>
  <si>
    <t>[348,]</t>
  </si>
  <si>
    <t>[349,]</t>
  </si>
  <si>
    <t>[350,]</t>
  </si>
  <si>
    <t>[351,]</t>
  </si>
  <si>
    <t>[352,]</t>
  </si>
  <si>
    <t>[353,]</t>
  </si>
  <si>
    <t>[354,]</t>
  </si>
  <si>
    <t>[355,]</t>
  </si>
  <si>
    <t>[356,]</t>
  </si>
  <si>
    <t>[357,]</t>
  </si>
  <si>
    <t>[358,]</t>
  </si>
  <si>
    <t>[359,]</t>
  </si>
  <si>
    <t>[360,]</t>
  </si>
  <si>
    <t>[361,]</t>
  </si>
  <si>
    <t>[362,]</t>
  </si>
  <si>
    <t>[363,]</t>
  </si>
  <si>
    <t>[364,]</t>
  </si>
  <si>
    <t>[365,]</t>
  </si>
  <si>
    <t>[366,]</t>
  </si>
  <si>
    <t xml:space="preserve"> [40,]</t>
  </si>
  <si>
    <t xml:space="preserve"> [41,]</t>
  </si>
  <si>
    <t xml:space="preserve"> [42,]</t>
  </si>
  <si>
    <t xml:space="preserve"> [43,]</t>
  </si>
  <si>
    <t xml:space="preserve"> [44,]</t>
  </si>
  <si>
    <t xml:space="preserve"> [45,]</t>
  </si>
  <si>
    <t xml:space="preserve"> [46,]</t>
  </si>
  <si>
    <t>Abs Dev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</si>
</sst>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2" x14ac:knownFonts="1">
    <font>
      <sz val="11"/>
      <color theme="1"/>
      <name val="Calibri"/>
      <family val="2"/>
      <scheme val="minor"/>
    </font>
    <font>
      <sz val="12"/>
      <name val="Arial"/>
      <family val="2"/>
    </font>
    <font>
      <sz val="12"/>
      <color rgb="FF363434"/>
      <name val="Arial"/>
      <family val="2"/>
    </font>
    <font>
      <sz val="16"/>
      <color rgb="FF363434"/>
      <name val="Times New Roman"/>
      <family val="1"/>
    </font>
    <font>
      <vertAlign val="subscript"/>
      <sz val="10"/>
      <color rgb="FF363434"/>
      <name val="Times New Roman"/>
      <family val="1"/>
    </font>
    <font>
      <vertAlign val="subscript"/>
      <sz val="10"/>
      <color rgb="FF696767"/>
      <name val="Times New Roman"/>
      <family val="1"/>
    </font>
    <font>
      <vertAlign val="subscript"/>
      <sz val="14"/>
      <color rgb="FF363434"/>
      <name val="Times New Roman"/>
      <family val="1"/>
    </font>
    <font>
      <vertAlign val="superscript"/>
      <sz val="26"/>
      <color rgb="FF363434"/>
      <name val="Times New Roman"/>
      <family val="1"/>
    </font>
    <font>
      <b/>
      <sz val="10"/>
      <color rgb="FF363434"/>
      <name val="Arial"/>
      <family val="2"/>
    </font>
    <font>
      <b/>
      <sz val="10"/>
      <color rgb="FF363434"/>
      <name val="Times New Roman"/>
      <family val="1"/>
    </font>
    <font>
      <sz val="10"/>
      <color rgb="FF696767"/>
      <name val="Arial"/>
      <family val="2"/>
    </font>
    <font>
      <sz val="10"/>
      <color rgb="FF696767"/>
      <name val="Times New Roman"/>
      <family val="1"/>
    </font>
    <font>
      <sz val="10"/>
      <color rgb="FF363434"/>
      <name val="Times New Roman"/>
      <family val="1"/>
    </font>
    <font>
      <sz val="10"/>
      <color rgb="FF363434"/>
      <name val="Arial"/>
      <family val="2"/>
    </font>
    <font>
      <sz val="11"/>
      <color rgb="FF363434"/>
      <name val="Times New Roman"/>
      <family val="1"/>
    </font>
    <font>
      <sz val="20"/>
      <color rgb="FF363434"/>
      <name val="Times New Roman"/>
      <family val="1"/>
    </font>
    <font>
      <sz val="20"/>
      <color rgb="FF363434"/>
      <name val="Arial"/>
      <family val="2"/>
    </font>
    <font>
      <b/>
      <sz val="11"/>
      <color rgb="FF363434"/>
      <name val="Arial"/>
      <family val="2"/>
    </font>
    <font>
      <sz val="42"/>
      <color rgb="FF363434"/>
      <name val="Arial"/>
      <family val="2"/>
    </font>
    <font>
      <sz val="34"/>
      <color rgb="FF363434"/>
      <name val="Times New Roman"/>
      <family val="1"/>
    </font>
    <font>
      <sz val="13"/>
      <color rgb="FF363434"/>
      <name val="Arial"/>
      <family val="2"/>
    </font>
    <font>
      <sz val="13"/>
      <color rgb="FF363434"/>
      <name val="Times New Roman"/>
      <family val="1"/>
    </font>
    <font>
      <sz val="14"/>
      <color rgb="FF363434"/>
      <name val="Times New Roman"/>
      <family val="1"/>
    </font>
    <font>
      <sz val="14"/>
      <color rgb="FF696767"/>
      <name val="Times New Roman"/>
      <family val="1"/>
    </font>
    <font>
      <u/>
      <sz val="12"/>
      <color rgb="FF363434"/>
      <name val="Arial"/>
      <family val="2"/>
    </font>
    <font>
      <b/>
      <u/>
      <sz val="11"/>
      <color rgb="FF363434"/>
      <name val="Arial"/>
      <family val="2"/>
    </font>
    <font>
      <sz val="9"/>
      <name val="Arial"/>
      <family val="2"/>
    </font>
    <font>
      <sz val="9"/>
      <color rgb="FF363434"/>
      <name val="Arial"/>
      <family val="2"/>
    </font>
    <font>
      <sz val="12"/>
      <name val="Times New Roman"/>
      <family val="1"/>
    </font>
    <font>
      <sz val="12"/>
      <color rgb="FF363434"/>
      <name val="Times New Roman"/>
      <family val="1"/>
    </font>
    <font>
      <u/>
      <sz val="13"/>
      <color rgb="FF363434"/>
      <name val="Arial"/>
      <family val="2"/>
    </font>
    <font>
      <sz val="15"/>
      <color rgb="FF363434"/>
      <name val="Arial"/>
      <family val="2"/>
    </font>
    <font>
      <sz val="11"/>
      <color rgb="FF363434"/>
      <name val="Arial"/>
      <family val="2"/>
    </font>
    <font>
      <sz val="11"/>
      <name val="Arial"/>
      <family val="2"/>
    </font>
    <font>
      <sz val="11"/>
      <color rgb="FF825D54"/>
      <name val="Arial"/>
      <family val="2"/>
    </font>
    <font>
      <sz val="11"/>
      <color rgb="FFF49C82"/>
      <name val="Arial"/>
      <family val="2"/>
    </font>
    <font>
      <sz val="11"/>
      <color rgb="FF604B46"/>
      <name val="Arial"/>
      <family val="2"/>
    </font>
    <font>
      <vertAlign val="superscript"/>
      <sz val="7"/>
      <color rgb="FFF49C82"/>
      <name val="Arial"/>
      <family val="2"/>
    </font>
    <font>
      <i/>
      <sz val="14"/>
      <color rgb="FF363434"/>
      <name val="Arial"/>
      <family val="2"/>
    </font>
    <font>
      <i/>
      <sz val="14"/>
      <color rgb="FF604B46"/>
      <name val="Arial"/>
      <family val="2"/>
    </font>
    <font>
      <sz val="7"/>
      <color rgb="FFA16E60"/>
      <name val="Arial"/>
      <family val="2"/>
    </font>
    <font>
      <sz val="7"/>
      <color rgb="FFA16E60"/>
      <name val="Times New Roman"/>
      <family val="1"/>
    </font>
    <font>
      <sz val="7"/>
      <color rgb="FF825D54"/>
      <name val="Times New Roman"/>
      <family val="1"/>
    </font>
    <font>
      <sz val="7"/>
      <color rgb="FFF49C82"/>
      <name val="Times New Roman"/>
      <family val="1"/>
    </font>
    <font>
      <sz val="9"/>
      <color rgb="FF504F4F"/>
      <name val="Arial"/>
      <family val="2"/>
    </font>
    <font>
      <sz val="10"/>
      <name val="Arial"/>
      <family val="2"/>
    </font>
    <font>
      <sz val="10"/>
      <color rgb="FF504F4F"/>
      <name val="Arial"/>
      <family val="2"/>
    </font>
    <font>
      <u/>
      <sz val="10"/>
      <color rgb="FF363434"/>
      <name val="Arial"/>
      <family val="2"/>
    </font>
    <font>
      <u/>
      <sz val="9"/>
      <color rgb="FF363434"/>
      <name val="Arial"/>
      <family val="2"/>
    </font>
    <font>
      <u/>
      <sz val="11"/>
      <color rgb="FF363434"/>
      <name val="Arial"/>
      <family val="2"/>
    </font>
    <font>
      <sz val="9"/>
      <color rgb="FF4D4B4B"/>
      <name val="Arial"/>
      <family val="2"/>
    </font>
    <font>
      <b/>
      <u/>
      <sz val="12"/>
      <name val="Arial"/>
      <family val="2"/>
    </font>
    <font>
      <b/>
      <u/>
      <sz val="12"/>
      <color rgb="FF363434"/>
      <name val="Arial"/>
      <family val="2"/>
    </font>
    <font>
      <u/>
      <sz val="15"/>
      <name val="Times New Roman"/>
      <family val="1"/>
    </font>
    <font>
      <sz val="15"/>
      <color rgb="FF363434"/>
      <name val="Times New Roman"/>
      <family val="1"/>
    </font>
    <font>
      <u/>
      <sz val="15"/>
      <color rgb="FF363434"/>
      <name val="Times New Roman"/>
      <family val="1"/>
    </font>
    <font>
      <sz val="6"/>
      <color rgb="FFF6A389"/>
      <name val="Times New Roman"/>
      <family val="1"/>
    </font>
    <font>
      <sz val="6"/>
      <color rgb="FFF6A389"/>
      <name val="Arial"/>
      <family val="2"/>
    </font>
    <font>
      <sz val="5"/>
      <color rgb="FFF9BCAA"/>
      <name val="Arial"/>
      <family val="2"/>
    </font>
    <font>
      <sz val="5"/>
      <color rgb="FFF6A389"/>
      <name val="Arial"/>
      <family val="2"/>
    </font>
    <font>
      <vertAlign val="superscript"/>
      <sz val="6"/>
      <color rgb="FFF6A389"/>
      <name val="Arial"/>
      <family val="2"/>
    </font>
    <font>
      <sz val="6"/>
      <color rgb="FFF9BCAA"/>
      <name val="Arial"/>
      <family val="2"/>
    </font>
    <font>
      <sz val="6"/>
      <color rgb="FF363434"/>
      <name val="Arial"/>
      <family val="2"/>
    </font>
    <font>
      <sz val="4"/>
      <color rgb="FFF9BCAA"/>
      <name val="Times New Roman"/>
      <family val="1"/>
    </font>
    <font>
      <sz val="4"/>
      <color rgb="FFF9BCAA"/>
      <name val="Arial"/>
      <family val="2"/>
    </font>
    <font>
      <sz val="4"/>
      <color rgb="FFF6A389"/>
      <name val="Arial"/>
      <family val="2"/>
    </font>
    <font>
      <sz val="6"/>
      <color rgb="FFF9BCAA"/>
      <name val="Times New Roman"/>
      <family val="1"/>
    </font>
    <font>
      <sz val="11"/>
      <name val="Courier New"/>
      <family val="3"/>
    </font>
    <font>
      <sz val="11"/>
      <color rgb="FF363434"/>
      <name val="Courier New"/>
      <family val="3"/>
    </font>
    <font>
      <sz val="5"/>
      <color rgb="FFF6A389"/>
      <name val="Times New Roman"/>
      <family val="1"/>
    </font>
    <font>
      <sz val="5"/>
      <color rgb="FFF9BCAA"/>
      <name val="Times New Roman"/>
      <family val="1"/>
    </font>
    <font>
      <sz val="4"/>
      <color rgb="FFF6A389"/>
      <name val="Times New Roman"/>
      <family val="1"/>
    </font>
    <font>
      <vertAlign val="superscript"/>
      <sz val="5"/>
      <color rgb="FF363434"/>
      <name val="Times New Roman"/>
      <family val="1"/>
    </font>
    <font>
      <sz val="10"/>
      <color rgb="FF363434"/>
      <name val="Times New Roman"/>
      <family val="1"/>
      <charset val="204"/>
    </font>
    <font>
      <sz val="7"/>
      <color rgb="FFF6A389"/>
      <name val="Arial"/>
      <family val="2"/>
    </font>
    <font>
      <vertAlign val="superscript"/>
      <sz val="3"/>
      <color rgb="FFF6A389"/>
      <name val="Arial"/>
      <family val="2"/>
    </font>
    <font>
      <sz val="6"/>
      <color rgb="FFF6A389"/>
      <name val="Courier New"/>
      <family val="3"/>
    </font>
    <font>
      <sz val="7"/>
      <color rgb="FFF9BCAA"/>
      <name val="Arial"/>
      <family val="2"/>
    </font>
    <font>
      <b/>
      <sz val="6"/>
      <color rgb="FFF9BCAA"/>
      <name val="Times New Roman"/>
      <family val="1"/>
    </font>
    <font>
      <b/>
      <sz val="6"/>
      <color rgb="FFF6A389"/>
      <name val="Arial"/>
      <family val="2"/>
    </font>
    <font>
      <b/>
      <sz val="6"/>
      <color rgb="FFF6A389"/>
      <name val="Times New Roman"/>
      <family val="1"/>
    </font>
    <font>
      <b/>
      <sz val="3"/>
      <color rgb="FFF6A389"/>
      <name val="Arial"/>
      <family val="2"/>
    </font>
    <font>
      <b/>
      <sz val="5"/>
      <color rgb="FFF6A389"/>
      <name val="Times New Roman"/>
      <family val="1"/>
    </font>
    <font>
      <b/>
      <sz val="5"/>
      <color rgb="FFF6A389"/>
      <name val="Arial"/>
      <family val="2"/>
    </font>
    <font>
      <sz val="10"/>
      <color rgb="FF363434"/>
      <name val="Times New Roman"/>
      <family val="2"/>
      <charset val="204"/>
    </font>
    <font>
      <sz val="11"/>
      <color rgb="FF363434"/>
      <name val="Calibri"/>
      <family val="2"/>
    </font>
    <font>
      <b/>
      <u/>
      <sz val="10"/>
      <color rgb="FF000000"/>
      <name val="Times New Roman"/>
      <family val="1"/>
    </font>
    <font>
      <sz val="11"/>
      <color theme="1"/>
      <name val="Calibri"/>
      <family val="2"/>
      <scheme val="minor"/>
    </font>
    <font>
      <sz val="10.5"/>
      <color rgb="FF363434"/>
      <name val="Calibri"/>
      <family val="2"/>
      <charset val="1"/>
      <scheme val="minor"/>
    </font>
    <font>
      <sz val="11"/>
      <color rgb="FF363434"/>
      <name val="Calibri"/>
      <family val="2"/>
      <charset val="1"/>
      <scheme val="minor"/>
    </font>
    <font>
      <sz val="11"/>
      <color theme="1"/>
      <name val="Calibri"/>
      <family val="2"/>
      <scheme val="minor"/>
    </font>
    <font>
      <sz val="10"/>
      <color rgb="FF000000"/>
      <name val="Lucida Console"/>
      <family val="3"/>
    </font>
  </fonts>
  <fills count="2">
    <fill>
      <patternFill patternType="none"/>
    </fill>
    <fill>
      <patternFill patternType="gray125"/>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38">
    <xf numFmtId="0" fontId="0" fillId="0" borderId="0" xfId="0"/>
    <xf numFmtId="0" fontId="0" fillId="0" borderId="0" xfId="0" applyFill="1" applyBorder="1" applyAlignment="1">
      <alignment horizontal="left" vertical="top"/>
    </xf>
    <xf numFmtId="0" fontId="1" fillId="0" borderId="0" xfId="0" applyFont="1" applyFill="1" applyBorder="1" applyAlignment="1">
      <alignment horizontal="left" vertical="top"/>
    </xf>
    <xf numFmtId="0" fontId="1" fillId="0" borderId="0" xfId="0" applyFont="1" applyFill="1" applyBorder="1" applyAlignment="1">
      <alignment horizontal="left" vertical="top" indent="19"/>
    </xf>
    <xf numFmtId="0" fontId="26" fillId="0" borderId="0" xfId="0" applyFont="1" applyFill="1" applyBorder="1" applyAlignment="1">
      <alignment horizontal="left" vertical="top" indent="2"/>
    </xf>
    <xf numFmtId="0" fontId="26" fillId="0" borderId="0" xfId="0" applyFont="1" applyFill="1" applyBorder="1" applyAlignment="1">
      <alignment horizontal="left" vertical="top" indent="3"/>
    </xf>
    <xf numFmtId="0" fontId="26" fillId="0" borderId="0" xfId="0" applyFont="1" applyFill="1" applyBorder="1" applyAlignment="1">
      <alignment horizontal="left" vertical="top"/>
    </xf>
    <xf numFmtId="0" fontId="28" fillId="0" borderId="0" xfId="0" applyFont="1" applyFill="1" applyBorder="1" applyAlignment="1">
      <alignment horizontal="left" vertical="top"/>
    </xf>
    <xf numFmtId="0" fontId="33" fillId="0" borderId="0" xfId="0" applyFont="1" applyFill="1" applyBorder="1" applyAlignment="1">
      <alignment horizontal="left" vertical="top"/>
    </xf>
    <xf numFmtId="0" fontId="45" fillId="0" borderId="0" xfId="0" applyFont="1" applyFill="1" applyBorder="1" applyAlignment="1">
      <alignment horizontal="left" vertical="top"/>
    </xf>
    <xf numFmtId="0" fontId="51" fillId="0" borderId="0" xfId="0" applyFont="1" applyFill="1" applyBorder="1" applyAlignment="1">
      <alignment horizontal="left" vertical="top"/>
    </xf>
    <xf numFmtId="0" fontId="53" fillId="0" borderId="0" xfId="0" applyFont="1" applyFill="1" applyBorder="1" applyAlignment="1">
      <alignment horizontal="left" vertical="top"/>
    </xf>
    <xf numFmtId="0" fontId="0" fillId="0" borderId="0" xfId="0" applyFill="1" applyBorder="1" applyAlignment="1">
      <alignment horizontal="left" vertical="top" indent="1"/>
    </xf>
    <xf numFmtId="0" fontId="1" fillId="0" borderId="0" xfId="0" applyFont="1" applyFill="1" applyBorder="1" applyAlignment="1">
      <alignment horizontal="center" vertical="top"/>
    </xf>
    <xf numFmtId="0" fontId="0" fillId="0" borderId="0" xfId="0" applyFill="1" applyBorder="1" applyAlignment="1">
      <alignment horizontal="left" vertical="top" indent="4"/>
    </xf>
    <xf numFmtId="0" fontId="67" fillId="0" borderId="0" xfId="0" applyFont="1" applyFill="1" applyBorder="1" applyAlignment="1">
      <alignment horizontal="center" vertical="top"/>
    </xf>
    <xf numFmtId="0" fontId="0" fillId="0" borderId="0" xfId="0" applyFill="1" applyBorder="1" applyAlignment="1">
      <alignment horizontal="center" vertical="top"/>
    </xf>
    <xf numFmtId="0" fontId="73" fillId="0" borderId="0" xfId="0" applyFont="1" applyFill="1" applyBorder="1" applyAlignment="1">
      <alignment horizontal="left" vertical="top"/>
    </xf>
    <xf numFmtId="0" fontId="13" fillId="0" borderId="0" xfId="0" applyFont="1" applyFill="1" applyBorder="1" applyAlignment="1">
      <alignment horizontal="left" vertical="top"/>
    </xf>
    <xf numFmtId="0" fontId="32" fillId="0" borderId="0" xfId="0" applyFont="1" applyFill="1" applyBorder="1" applyAlignment="1">
      <alignment horizontal="left" vertical="top"/>
    </xf>
    <xf numFmtId="0" fontId="0" fillId="0" borderId="0" xfId="0" applyFill="1" applyBorder="1" applyAlignment="1">
      <alignment horizontal="left" vertical="top" indent="7"/>
    </xf>
    <xf numFmtId="0" fontId="84" fillId="0" borderId="0" xfId="0" applyFont="1" applyFill="1" applyBorder="1" applyAlignment="1">
      <alignment horizontal="left" vertical="top"/>
    </xf>
    <xf numFmtId="0" fontId="85" fillId="0" borderId="0" xfId="0" applyFont="1" applyFill="1" applyBorder="1" applyAlignment="1">
      <alignment horizontal="left" vertical="top"/>
    </xf>
    <xf numFmtId="0" fontId="86" fillId="0" borderId="1" xfId="0" applyFont="1" applyFill="1" applyBorder="1" applyAlignment="1">
      <alignment horizontal="left" vertical="top" wrapText="1"/>
    </xf>
    <xf numFmtId="0" fontId="87" fillId="0" borderId="0" xfId="0" applyFont="1" applyFill="1" applyBorder="1" applyAlignment="1">
      <alignment horizontal="left" vertical="top"/>
    </xf>
    <xf numFmtId="0" fontId="87" fillId="0" borderId="0" xfId="0" applyFont="1" applyAlignment="1">
      <alignment wrapText="1"/>
    </xf>
    <xf numFmtId="0" fontId="87" fillId="0" borderId="0" xfId="0" applyFont="1"/>
    <xf numFmtId="0" fontId="88" fillId="0" borderId="0" xfId="0" applyFont="1" applyAlignment="1">
      <alignment wrapText="1"/>
    </xf>
    <xf numFmtId="0" fontId="89" fillId="0" borderId="0" xfId="0" applyFont="1" applyAlignment="1">
      <alignment wrapText="1"/>
    </xf>
    <xf numFmtId="0" fontId="90" fillId="0" borderId="0" xfId="0" applyFont="1"/>
    <xf numFmtId="15" fontId="90" fillId="0" borderId="0" xfId="0" applyNumberFormat="1" applyFont="1"/>
    <xf numFmtId="15" fontId="87" fillId="0" borderId="0" xfId="0" applyNumberFormat="1" applyFont="1"/>
    <xf numFmtId="0" fontId="91" fillId="0" borderId="0" xfId="0" applyFont="1" applyAlignment="1">
      <alignment vertical="center"/>
    </xf>
    <xf numFmtId="0" fontId="0" fillId="0" borderId="0" xfId="0"/>
    <xf numFmtId="0" fontId="87" fillId="0" borderId="0" xfId="0" applyFont="1"/>
    <xf numFmtId="15" fontId="87" fillId="0" borderId="0" xfId="0" applyNumberFormat="1" applyFont="1"/>
    <xf numFmtId="0" fontId="91" fillId="0" borderId="0" xfId="0" applyFont="1" applyAlignment="1">
      <alignment vertical="center"/>
    </xf>
    <xf numFmtId="0" fontId="0"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Pricing</a:t>
            </a:r>
            <a:r>
              <a:rPr lang="en-US" baseline="0"/>
              <a:t> of GDAX Relative to BitStamp</a:t>
            </a:r>
            <a:br>
              <a:rPr lang="en-US" baseline="0"/>
            </a:br>
            <a:r>
              <a:rPr lang="en-US" sz="1100" i="1" baseline="0"/>
              <a:t>(deviation % from parity)</a:t>
            </a:r>
            <a:endParaRPr lang="en-US" i="1"/>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lineChart>
        <c:grouping val="stacked"/>
        <c:varyColors val="0"/>
        <c:ser>
          <c:idx val="0"/>
          <c:order val="0"/>
          <c:spPr>
            <a:ln w="31750" cap="rnd">
              <a:solidFill>
                <a:schemeClr val="accent1"/>
              </a:solidFill>
              <a:round/>
            </a:ln>
            <a:effectLst/>
          </c:spPr>
          <c:marker>
            <c:symbol val="none"/>
          </c:marker>
          <c:cat>
            <c:numRef>
              <c:f>Sheet2!$F$2:$F$356</c:f>
              <c:numCache>
                <c:formatCode>dd-mmm-yy</c:formatCode>
                <c:ptCount val="355"/>
                <c:pt idx="0">
                  <c:v>42659</c:v>
                </c:pt>
                <c:pt idx="1">
                  <c:v>42660</c:v>
                </c:pt>
                <c:pt idx="2">
                  <c:v>42661</c:v>
                </c:pt>
                <c:pt idx="3">
                  <c:v>42662</c:v>
                </c:pt>
                <c:pt idx="4">
                  <c:v>42663</c:v>
                </c:pt>
                <c:pt idx="5">
                  <c:v>42664</c:v>
                </c:pt>
                <c:pt idx="6">
                  <c:v>42665</c:v>
                </c:pt>
                <c:pt idx="7">
                  <c:v>42666</c:v>
                </c:pt>
                <c:pt idx="8">
                  <c:v>42667</c:v>
                </c:pt>
                <c:pt idx="9">
                  <c:v>42668</c:v>
                </c:pt>
                <c:pt idx="10">
                  <c:v>42669</c:v>
                </c:pt>
                <c:pt idx="11">
                  <c:v>42670</c:v>
                </c:pt>
                <c:pt idx="12">
                  <c:v>42671</c:v>
                </c:pt>
                <c:pt idx="13">
                  <c:v>42672</c:v>
                </c:pt>
                <c:pt idx="14">
                  <c:v>42673</c:v>
                </c:pt>
                <c:pt idx="15">
                  <c:v>42674</c:v>
                </c:pt>
                <c:pt idx="16">
                  <c:v>42675</c:v>
                </c:pt>
                <c:pt idx="17">
                  <c:v>42676</c:v>
                </c:pt>
                <c:pt idx="18">
                  <c:v>42677</c:v>
                </c:pt>
                <c:pt idx="19">
                  <c:v>42678</c:v>
                </c:pt>
                <c:pt idx="20">
                  <c:v>42679</c:v>
                </c:pt>
                <c:pt idx="21">
                  <c:v>42680</c:v>
                </c:pt>
                <c:pt idx="22">
                  <c:v>42681</c:v>
                </c:pt>
                <c:pt idx="23">
                  <c:v>42682</c:v>
                </c:pt>
                <c:pt idx="24">
                  <c:v>42683</c:v>
                </c:pt>
                <c:pt idx="25">
                  <c:v>42684</c:v>
                </c:pt>
                <c:pt idx="26">
                  <c:v>42685</c:v>
                </c:pt>
                <c:pt idx="27">
                  <c:v>42686</c:v>
                </c:pt>
                <c:pt idx="28">
                  <c:v>42687</c:v>
                </c:pt>
                <c:pt idx="29">
                  <c:v>42688</c:v>
                </c:pt>
                <c:pt idx="30">
                  <c:v>42689</c:v>
                </c:pt>
                <c:pt idx="31">
                  <c:v>42690</c:v>
                </c:pt>
                <c:pt idx="32">
                  <c:v>42691</c:v>
                </c:pt>
                <c:pt idx="33">
                  <c:v>42692</c:v>
                </c:pt>
                <c:pt idx="34">
                  <c:v>42693</c:v>
                </c:pt>
                <c:pt idx="35">
                  <c:v>42694</c:v>
                </c:pt>
                <c:pt idx="36">
                  <c:v>42695</c:v>
                </c:pt>
                <c:pt idx="37">
                  <c:v>42696</c:v>
                </c:pt>
                <c:pt idx="38">
                  <c:v>42697</c:v>
                </c:pt>
                <c:pt idx="39">
                  <c:v>42698</c:v>
                </c:pt>
                <c:pt idx="40">
                  <c:v>42699</c:v>
                </c:pt>
                <c:pt idx="41">
                  <c:v>42700</c:v>
                </c:pt>
                <c:pt idx="42">
                  <c:v>42701</c:v>
                </c:pt>
                <c:pt idx="43">
                  <c:v>42702</c:v>
                </c:pt>
                <c:pt idx="44">
                  <c:v>42703</c:v>
                </c:pt>
                <c:pt idx="45">
                  <c:v>42704</c:v>
                </c:pt>
                <c:pt idx="46">
                  <c:v>42705</c:v>
                </c:pt>
                <c:pt idx="47">
                  <c:v>42706</c:v>
                </c:pt>
                <c:pt idx="48">
                  <c:v>42707</c:v>
                </c:pt>
                <c:pt idx="49">
                  <c:v>42708</c:v>
                </c:pt>
                <c:pt idx="50">
                  <c:v>42709</c:v>
                </c:pt>
                <c:pt idx="51">
                  <c:v>42710</c:v>
                </c:pt>
                <c:pt idx="52">
                  <c:v>42711</c:v>
                </c:pt>
                <c:pt idx="53">
                  <c:v>42712</c:v>
                </c:pt>
                <c:pt idx="54">
                  <c:v>42713</c:v>
                </c:pt>
                <c:pt idx="55">
                  <c:v>42714</c:v>
                </c:pt>
                <c:pt idx="56">
                  <c:v>42715</c:v>
                </c:pt>
                <c:pt idx="57">
                  <c:v>42716</c:v>
                </c:pt>
                <c:pt idx="58">
                  <c:v>42717</c:v>
                </c:pt>
                <c:pt idx="59">
                  <c:v>42718</c:v>
                </c:pt>
                <c:pt idx="60">
                  <c:v>42719</c:v>
                </c:pt>
                <c:pt idx="61">
                  <c:v>42720</c:v>
                </c:pt>
                <c:pt idx="62">
                  <c:v>42721</c:v>
                </c:pt>
                <c:pt idx="63">
                  <c:v>42722</c:v>
                </c:pt>
                <c:pt idx="64">
                  <c:v>42723</c:v>
                </c:pt>
                <c:pt idx="65">
                  <c:v>42724</c:v>
                </c:pt>
                <c:pt idx="66">
                  <c:v>42725</c:v>
                </c:pt>
                <c:pt idx="67">
                  <c:v>42726</c:v>
                </c:pt>
                <c:pt idx="68">
                  <c:v>42727</c:v>
                </c:pt>
                <c:pt idx="69">
                  <c:v>42728</c:v>
                </c:pt>
                <c:pt idx="70">
                  <c:v>42729</c:v>
                </c:pt>
                <c:pt idx="71">
                  <c:v>42730</c:v>
                </c:pt>
                <c:pt idx="72">
                  <c:v>42731</c:v>
                </c:pt>
                <c:pt idx="73">
                  <c:v>42732</c:v>
                </c:pt>
                <c:pt idx="74">
                  <c:v>42733</c:v>
                </c:pt>
                <c:pt idx="75">
                  <c:v>42734</c:v>
                </c:pt>
                <c:pt idx="76">
                  <c:v>42735</c:v>
                </c:pt>
                <c:pt idx="77">
                  <c:v>42736</c:v>
                </c:pt>
                <c:pt idx="78">
                  <c:v>42737</c:v>
                </c:pt>
                <c:pt idx="79">
                  <c:v>42738</c:v>
                </c:pt>
                <c:pt idx="80">
                  <c:v>42739</c:v>
                </c:pt>
                <c:pt idx="81">
                  <c:v>42740</c:v>
                </c:pt>
                <c:pt idx="82">
                  <c:v>42741</c:v>
                </c:pt>
                <c:pt idx="83">
                  <c:v>42742</c:v>
                </c:pt>
                <c:pt idx="84">
                  <c:v>42743</c:v>
                </c:pt>
                <c:pt idx="85">
                  <c:v>42744</c:v>
                </c:pt>
                <c:pt idx="86">
                  <c:v>42745</c:v>
                </c:pt>
                <c:pt idx="87">
                  <c:v>42746</c:v>
                </c:pt>
                <c:pt idx="88">
                  <c:v>42747</c:v>
                </c:pt>
                <c:pt idx="89">
                  <c:v>42748</c:v>
                </c:pt>
                <c:pt idx="90">
                  <c:v>42749</c:v>
                </c:pt>
                <c:pt idx="91">
                  <c:v>42750</c:v>
                </c:pt>
                <c:pt idx="92">
                  <c:v>42751</c:v>
                </c:pt>
                <c:pt idx="93">
                  <c:v>42752</c:v>
                </c:pt>
                <c:pt idx="94">
                  <c:v>42753</c:v>
                </c:pt>
                <c:pt idx="95">
                  <c:v>42754</c:v>
                </c:pt>
                <c:pt idx="96">
                  <c:v>42755</c:v>
                </c:pt>
                <c:pt idx="97">
                  <c:v>42756</c:v>
                </c:pt>
                <c:pt idx="98">
                  <c:v>42757</c:v>
                </c:pt>
                <c:pt idx="99">
                  <c:v>42758</c:v>
                </c:pt>
                <c:pt idx="100">
                  <c:v>42759</c:v>
                </c:pt>
                <c:pt idx="101">
                  <c:v>42760</c:v>
                </c:pt>
                <c:pt idx="102">
                  <c:v>42761</c:v>
                </c:pt>
                <c:pt idx="103">
                  <c:v>42762</c:v>
                </c:pt>
                <c:pt idx="104">
                  <c:v>42763</c:v>
                </c:pt>
                <c:pt idx="105">
                  <c:v>42764</c:v>
                </c:pt>
                <c:pt idx="106">
                  <c:v>42765</c:v>
                </c:pt>
                <c:pt idx="107">
                  <c:v>42766</c:v>
                </c:pt>
                <c:pt idx="108">
                  <c:v>42767</c:v>
                </c:pt>
                <c:pt idx="109">
                  <c:v>42768</c:v>
                </c:pt>
                <c:pt idx="110">
                  <c:v>42769</c:v>
                </c:pt>
                <c:pt idx="111">
                  <c:v>42770</c:v>
                </c:pt>
                <c:pt idx="112">
                  <c:v>42771</c:v>
                </c:pt>
                <c:pt idx="113">
                  <c:v>42772</c:v>
                </c:pt>
                <c:pt idx="114">
                  <c:v>42773</c:v>
                </c:pt>
                <c:pt idx="115">
                  <c:v>42774</c:v>
                </c:pt>
                <c:pt idx="116">
                  <c:v>42775</c:v>
                </c:pt>
                <c:pt idx="117">
                  <c:v>42776</c:v>
                </c:pt>
                <c:pt idx="118">
                  <c:v>42777</c:v>
                </c:pt>
                <c:pt idx="119">
                  <c:v>42778</c:v>
                </c:pt>
                <c:pt idx="120">
                  <c:v>42779</c:v>
                </c:pt>
                <c:pt idx="121">
                  <c:v>42780</c:v>
                </c:pt>
                <c:pt idx="122">
                  <c:v>42781</c:v>
                </c:pt>
                <c:pt idx="123">
                  <c:v>42782</c:v>
                </c:pt>
                <c:pt idx="124">
                  <c:v>42783</c:v>
                </c:pt>
                <c:pt idx="125">
                  <c:v>42784</c:v>
                </c:pt>
                <c:pt idx="126">
                  <c:v>42785</c:v>
                </c:pt>
                <c:pt idx="127">
                  <c:v>42786</c:v>
                </c:pt>
                <c:pt idx="128">
                  <c:v>42787</c:v>
                </c:pt>
                <c:pt idx="129">
                  <c:v>42788</c:v>
                </c:pt>
                <c:pt idx="130">
                  <c:v>42789</c:v>
                </c:pt>
                <c:pt idx="131">
                  <c:v>42790</c:v>
                </c:pt>
                <c:pt idx="132">
                  <c:v>42791</c:v>
                </c:pt>
                <c:pt idx="133">
                  <c:v>42792</c:v>
                </c:pt>
                <c:pt idx="134">
                  <c:v>42793</c:v>
                </c:pt>
                <c:pt idx="135">
                  <c:v>42794</c:v>
                </c:pt>
                <c:pt idx="136">
                  <c:v>42795</c:v>
                </c:pt>
                <c:pt idx="137">
                  <c:v>42796</c:v>
                </c:pt>
                <c:pt idx="138">
                  <c:v>42797</c:v>
                </c:pt>
                <c:pt idx="139">
                  <c:v>42798</c:v>
                </c:pt>
                <c:pt idx="140">
                  <c:v>42799</c:v>
                </c:pt>
                <c:pt idx="141">
                  <c:v>42800</c:v>
                </c:pt>
                <c:pt idx="142">
                  <c:v>42801</c:v>
                </c:pt>
                <c:pt idx="143">
                  <c:v>42802</c:v>
                </c:pt>
                <c:pt idx="144">
                  <c:v>42803</c:v>
                </c:pt>
                <c:pt idx="145">
                  <c:v>42804</c:v>
                </c:pt>
                <c:pt idx="146">
                  <c:v>42805</c:v>
                </c:pt>
                <c:pt idx="147">
                  <c:v>42806</c:v>
                </c:pt>
                <c:pt idx="148">
                  <c:v>42807</c:v>
                </c:pt>
                <c:pt idx="149">
                  <c:v>42808</c:v>
                </c:pt>
                <c:pt idx="150">
                  <c:v>42809</c:v>
                </c:pt>
                <c:pt idx="151">
                  <c:v>42810</c:v>
                </c:pt>
                <c:pt idx="152">
                  <c:v>42811</c:v>
                </c:pt>
                <c:pt idx="153">
                  <c:v>42812</c:v>
                </c:pt>
                <c:pt idx="154">
                  <c:v>42813</c:v>
                </c:pt>
                <c:pt idx="155">
                  <c:v>42814</c:v>
                </c:pt>
                <c:pt idx="156">
                  <c:v>42815</c:v>
                </c:pt>
                <c:pt idx="157">
                  <c:v>42816</c:v>
                </c:pt>
                <c:pt idx="158">
                  <c:v>42817</c:v>
                </c:pt>
                <c:pt idx="159">
                  <c:v>42818</c:v>
                </c:pt>
                <c:pt idx="160">
                  <c:v>42819</c:v>
                </c:pt>
                <c:pt idx="161">
                  <c:v>42820</c:v>
                </c:pt>
                <c:pt idx="162">
                  <c:v>42821</c:v>
                </c:pt>
                <c:pt idx="163">
                  <c:v>42822</c:v>
                </c:pt>
                <c:pt idx="164">
                  <c:v>42823</c:v>
                </c:pt>
                <c:pt idx="165">
                  <c:v>42824</c:v>
                </c:pt>
                <c:pt idx="166">
                  <c:v>42825</c:v>
                </c:pt>
                <c:pt idx="167">
                  <c:v>42826</c:v>
                </c:pt>
                <c:pt idx="168">
                  <c:v>42827</c:v>
                </c:pt>
                <c:pt idx="169">
                  <c:v>42828</c:v>
                </c:pt>
                <c:pt idx="170">
                  <c:v>42829</c:v>
                </c:pt>
                <c:pt idx="171">
                  <c:v>42830</c:v>
                </c:pt>
                <c:pt idx="172">
                  <c:v>42831</c:v>
                </c:pt>
                <c:pt idx="173">
                  <c:v>42832</c:v>
                </c:pt>
                <c:pt idx="174">
                  <c:v>42833</c:v>
                </c:pt>
                <c:pt idx="175">
                  <c:v>42834</c:v>
                </c:pt>
                <c:pt idx="176">
                  <c:v>42835</c:v>
                </c:pt>
                <c:pt idx="177">
                  <c:v>42836</c:v>
                </c:pt>
                <c:pt idx="178">
                  <c:v>42837</c:v>
                </c:pt>
                <c:pt idx="179">
                  <c:v>42838</c:v>
                </c:pt>
                <c:pt idx="180">
                  <c:v>42839</c:v>
                </c:pt>
                <c:pt idx="181">
                  <c:v>42840</c:v>
                </c:pt>
                <c:pt idx="182">
                  <c:v>42841</c:v>
                </c:pt>
                <c:pt idx="183">
                  <c:v>42842</c:v>
                </c:pt>
                <c:pt idx="184">
                  <c:v>42843</c:v>
                </c:pt>
                <c:pt idx="185">
                  <c:v>42844</c:v>
                </c:pt>
                <c:pt idx="186">
                  <c:v>42845</c:v>
                </c:pt>
                <c:pt idx="187">
                  <c:v>42846</c:v>
                </c:pt>
                <c:pt idx="188">
                  <c:v>42847</c:v>
                </c:pt>
                <c:pt idx="189">
                  <c:v>42848</c:v>
                </c:pt>
                <c:pt idx="190">
                  <c:v>42849</c:v>
                </c:pt>
                <c:pt idx="191">
                  <c:v>42850</c:v>
                </c:pt>
                <c:pt idx="192">
                  <c:v>42851</c:v>
                </c:pt>
                <c:pt idx="193">
                  <c:v>42852</c:v>
                </c:pt>
                <c:pt idx="194">
                  <c:v>42853</c:v>
                </c:pt>
                <c:pt idx="195">
                  <c:v>42854</c:v>
                </c:pt>
                <c:pt idx="196">
                  <c:v>42855</c:v>
                </c:pt>
                <c:pt idx="197">
                  <c:v>42856</c:v>
                </c:pt>
                <c:pt idx="198">
                  <c:v>42857</c:v>
                </c:pt>
                <c:pt idx="199">
                  <c:v>42858</c:v>
                </c:pt>
                <c:pt idx="200">
                  <c:v>42859</c:v>
                </c:pt>
                <c:pt idx="201">
                  <c:v>42860</c:v>
                </c:pt>
                <c:pt idx="202">
                  <c:v>42861</c:v>
                </c:pt>
                <c:pt idx="203">
                  <c:v>42862</c:v>
                </c:pt>
                <c:pt idx="204">
                  <c:v>42863</c:v>
                </c:pt>
                <c:pt idx="205">
                  <c:v>42864</c:v>
                </c:pt>
                <c:pt idx="206">
                  <c:v>42865</c:v>
                </c:pt>
                <c:pt idx="207">
                  <c:v>42866</c:v>
                </c:pt>
                <c:pt idx="208">
                  <c:v>42867</c:v>
                </c:pt>
                <c:pt idx="209">
                  <c:v>42868</c:v>
                </c:pt>
                <c:pt idx="210">
                  <c:v>42869</c:v>
                </c:pt>
                <c:pt idx="211">
                  <c:v>42870</c:v>
                </c:pt>
                <c:pt idx="212">
                  <c:v>42871</c:v>
                </c:pt>
                <c:pt idx="213">
                  <c:v>42872</c:v>
                </c:pt>
                <c:pt idx="214">
                  <c:v>42873</c:v>
                </c:pt>
                <c:pt idx="215">
                  <c:v>42874</c:v>
                </c:pt>
                <c:pt idx="216">
                  <c:v>42875</c:v>
                </c:pt>
                <c:pt idx="217">
                  <c:v>42876</c:v>
                </c:pt>
                <c:pt idx="218">
                  <c:v>42877</c:v>
                </c:pt>
                <c:pt idx="219">
                  <c:v>42878</c:v>
                </c:pt>
                <c:pt idx="220">
                  <c:v>42879</c:v>
                </c:pt>
                <c:pt idx="221">
                  <c:v>42880</c:v>
                </c:pt>
                <c:pt idx="222">
                  <c:v>42881</c:v>
                </c:pt>
                <c:pt idx="223">
                  <c:v>42882</c:v>
                </c:pt>
                <c:pt idx="224">
                  <c:v>42883</c:v>
                </c:pt>
                <c:pt idx="225">
                  <c:v>42884</c:v>
                </c:pt>
                <c:pt idx="226">
                  <c:v>42885</c:v>
                </c:pt>
                <c:pt idx="227">
                  <c:v>42886</c:v>
                </c:pt>
                <c:pt idx="228">
                  <c:v>42887</c:v>
                </c:pt>
                <c:pt idx="229">
                  <c:v>42888</c:v>
                </c:pt>
                <c:pt idx="230">
                  <c:v>42889</c:v>
                </c:pt>
                <c:pt idx="231">
                  <c:v>42890</c:v>
                </c:pt>
                <c:pt idx="232">
                  <c:v>42891</c:v>
                </c:pt>
                <c:pt idx="233">
                  <c:v>42892</c:v>
                </c:pt>
                <c:pt idx="234">
                  <c:v>42893</c:v>
                </c:pt>
                <c:pt idx="235">
                  <c:v>42894</c:v>
                </c:pt>
                <c:pt idx="236">
                  <c:v>42895</c:v>
                </c:pt>
                <c:pt idx="237">
                  <c:v>42896</c:v>
                </c:pt>
                <c:pt idx="238">
                  <c:v>42897</c:v>
                </c:pt>
                <c:pt idx="239">
                  <c:v>42898</c:v>
                </c:pt>
                <c:pt idx="240">
                  <c:v>42899</c:v>
                </c:pt>
                <c:pt idx="241">
                  <c:v>42900</c:v>
                </c:pt>
                <c:pt idx="242">
                  <c:v>42901</c:v>
                </c:pt>
                <c:pt idx="243">
                  <c:v>42902</c:v>
                </c:pt>
                <c:pt idx="244">
                  <c:v>42903</c:v>
                </c:pt>
                <c:pt idx="245">
                  <c:v>42904</c:v>
                </c:pt>
                <c:pt idx="246">
                  <c:v>42905</c:v>
                </c:pt>
                <c:pt idx="247">
                  <c:v>42906</c:v>
                </c:pt>
                <c:pt idx="248">
                  <c:v>42907</c:v>
                </c:pt>
                <c:pt idx="249">
                  <c:v>42908</c:v>
                </c:pt>
                <c:pt idx="250">
                  <c:v>42909</c:v>
                </c:pt>
                <c:pt idx="251">
                  <c:v>42910</c:v>
                </c:pt>
                <c:pt idx="252">
                  <c:v>42911</c:v>
                </c:pt>
                <c:pt idx="253">
                  <c:v>42912</c:v>
                </c:pt>
                <c:pt idx="254">
                  <c:v>42913</c:v>
                </c:pt>
                <c:pt idx="255">
                  <c:v>42914</c:v>
                </c:pt>
                <c:pt idx="256">
                  <c:v>42915</c:v>
                </c:pt>
                <c:pt idx="257">
                  <c:v>42916</c:v>
                </c:pt>
                <c:pt idx="258">
                  <c:v>42917</c:v>
                </c:pt>
                <c:pt idx="259">
                  <c:v>42918</c:v>
                </c:pt>
                <c:pt idx="260">
                  <c:v>42919</c:v>
                </c:pt>
                <c:pt idx="261">
                  <c:v>42920</c:v>
                </c:pt>
                <c:pt idx="262">
                  <c:v>42921</c:v>
                </c:pt>
                <c:pt idx="263">
                  <c:v>42922</c:v>
                </c:pt>
                <c:pt idx="264">
                  <c:v>42923</c:v>
                </c:pt>
                <c:pt idx="265">
                  <c:v>42924</c:v>
                </c:pt>
                <c:pt idx="266">
                  <c:v>42925</c:v>
                </c:pt>
                <c:pt idx="267">
                  <c:v>42926</c:v>
                </c:pt>
                <c:pt idx="268">
                  <c:v>42927</c:v>
                </c:pt>
                <c:pt idx="269">
                  <c:v>42928</c:v>
                </c:pt>
                <c:pt idx="270">
                  <c:v>42929</c:v>
                </c:pt>
                <c:pt idx="271">
                  <c:v>42930</c:v>
                </c:pt>
                <c:pt idx="272">
                  <c:v>42931</c:v>
                </c:pt>
                <c:pt idx="273">
                  <c:v>42932</c:v>
                </c:pt>
                <c:pt idx="274">
                  <c:v>42933</c:v>
                </c:pt>
                <c:pt idx="275">
                  <c:v>42934</c:v>
                </c:pt>
                <c:pt idx="276">
                  <c:v>42935</c:v>
                </c:pt>
                <c:pt idx="277">
                  <c:v>42936</c:v>
                </c:pt>
                <c:pt idx="278">
                  <c:v>42937</c:v>
                </c:pt>
                <c:pt idx="279">
                  <c:v>42938</c:v>
                </c:pt>
                <c:pt idx="280">
                  <c:v>42939</c:v>
                </c:pt>
                <c:pt idx="281">
                  <c:v>42940</c:v>
                </c:pt>
                <c:pt idx="282">
                  <c:v>42941</c:v>
                </c:pt>
                <c:pt idx="283">
                  <c:v>42942</c:v>
                </c:pt>
                <c:pt idx="284">
                  <c:v>42943</c:v>
                </c:pt>
                <c:pt idx="285">
                  <c:v>42944</c:v>
                </c:pt>
                <c:pt idx="286">
                  <c:v>42945</c:v>
                </c:pt>
                <c:pt idx="287">
                  <c:v>42946</c:v>
                </c:pt>
                <c:pt idx="288">
                  <c:v>42947</c:v>
                </c:pt>
                <c:pt idx="289">
                  <c:v>42948</c:v>
                </c:pt>
                <c:pt idx="290">
                  <c:v>42949</c:v>
                </c:pt>
                <c:pt idx="291">
                  <c:v>42950</c:v>
                </c:pt>
                <c:pt idx="292">
                  <c:v>42951</c:v>
                </c:pt>
                <c:pt idx="293">
                  <c:v>42952</c:v>
                </c:pt>
                <c:pt idx="294">
                  <c:v>42953</c:v>
                </c:pt>
                <c:pt idx="295">
                  <c:v>42954</c:v>
                </c:pt>
                <c:pt idx="296">
                  <c:v>42955</c:v>
                </c:pt>
                <c:pt idx="297">
                  <c:v>42956</c:v>
                </c:pt>
                <c:pt idx="298">
                  <c:v>42957</c:v>
                </c:pt>
                <c:pt idx="299">
                  <c:v>42958</c:v>
                </c:pt>
                <c:pt idx="300">
                  <c:v>42959</c:v>
                </c:pt>
                <c:pt idx="301">
                  <c:v>42960</c:v>
                </c:pt>
                <c:pt idx="302">
                  <c:v>42961</c:v>
                </c:pt>
                <c:pt idx="303">
                  <c:v>42962</c:v>
                </c:pt>
                <c:pt idx="304">
                  <c:v>42963</c:v>
                </c:pt>
                <c:pt idx="305">
                  <c:v>42964</c:v>
                </c:pt>
                <c:pt idx="306">
                  <c:v>42965</c:v>
                </c:pt>
                <c:pt idx="307">
                  <c:v>42966</c:v>
                </c:pt>
                <c:pt idx="308">
                  <c:v>42967</c:v>
                </c:pt>
                <c:pt idx="309">
                  <c:v>42968</c:v>
                </c:pt>
                <c:pt idx="310">
                  <c:v>42969</c:v>
                </c:pt>
                <c:pt idx="311">
                  <c:v>42970</c:v>
                </c:pt>
                <c:pt idx="312">
                  <c:v>42971</c:v>
                </c:pt>
                <c:pt idx="313">
                  <c:v>42972</c:v>
                </c:pt>
                <c:pt idx="314">
                  <c:v>42973</c:v>
                </c:pt>
                <c:pt idx="315">
                  <c:v>42974</c:v>
                </c:pt>
                <c:pt idx="316">
                  <c:v>42975</c:v>
                </c:pt>
                <c:pt idx="317">
                  <c:v>42976</c:v>
                </c:pt>
                <c:pt idx="318">
                  <c:v>42977</c:v>
                </c:pt>
                <c:pt idx="319">
                  <c:v>42978</c:v>
                </c:pt>
                <c:pt idx="320">
                  <c:v>42979</c:v>
                </c:pt>
                <c:pt idx="321">
                  <c:v>42980</c:v>
                </c:pt>
                <c:pt idx="322">
                  <c:v>42981</c:v>
                </c:pt>
                <c:pt idx="323">
                  <c:v>42982</c:v>
                </c:pt>
                <c:pt idx="324">
                  <c:v>42983</c:v>
                </c:pt>
                <c:pt idx="325">
                  <c:v>42984</c:v>
                </c:pt>
                <c:pt idx="326">
                  <c:v>42985</c:v>
                </c:pt>
                <c:pt idx="327">
                  <c:v>42986</c:v>
                </c:pt>
                <c:pt idx="328">
                  <c:v>42987</c:v>
                </c:pt>
                <c:pt idx="329">
                  <c:v>42988</c:v>
                </c:pt>
                <c:pt idx="330">
                  <c:v>42989</c:v>
                </c:pt>
                <c:pt idx="331">
                  <c:v>42990</c:v>
                </c:pt>
                <c:pt idx="332">
                  <c:v>42991</c:v>
                </c:pt>
                <c:pt idx="333">
                  <c:v>42992</c:v>
                </c:pt>
                <c:pt idx="334">
                  <c:v>42993</c:v>
                </c:pt>
              </c:numCache>
            </c:numRef>
          </c:cat>
          <c:val>
            <c:numRef>
              <c:f>Sheet2!$E$2:$E$356</c:f>
              <c:numCache>
                <c:formatCode>General</c:formatCode>
                <c:ptCount val="355"/>
                <c:pt idx="0">
                  <c:v>-4.2944609600000003</c:v>
                </c:pt>
                <c:pt idx="1">
                  <c:v>-3.7194113599999996</c:v>
                </c:pt>
                <c:pt idx="2">
                  <c:v>-3.6711078199999996</c:v>
                </c:pt>
                <c:pt idx="3">
                  <c:v>-3.31104099</c:v>
                </c:pt>
                <c:pt idx="4">
                  <c:v>-3.3750203499999998</c:v>
                </c:pt>
                <c:pt idx="5">
                  <c:v>-3.73895394</c:v>
                </c:pt>
                <c:pt idx="6">
                  <c:v>-2.9477820100000001</c:v>
                </c:pt>
                <c:pt idx="7">
                  <c:v>-2.86186535</c:v>
                </c:pt>
                <c:pt idx="8">
                  <c:v>-4.4199844600000002</c:v>
                </c:pt>
                <c:pt idx="9">
                  <c:v>-3.1989947599999997</c:v>
                </c:pt>
                <c:pt idx="10">
                  <c:v>-4.7192961799999997</c:v>
                </c:pt>
                <c:pt idx="11">
                  <c:v>-5.4555030999999996</c:v>
                </c:pt>
                <c:pt idx="12">
                  <c:v>-3.5632161999999998</c:v>
                </c:pt>
                <c:pt idx="13">
                  <c:v>-3.5600756599999999</c:v>
                </c:pt>
                <c:pt idx="14">
                  <c:v>-3.8921405599999996</c:v>
                </c:pt>
                <c:pt idx="15">
                  <c:v>-2.1006177299999997</c:v>
                </c:pt>
                <c:pt idx="16">
                  <c:v>-2.8989357199999999</c:v>
                </c:pt>
                <c:pt idx="17">
                  <c:v>-1.4925968699999999</c:v>
                </c:pt>
                <c:pt idx="18">
                  <c:v>-2.3373857999999998</c:v>
                </c:pt>
                <c:pt idx="19">
                  <c:v>-2.1745381500000001</c:v>
                </c:pt>
                <c:pt idx="20">
                  <c:v>-1.0954220700000001</c:v>
                </c:pt>
                <c:pt idx="21">
                  <c:v>-0.72319500000000003</c:v>
                </c:pt>
                <c:pt idx="22">
                  <c:v>-0.40236399</c:v>
                </c:pt>
                <c:pt idx="23">
                  <c:v>-0.71736894999999956</c:v>
                </c:pt>
                <c:pt idx="24">
                  <c:v>0.20178157000000008</c:v>
                </c:pt>
                <c:pt idx="25">
                  <c:v>-9.2572000000012977E-4</c:v>
                </c:pt>
                <c:pt idx="26">
                  <c:v>-2.4773392799999998</c:v>
                </c:pt>
                <c:pt idx="27">
                  <c:v>-3.9540358400000004</c:v>
                </c:pt>
                <c:pt idx="28">
                  <c:v>-3.7649732399999998</c:v>
                </c:pt>
                <c:pt idx="29">
                  <c:v>-1.7258294900000002</c:v>
                </c:pt>
                <c:pt idx="30">
                  <c:v>-0.38962313000000015</c:v>
                </c:pt>
                <c:pt idx="31">
                  <c:v>-0.68290539999999988</c:v>
                </c:pt>
                <c:pt idx="32">
                  <c:v>-1.17550913</c:v>
                </c:pt>
                <c:pt idx="33">
                  <c:v>-1.3469422200000001</c:v>
                </c:pt>
                <c:pt idx="34">
                  <c:v>2.2810728999999998</c:v>
                </c:pt>
                <c:pt idx="35">
                  <c:v>1.3368666300000001</c:v>
                </c:pt>
                <c:pt idx="36">
                  <c:v>4.5326184700000001</c:v>
                </c:pt>
                <c:pt idx="37">
                  <c:v>3.3884548299999997</c:v>
                </c:pt>
                <c:pt idx="38">
                  <c:v>2.41633809</c:v>
                </c:pt>
                <c:pt idx="39">
                  <c:v>3.5043284300000002</c:v>
                </c:pt>
                <c:pt idx="40">
                  <c:v>1.1840907999999999</c:v>
                </c:pt>
                <c:pt idx="41">
                  <c:v>4.5409130799999993</c:v>
                </c:pt>
                <c:pt idx="42">
                  <c:v>2.6739873200000002</c:v>
                </c:pt>
                <c:pt idx="43">
                  <c:v>3.6119922999999998</c:v>
                </c:pt>
                <c:pt idx="44">
                  <c:v>4.0900900700000005</c:v>
                </c:pt>
                <c:pt idx="45">
                  <c:v>3.7125683199999999</c:v>
                </c:pt>
                <c:pt idx="46">
                  <c:v>5.8599944399999995</c:v>
                </c:pt>
                <c:pt idx="47">
                  <c:v>5.00592551</c:v>
                </c:pt>
                <c:pt idx="48">
                  <c:v>3.8625002600000005</c:v>
                </c:pt>
                <c:pt idx="49">
                  <c:v>3.6085615400000002</c:v>
                </c:pt>
                <c:pt idx="50">
                  <c:v>4.1215558400000001</c:v>
                </c:pt>
                <c:pt idx="51">
                  <c:v>3.6936212799999999</c:v>
                </c:pt>
                <c:pt idx="52">
                  <c:v>1.3336172099999999</c:v>
                </c:pt>
                <c:pt idx="53">
                  <c:v>0.98013698000000016</c:v>
                </c:pt>
                <c:pt idx="54">
                  <c:v>2.2228947400000001</c:v>
                </c:pt>
                <c:pt idx="55">
                  <c:v>0.20273117999999979</c:v>
                </c:pt>
                <c:pt idx="56">
                  <c:v>-1.9380296099999992</c:v>
                </c:pt>
                <c:pt idx="57">
                  <c:v>-1.2506422099999996</c:v>
                </c:pt>
                <c:pt idx="58">
                  <c:v>-1.2378308599999999</c:v>
                </c:pt>
                <c:pt idx="59">
                  <c:v>-2.7442696299999998</c:v>
                </c:pt>
                <c:pt idx="60">
                  <c:v>-1.7650044200000004</c:v>
                </c:pt>
                <c:pt idx="61">
                  <c:v>-3.1041846499999997</c:v>
                </c:pt>
                <c:pt idx="62">
                  <c:v>-1.1762434200000005</c:v>
                </c:pt>
                <c:pt idx="63">
                  <c:v>-1.936009949999999</c:v>
                </c:pt>
                <c:pt idx="64">
                  <c:v>-2.3539875099999996</c:v>
                </c:pt>
                <c:pt idx="65">
                  <c:v>-1.5210475399999996</c:v>
                </c:pt>
                <c:pt idx="66">
                  <c:v>-2.7673226199999998</c:v>
                </c:pt>
                <c:pt idx="67">
                  <c:v>-4.44987961</c:v>
                </c:pt>
                <c:pt idx="68">
                  <c:v>-0.8965359700000004</c:v>
                </c:pt>
                <c:pt idx="69">
                  <c:v>-1.6354524500000007</c:v>
                </c:pt>
                <c:pt idx="70">
                  <c:v>-1.8535352700000001</c:v>
                </c:pt>
                <c:pt idx="71">
                  <c:v>-2.5312783999999997</c:v>
                </c:pt>
                <c:pt idx="72">
                  <c:v>-3.2259933300000014</c:v>
                </c:pt>
                <c:pt idx="73">
                  <c:v>-3.0438062299999995</c:v>
                </c:pt>
                <c:pt idx="74">
                  <c:v>-4.9137665100000003</c:v>
                </c:pt>
                <c:pt idx="75">
                  <c:v>-5.9669835599999974</c:v>
                </c:pt>
                <c:pt idx="76">
                  <c:v>-4.8457987399999993</c:v>
                </c:pt>
                <c:pt idx="77">
                  <c:v>-4.9108932299999992</c:v>
                </c:pt>
                <c:pt idx="78">
                  <c:v>-5.3581277399999987</c:v>
                </c:pt>
                <c:pt idx="79">
                  <c:v>-4.2507416400000011</c:v>
                </c:pt>
                <c:pt idx="80">
                  <c:v>-2.000222830000002</c:v>
                </c:pt>
                <c:pt idx="81">
                  <c:v>-2.6916190699999998</c:v>
                </c:pt>
                <c:pt idx="82">
                  <c:v>-2.6111771099999981</c:v>
                </c:pt>
                <c:pt idx="83">
                  <c:v>-5.9248062000000008</c:v>
                </c:pt>
                <c:pt idx="84">
                  <c:v>-6.0115849200000007</c:v>
                </c:pt>
                <c:pt idx="85">
                  <c:v>-5.4689479100000007</c:v>
                </c:pt>
                <c:pt idx="86">
                  <c:v>-7.0220980500000003</c:v>
                </c:pt>
                <c:pt idx="87">
                  <c:v>-6.0038572800000001</c:v>
                </c:pt>
                <c:pt idx="88">
                  <c:v>-6.2202545199999992</c:v>
                </c:pt>
                <c:pt idx="89">
                  <c:v>-3.9711198100000011</c:v>
                </c:pt>
                <c:pt idx="90">
                  <c:v>-4.9217439800000022</c:v>
                </c:pt>
                <c:pt idx="91">
                  <c:v>-4.7477854700000002</c:v>
                </c:pt>
                <c:pt idx="92">
                  <c:v>-4.9431347399999979</c:v>
                </c:pt>
                <c:pt idx="93">
                  <c:v>-3.3985724200000007</c:v>
                </c:pt>
                <c:pt idx="94">
                  <c:v>-2.763469790000002</c:v>
                </c:pt>
                <c:pt idx="95">
                  <c:v>-2.8636835200000021</c:v>
                </c:pt>
                <c:pt idx="96">
                  <c:v>-4.448971659999998</c:v>
                </c:pt>
                <c:pt idx="97">
                  <c:v>-2.3165355199999986</c:v>
                </c:pt>
                <c:pt idx="98">
                  <c:v>-2.0271510600000013</c:v>
                </c:pt>
                <c:pt idx="99">
                  <c:v>-4.6818595399999978</c:v>
                </c:pt>
                <c:pt idx="100">
                  <c:v>-3.716662040000001</c:v>
                </c:pt>
                <c:pt idx="101">
                  <c:v>-4.2990545300000012</c:v>
                </c:pt>
                <c:pt idx="102">
                  <c:v>-5.0751953200000006</c:v>
                </c:pt>
                <c:pt idx="103">
                  <c:v>-3.3780694099999984</c:v>
                </c:pt>
                <c:pt idx="104">
                  <c:v>-3.0429966500000027</c:v>
                </c:pt>
                <c:pt idx="105">
                  <c:v>-2.3642576799999979</c:v>
                </c:pt>
                <c:pt idx="106">
                  <c:v>-0.97415601000000152</c:v>
                </c:pt>
                <c:pt idx="107">
                  <c:v>-0.84736533999999963</c:v>
                </c:pt>
                <c:pt idx="108">
                  <c:v>0.22035727999999821</c:v>
                </c:pt>
                <c:pt idx="109">
                  <c:v>-0.26265584000000075</c:v>
                </c:pt>
                <c:pt idx="110">
                  <c:v>-2.9539663499999982</c:v>
                </c:pt>
                <c:pt idx="111">
                  <c:v>-3.3081438599999977</c:v>
                </c:pt>
                <c:pt idx="112">
                  <c:v>-4.6050131900000011</c:v>
                </c:pt>
                <c:pt idx="113">
                  <c:v>-6.8032167800000014</c:v>
                </c:pt>
                <c:pt idx="114">
                  <c:v>-4.6901452799999976</c:v>
                </c:pt>
                <c:pt idx="115">
                  <c:v>-3.0170235999999981</c:v>
                </c:pt>
                <c:pt idx="116">
                  <c:v>-5.7260808399999998</c:v>
                </c:pt>
                <c:pt idx="117">
                  <c:v>-5.8248581999999995</c:v>
                </c:pt>
                <c:pt idx="118">
                  <c:v>-3.1931593300000003</c:v>
                </c:pt>
                <c:pt idx="119">
                  <c:v>-3.8195585199999975</c:v>
                </c:pt>
                <c:pt idx="120">
                  <c:v>-1.2778091600000003</c:v>
                </c:pt>
                <c:pt idx="121">
                  <c:v>-1.1062891600000029</c:v>
                </c:pt>
                <c:pt idx="122">
                  <c:v>-0.12298831000000021</c:v>
                </c:pt>
                <c:pt idx="123">
                  <c:v>-0.98831698999999773</c:v>
                </c:pt>
                <c:pt idx="124">
                  <c:v>-1.7788282299999985</c:v>
                </c:pt>
                <c:pt idx="125">
                  <c:v>-3.1193516600000031</c:v>
                </c:pt>
                <c:pt idx="126">
                  <c:v>-1.7953390599999999</c:v>
                </c:pt>
                <c:pt idx="127">
                  <c:v>-4.1598592799999992</c:v>
                </c:pt>
                <c:pt idx="128">
                  <c:v>-4.3060691699999971</c:v>
                </c:pt>
                <c:pt idx="129">
                  <c:v>-3.4368765299999993</c:v>
                </c:pt>
                <c:pt idx="130">
                  <c:v>-3.3975595399999996</c:v>
                </c:pt>
                <c:pt idx="131">
                  <c:v>-3.6738824100000009</c:v>
                </c:pt>
                <c:pt idx="132">
                  <c:v>-4.2961025300000024</c:v>
                </c:pt>
                <c:pt idx="133">
                  <c:v>-5.2074159900000012</c:v>
                </c:pt>
                <c:pt idx="134">
                  <c:v>-5.1926400800000003</c:v>
                </c:pt>
                <c:pt idx="135">
                  <c:v>-3.6277573099999998</c:v>
                </c:pt>
                <c:pt idx="136">
                  <c:v>-1.8757874000000001</c:v>
                </c:pt>
                <c:pt idx="137">
                  <c:v>1.1952359999998663E-2</c:v>
                </c:pt>
                <c:pt idx="138">
                  <c:v>1.4412650099999986</c:v>
                </c:pt>
                <c:pt idx="139">
                  <c:v>2.8651530399999992</c:v>
                </c:pt>
                <c:pt idx="140">
                  <c:v>1.8970769999999995</c:v>
                </c:pt>
                <c:pt idx="141">
                  <c:v>4.8576927500000018</c:v>
                </c:pt>
                <c:pt idx="142">
                  <c:v>5.62218822</c:v>
                </c:pt>
                <c:pt idx="143">
                  <c:v>7.716088860000001</c:v>
                </c:pt>
                <c:pt idx="144">
                  <c:v>7.2758424300000009</c:v>
                </c:pt>
                <c:pt idx="145">
                  <c:v>7.8970323999999987</c:v>
                </c:pt>
                <c:pt idx="146">
                  <c:v>6.6593061200000001</c:v>
                </c:pt>
                <c:pt idx="147">
                  <c:v>8.8274296100000011</c:v>
                </c:pt>
                <c:pt idx="148">
                  <c:v>9.0473782700000012</c:v>
                </c:pt>
                <c:pt idx="149">
                  <c:v>10.73016397</c:v>
                </c:pt>
                <c:pt idx="150">
                  <c:v>9.9918418100000004</c:v>
                </c:pt>
                <c:pt idx="151">
                  <c:v>11.06475807</c:v>
                </c:pt>
                <c:pt idx="152">
                  <c:v>10.48203127</c:v>
                </c:pt>
                <c:pt idx="153">
                  <c:v>9.4937885000000009</c:v>
                </c:pt>
                <c:pt idx="154">
                  <c:v>8.4429296899999997</c:v>
                </c:pt>
                <c:pt idx="155">
                  <c:v>4.6258319300000004</c:v>
                </c:pt>
                <c:pt idx="156">
                  <c:v>5.0723208100000008</c:v>
                </c:pt>
                <c:pt idx="157">
                  <c:v>6.0110813699999994</c:v>
                </c:pt>
                <c:pt idx="158">
                  <c:v>8.4516040399999994</c:v>
                </c:pt>
                <c:pt idx="159">
                  <c:v>9.215488989999999</c:v>
                </c:pt>
                <c:pt idx="160">
                  <c:v>7.9523571799999999</c:v>
                </c:pt>
                <c:pt idx="161">
                  <c:v>7.5731186900000012</c:v>
                </c:pt>
                <c:pt idx="162">
                  <c:v>6.167890589999999</c:v>
                </c:pt>
                <c:pt idx="163">
                  <c:v>8.0151490299999981</c:v>
                </c:pt>
                <c:pt idx="164">
                  <c:v>8.8599105300000005</c:v>
                </c:pt>
                <c:pt idx="165">
                  <c:v>6.84076752</c:v>
                </c:pt>
                <c:pt idx="166">
                  <c:v>8.17247317</c:v>
                </c:pt>
                <c:pt idx="167">
                  <c:v>8.9655914600000024</c:v>
                </c:pt>
                <c:pt idx="168">
                  <c:v>8.879678779999999</c:v>
                </c:pt>
                <c:pt idx="169">
                  <c:v>9.0567905899999985</c:v>
                </c:pt>
                <c:pt idx="170">
                  <c:v>12.046477909999998</c:v>
                </c:pt>
                <c:pt idx="171">
                  <c:v>13.48374892</c:v>
                </c:pt>
                <c:pt idx="172">
                  <c:v>14.08471203</c:v>
                </c:pt>
                <c:pt idx="173">
                  <c:v>13.05998187</c:v>
                </c:pt>
                <c:pt idx="174">
                  <c:v>12.866504539999999</c:v>
                </c:pt>
                <c:pt idx="175">
                  <c:v>14.1128015</c:v>
                </c:pt>
                <c:pt idx="176">
                  <c:v>13.889086020000001</c:v>
                </c:pt>
                <c:pt idx="177">
                  <c:v>13.359069909999999</c:v>
                </c:pt>
                <c:pt idx="178">
                  <c:v>13.378127179999998</c:v>
                </c:pt>
                <c:pt idx="179">
                  <c:v>13.472637309999998</c:v>
                </c:pt>
                <c:pt idx="180">
                  <c:v>12.591773380000001</c:v>
                </c:pt>
                <c:pt idx="181">
                  <c:v>13.17054248</c:v>
                </c:pt>
                <c:pt idx="182">
                  <c:v>13.953603999999999</c:v>
                </c:pt>
                <c:pt idx="183">
                  <c:v>13.479113790000001</c:v>
                </c:pt>
                <c:pt idx="184">
                  <c:v>14.16412635</c:v>
                </c:pt>
                <c:pt idx="185">
                  <c:v>10.94372894</c:v>
                </c:pt>
                <c:pt idx="186">
                  <c:v>9.0892563799999984</c:v>
                </c:pt>
                <c:pt idx="187">
                  <c:v>7.8963992800000007</c:v>
                </c:pt>
                <c:pt idx="188">
                  <c:v>5.3963011099999996</c:v>
                </c:pt>
                <c:pt idx="189">
                  <c:v>4.8832773899999999</c:v>
                </c:pt>
                <c:pt idx="190">
                  <c:v>5.1028062699999985</c:v>
                </c:pt>
                <c:pt idx="191">
                  <c:v>5.437740790000003</c:v>
                </c:pt>
                <c:pt idx="192">
                  <c:v>5.3735535900000002</c:v>
                </c:pt>
                <c:pt idx="193">
                  <c:v>4.0811329200000017</c:v>
                </c:pt>
                <c:pt idx="194">
                  <c:v>4.0501452799999988</c:v>
                </c:pt>
                <c:pt idx="195">
                  <c:v>7.2998981699999987</c:v>
                </c:pt>
                <c:pt idx="196">
                  <c:v>11.426392230000001</c:v>
                </c:pt>
                <c:pt idx="197">
                  <c:v>11.234564330000001</c:v>
                </c:pt>
                <c:pt idx="198">
                  <c:v>10.146508399999998</c:v>
                </c:pt>
                <c:pt idx="199">
                  <c:v>11.941512889999998</c:v>
                </c:pt>
                <c:pt idx="200">
                  <c:v>8.2388930099999982</c:v>
                </c:pt>
                <c:pt idx="201">
                  <c:v>4.8357447600000008</c:v>
                </c:pt>
                <c:pt idx="202">
                  <c:v>1.9313698100000032</c:v>
                </c:pt>
                <c:pt idx="203">
                  <c:v>2.1550221799999996</c:v>
                </c:pt>
                <c:pt idx="204">
                  <c:v>3.8796917699999973</c:v>
                </c:pt>
                <c:pt idx="205">
                  <c:v>3.3051875400000021</c:v>
                </c:pt>
                <c:pt idx="206">
                  <c:v>3.0827448900000007</c:v>
                </c:pt>
                <c:pt idx="207">
                  <c:v>4.16616724</c:v>
                </c:pt>
                <c:pt idx="208">
                  <c:v>6.3857813499999985</c:v>
                </c:pt>
                <c:pt idx="209">
                  <c:v>5.7782505999999998</c:v>
                </c:pt>
                <c:pt idx="210">
                  <c:v>5.3244932700000014</c:v>
                </c:pt>
                <c:pt idx="211">
                  <c:v>6.3296527299999994</c:v>
                </c:pt>
                <c:pt idx="212">
                  <c:v>6.5807767500000018</c:v>
                </c:pt>
                <c:pt idx="213">
                  <c:v>6.4905146399999971</c:v>
                </c:pt>
                <c:pt idx="214">
                  <c:v>6.5365689000000025</c:v>
                </c:pt>
                <c:pt idx="215">
                  <c:v>9.3201721299999996</c:v>
                </c:pt>
                <c:pt idx="216">
                  <c:v>8.6235094399999994</c:v>
                </c:pt>
                <c:pt idx="217">
                  <c:v>8.6386494800000015</c:v>
                </c:pt>
                <c:pt idx="218">
                  <c:v>8.5553140799999987</c:v>
                </c:pt>
                <c:pt idx="219">
                  <c:v>9.518861710000003</c:v>
                </c:pt>
                <c:pt idx="220">
                  <c:v>11.497817159999997</c:v>
                </c:pt>
                <c:pt idx="221">
                  <c:v>12.294915020000001</c:v>
                </c:pt>
                <c:pt idx="222">
                  <c:v>12.99077256</c:v>
                </c:pt>
                <c:pt idx="223">
                  <c:v>12.248004239999997</c:v>
                </c:pt>
                <c:pt idx="224">
                  <c:v>12.863602909999997</c:v>
                </c:pt>
                <c:pt idx="225">
                  <c:v>14.087737260000001</c:v>
                </c:pt>
                <c:pt idx="226">
                  <c:v>13.328646689999996</c:v>
                </c:pt>
                <c:pt idx="227">
                  <c:v>12.54474802</c:v>
                </c:pt>
                <c:pt idx="228">
                  <c:v>10.134729309999997</c:v>
                </c:pt>
                <c:pt idx="229">
                  <c:v>10.36647893</c:v>
                </c:pt>
                <c:pt idx="230">
                  <c:v>9.5720852899999969</c:v>
                </c:pt>
                <c:pt idx="231">
                  <c:v>8.517412979999996</c:v>
                </c:pt>
                <c:pt idx="232">
                  <c:v>6.3271694300000014</c:v>
                </c:pt>
                <c:pt idx="233">
                  <c:v>4.5900959300000004</c:v>
                </c:pt>
                <c:pt idx="234">
                  <c:v>1.7304432600000013</c:v>
                </c:pt>
                <c:pt idx="235">
                  <c:v>0.73885649999999714</c:v>
                </c:pt>
                <c:pt idx="236">
                  <c:v>-0.93874861999999837</c:v>
                </c:pt>
                <c:pt idx="237">
                  <c:v>-1.3983421800000002</c:v>
                </c:pt>
                <c:pt idx="238">
                  <c:v>-1.6987017299999998</c:v>
                </c:pt>
                <c:pt idx="239">
                  <c:v>-2.1242802499999982</c:v>
                </c:pt>
                <c:pt idx="240">
                  <c:v>-3.3468071299999984</c:v>
                </c:pt>
                <c:pt idx="241">
                  <c:v>-1.8721281799999971</c:v>
                </c:pt>
                <c:pt idx="242">
                  <c:v>0.27615884000000079</c:v>
                </c:pt>
                <c:pt idx="243">
                  <c:v>2.2010770300000004</c:v>
                </c:pt>
                <c:pt idx="244">
                  <c:v>1.15648543</c:v>
                </c:pt>
                <c:pt idx="245">
                  <c:v>1.6738922599999988</c:v>
                </c:pt>
                <c:pt idx="246">
                  <c:v>1.1279831300000005</c:v>
                </c:pt>
                <c:pt idx="247">
                  <c:v>2.6406822000000005</c:v>
                </c:pt>
                <c:pt idx="248">
                  <c:v>3.0951498300000004</c:v>
                </c:pt>
                <c:pt idx="249">
                  <c:v>0.817368290000001</c:v>
                </c:pt>
                <c:pt idx="250">
                  <c:v>2.7533136100000029</c:v>
                </c:pt>
                <c:pt idx="251">
                  <c:v>1.9095892699999979</c:v>
                </c:pt>
                <c:pt idx="252">
                  <c:v>0.75874412000000291</c:v>
                </c:pt>
                <c:pt idx="253">
                  <c:v>1.2030382400000015</c:v>
                </c:pt>
                <c:pt idx="254">
                  <c:v>1.8173050099999983</c:v>
                </c:pt>
                <c:pt idx="255">
                  <c:v>3.9168117300000027</c:v>
                </c:pt>
                <c:pt idx="256">
                  <c:v>4.5175489800000008</c:v>
                </c:pt>
                <c:pt idx="257">
                  <c:v>3.1047712000000018</c:v>
                </c:pt>
                <c:pt idx="258">
                  <c:v>5.3766812900000005</c:v>
                </c:pt>
                <c:pt idx="259">
                  <c:v>4.6451676500000012</c:v>
                </c:pt>
                <c:pt idx="260">
                  <c:v>2.0368339800000008</c:v>
                </c:pt>
                <c:pt idx="261">
                  <c:v>3.360260310000001</c:v>
                </c:pt>
                <c:pt idx="262">
                  <c:v>2.4669159999999977</c:v>
                </c:pt>
                <c:pt idx="263">
                  <c:v>1.7571356199999997</c:v>
                </c:pt>
                <c:pt idx="264">
                  <c:v>2.4858927699999995</c:v>
                </c:pt>
                <c:pt idx="265">
                  <c:v>5.3695271199999972</c:v>
                </c:pt>
                <c:pt idx="266">
                  <c:v>4.7285147400000014</c:v>
                </c:pt>
                <c:pt idx="267">
                  <c:v>6.0392082600000023</c:v>
                </c:pt>
                <c:pt idx="268">
                  <c:v>5.8497280099999998</c:v>
                </c:pt>
                <c:pt idx="269">
                  <c:v>9.1801470300000005</c:v>
                </c:pt>
                <c:pt idx="270">
                  <c:v>9.6386495399999994</c:v>
                </c:pt>
                <c:pt idx="271">
                  <c:v>9.2103553599999977</c:v>
                </c:pt>
                <c:pt idx="272">
                  <c:v>7.820164909999999</c:v>
                </c:pt>
                <c:pt idx="273">
                  <c:v>9.3826425600000007</c:v>
                </c:pt>
                <c:pt idx="274">
                  <c:v>9.6210620899999988</c:v>
                </c:pt>
                <c:pt idx="275">
                  <c:v>7.1616112099999967</c:v>
                </c:pt>
                <c:pt idx="276">
                  <c:v>8.9352333199999983</c:v>
                </c:pt>
                <c:pt idx="277">
                  <c:v>9.6040659499999954</c:v>
                </c:pt>
                <c:pt idx="278">
                  <c:v>9.2887710200000022</c:v>
                </c:pt>
                <c:pt idx="279">
                  <c:v>9.6061537699999988</c:v>
                </c:pt>
                <c:pt idx="280">
                  <c:v>11.443378059999997</c:v>
                </c:pt>
                <c:pt idx="281">
                  <c:v>12.127844019999998</c:v>
                </c:pt>
                <c:pt idx="282">
                  <c:v>11.619779999999999</c:v>
                </c:pt>
                <c:pt idx="283">
                  <c:v>13.153190000000002</c:v>
                </c:pt>
                <c:pt idx="284">
                  <c:v>11.421494110000001</c:v>
                </c:pt>
                <c:pt idx="285">
                  <c:v>12.71783469</c:v>
                </c:pt>
                <c:pt idx="286">
                  <c:v>16.122616619999999</c:v>
                </c:pt>
                <c:pt idx="287">
                  <c:v>16.074983770000003</c:v>
                </c:pt>
                <c:pt idx="288">
                  <c:v>16.301495550000002</c:v>
                </c:pt>
                <c:pt idx="289">
                  <c:v>16.296095440000002</c:v>
                </c:pt>
                <c:pt idx="290">
                  <c:v>19.186710780000002</c:v>
                </c:pt>
                <c:pt idx="291">
                  <c:v>19.476170080000003</c:v>
                </c:pt>
                <c:pt idx="292">
                  <c:v>20.511561109999999</c:v>
                </c:pt>
                <c:pt idx="293">
                  <c:v>20.53692131</c:v>
                </c:pt>
                <c:pt idx="294">
                  <c:v>19.38775704</c:v>
                </c:pt>
                <c:pt idx="295">
                  <c:v>17.303788520000005</c:v>
                </c:pt>
                <c:pt idx="296">
                  <c:v>18.287041949999999</c:v>
                </c:pt>
                <c:pt idx="297">
                  <c:v>16.273597890000005</c:v>
                </c:pt>
                <c:pt idx="298">
                  <c:v>17.537933469999999</c:v>
                </c:pt>
                <c:pt idx="299">
                  <c:v>15.301512019999997</c:v>
                </c:pt>
                <c:pt idx="300">
                  <c:v>12.90328469</c:v>
                </c:pt>
                <c:pt idx="301">
                  <c:v>11.718483290000002</c:v>
                </c:pt>
                <c:pt idx="302">
                  <c:v>10.909718609999999</c:v>
                </c:pt>
                <c:pt idx="303">
                  <c:v>12.59587015</c:v>
                </c:pt>
                <c:pt idx="304">
                  <c:v>13.354470660000004</c:v>
                </c:pt>
                <c:pt idx="305">
                  <c:v>11.523063</c:v>
                </c:pt>
                <c:pt idx="306">
                  <c:v>10.057028589999998</c:v>
                </c:pt>
                <c:pt idx="307">
                  <c:v>11.876046110000001</c:v>
                </c:pt>
                <c:pt idx="308">
                  <c:v>9.8042147100000001</c:v>
                </c:pt>
                <c:pt idx="309">
                  <c:v>8.4836764500000008</c:v>
                </c:pt>
                <c:pt idx="310">
                  <c:v>10.979279699999996</c:v>
                </c:pt>
                <c:pt idx="311">
                  <c:v>9.0560966699999987</c:v>
                </c:pt>
                <c:pt idx="312">
                  <c:v>10.025515420000005</c:v>
                </c:pt>
                <c:pt idx="313">
                  <c:v>9.49530545</c:v>
                </c:pt>
                <c:pt idx="314">
                  <c:v>10.406795600000002</c:v>
                </c:pt>
                <c:pt idx="315">
                  <c:v>11.529015560000001</c:v>
                </c:pt>
                <c:pt idx="316">
                  <c:v>12.579463530000002</c:v>
                </c:pt>
                <c:pt idx="317">
                  <c:v>15.140947320000002</c:v>
                </c:pt>
                <c:pt idx="318">
                  <c:v>14.594094009999999</c:v>
                </c:pt>
                <c:pt idx="319">
                  <c:v>14.196943039999997</c:v>
                </c:pt>
                <c:pt idx="320">
                  <c:v>15.242114740000002</c:v>
                </c:pt>
                <c:pt idx="321">
                  <c:v>18.32320575</c:v>
                </c:pt>
                <c:pt idx="322">
                  <c:v>19.35138435</c:v>
                </c:pt>
                <c:pt idx="323">
                  <c:v>16.889321509999998</c:v>
                </c:pt>
                <c:pt idx="324">
                  <c:v>15.713568780000003</c:v>
                </c:pt>
                <c:pt idx="325">
                  <c:v>15.530781080000001</c:v>
                </c:pt>
                <c:pt idx="326">
                  <c:v>17.064596380000001</c:v>
                </c:pt>
                <c:pt idx="327">
                  <c:v>19.167408710000004</c:v>
                </c:pt>
                <c:pt idx="328">
                  <c:v>20.909366510000002</c:v>
                </c:pt>
                <c:pt idx="329">
                  <c:v>21.50355102</c:v>
                </c:pt>
                <c:pt idx="330">
                  <c:v>21.805122950000001</c:v>
                </c:pt>
                <c:pt idx="331">
                  <c:v>19.314891839999998</c:v>
                </c:pt>
                <c:pt idx="332">
                  <c:v>20.136789359999998</c:v>
                </c:pt>
                <c:pt idx="333">
                  <c:v>18.677046909999998</c:v>
                </c:pt>
                <c:pt idx="334">
                  <c:v>15.469604589999996</c:v>
                </c:pt>
              </c:numCache>
            </c:numRef>
          </c:val>
          <c:smooth val="0"/>
          <c:extLst>
            <c:ext xmlns:c16="http://schemas.microsoft.com/office/drawing/2014/chart" uri="{C3380CC4-5D6E-409C-BE32-E72D297353CC}">
              <c16:uniqueId val="{00000000-365A-4EAB-BCC3-9ABCDCB7FFA9}"/>
            </c:ext>
          </c:extLst>
        </c:ser>
        <c:dLbls>
          <c:showLegendKey val="0"/>
          <c:showVal val="0"/>
          <c:showCatName val="0"/>
          <c:showSerName val="0"/>
          <c:showPercent val="0"/>
          <c:showBubbleSize val="0"/>
        </c:dLbls>
        <c:smooth val="0"/>
        <c:axId val="596234416"/>
        <c:axId val="1292859792"/>
      </c:lineChart>
      <c:dateAx>
        <c:axId val="596234416"/>
        <c:scaling>
          <c:orientation val="minMax"/>
        </c:scaling>
        <c:delete val="0"/>
        <c:axPos val="b"/>
        <c:numFmt formatCode="dd-mmm-yy"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292859792"/>
        <c:crosses val="autoZero"/>
        <c:auto val="1"/>
        <c:lblOffset val="100"/>
        <c:baseTimeUnit val="days"/>
      </c:dateAx>
      <c:valAx>
        <c:axId val="1292859792"/>
        <c:scaling>
          <c:orientation val="minMax"/>
        </c:scaling>
        <c:delete val="0"/>
        <c:axPos val="l"/>
        <c:majorGridlines>
          <c:spPr>
            <a:ln w="9525" cap="flat" cmpd="sng" algn="ctr">
              <a:solidFill>
                <a:schemeClr val="tx2">
                  <a:lumMod val="15000"/>
                  <a:lumOff val="85000"/>
                </a:schemeClr>
              </a:solidFill>
              <a:round/>
            </a:ln>
            <a:effectLst/>
          </c:spPr>
        </c:majorGridlines>
        <c:minorGridlines>
          <c:spPr>
            <a:ln>
              <a:solidFill>
                <a:schemeClr val="tx2">
                  <a:lumMod val="5000"/>
                  <a:lumOff val="95000"/>
                </a:schemeClr>
              </a:solidFill>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596234416"/>
        <c:crosses val="autoZero"/>
        <c:crossBetween val="between"/>
      </c:valAx>
      <c:spPr>
        <a:noFill/>
        <a:ln>
          <a:noFill/>
        </a:ln>
        <a:effectLst/>
      </c:spPr>
    </c:plotArea>
    <c:plotVisOnly val="1"/>
    <c:dispBlanksAs val="zero"/>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Pricing</a:t>
            </a:r>
            <a:r>
              <a:rPr lang="en-US" baseline="0"/>
              <a:t> of GDAX Relative to BitStamp</a:t>
            </a:r>
            <a:br>
              <a:rPr lang="en-US" baseline="0"/>
            </a:br>
            <a:r>
              <a:rPr lang="en-US" sz="1100" i="1" baseline="0"/>
              <a:t>(deviation % from parity)</a:t>
            </a:r>
            <a:endParaRPr lang="en-US" i="1"/>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lineChart>
        <c:grouping val="stacked"/>
        <c:varyColors val="0"/>
        <c:ser>
          <c:idx val="0"/>
          <c:order val="0"/>
          <c:spPr>
            <a:ln w="31750" cap="rnd">
              <a:solidFill>
                <a:schemeClr val="accent1"/>
              </a:solidFill>
              <a:round/>
            </a:ln>
            <a:effectLst/>
          </c:spPr>
          <c:marker>
            <c:symbol val="none"/>
          </c:marker>
          <c:cat>
            <c:numRef>
              <c:f>Sheet2!$F$2:$F$356</c:f>
              <c:numCache>
                <c:formatCode>dd-mmm-yy</c:formatCode>
                <c:ptCount val="355"/>
                <c:pt idx="0">
                  <c:v>42659</c:v>
                </c:pt>
                <c:pt idx="1">
                  <c:v>42660</c:v>
                </c:pt>
                <c:pt idx="2">
                  <c:v>42661</c:v>
                </c:pt>
                <c:pt idx="3">
                  <c:v>42662</c:v>
                </c:pt>
                <c:pt idx="4">
                  <c:v>42663</c:v>
                </c:pt>
                <c:pt idx="5">
                  <c:v>42664</c:v>
                </c:pt>
                <c:pt idx="6">
                  <c:v>42665</c:v>
                </c:pt>
                <c:pt idx="7">
                  <c:v>42666</c:v>
                </c:pt>
                <c:pt idx="8">
                  <c:v>42667</c:v>
                </c:pt>
                <c:pt idx="9">
                  <c:v>42668</c:v>
                </c:pt>
                <c:pt idx="10">
                  <c:v>42669</c:v>
                </c:pt>
                <c:pt idx="11">
                  <c:v>42670</c:v>
                </c:pt>
                <c:pt idx="12">
                  <c:v>42671</c:v>
                </c:pt>
                <c:pt idx="13">
                  <c:v>42672</c:v>
                </c:pt>
                <c:pt idx="14">
                  <c:v>42673</c:v>
                </c:pt>
                <c:pt idx="15">
                  <c:v>42674</c:v>
                </c:pt>
                <c:pt idx="16">
                  <c:v>42675</c:v>
                </c:pt>
                <c:pt idx="17">
                  <c:v>42676</c:v>
                </c:pt>
                <c:pt idx="18">
                  <c:v>42677</c:v>
                </c:pt>
                <c:pt idx="19">
                  <c:v>42678</c:v>
                </c:pt>
                <c:pt idx="20">
                  <c:v>42679</c:v>
                </c:pt>
                <c:pt idx="21">
                  <c:v>42680</c:v>
                </c:pt>
                <c:pt idx="22">
                  <c:v>42681</c:v>
                </c:pt>
                <c:pt idx="23">
                  <c:v>42682</c:v>
                </c:pt>
                <c:pt idx="24">
                  <c:v>42683</c:v>
                </c:pt>
                <c:pt idx="25">
                  <c:v>42684</c:v>
                </c:pt>
                <c:pt idx="26">
                  <c:v>42685</c:v>
                </c:pt>
                <c:pt idx="27">
                  <c:v>42686</c:v>
                </c:pt>
                <c:pt idx="28">
                  <c:v>42687</c:v>
                </c:pt>
                <c:pt idx="29">
                  <c:v>42688</c:v>
                </c:pt>
                <c:pt idx="30">
                  <c:v>42689</c:v>
                </c:pt>
                <c:pt idx="31">
                  <c:v>42690</c:v>
                </c:pt>
                <c:pt idx="32">
                  <c:v>42691</c:v>
                </c:pt>
                <c:pt idx="33">
                  <c:v>42692</c:v>
                </c:pt>
                <c:pt idx="34">
                  <c:v>42693</c:v>
                </c:pt>
                <c:pt idx="35">
                  <c:v>42694</c:v>
                </c:pt>
                <c:pt idx="36">
                  <c:v>42695</c:v>
                </c:pt>
                <c:pt idx="37">
                  <c:v>42696</c:v>
                </c:pt>
                <c:pt idx="38">
                  <c:v>42697</c:v>
                </c:pt>
                <c:pt idx="39">
                  <c:v>42698</c:v>
                </c:pt>
                <c:pt idx="40">
                  <c:v>42699</c:v>
                </c:pt>
                <c:pt idx="41">
                  <c:v>42700</c:v>
                </c:pt>
                <c:pt idx="42">
                  <c:v>42701</c:v>
                </c:pt>
                <c:pt idx="43">
                  <c:v>42702</c:v>
                </c:pt>
                <c:pt idx="44">
                  <c:v>42703</c:v>
                </c:pt>
                <c:pt idx="45">
                  <c:v>42704</c:v>
                </c:pt>
                <c:pt idx="46">
                  <c:v>42705</c:v>
                </c:pt>
                <c:pt idx="47">
                  <c:v>42706</c:v>
                </c:pt>
                <c:pt idx="48">
                  <c:v>42707</c:v>
                </c:pt>
                <c:pt idx="49">
                  <c:v>42708</c:v>
                </c:pt>
                <c:pt idx="50">
                  <c:v>42709</c:v>
                </c:pt>
                <c:pt idx="51">
                  <c:v>42710</c:v>
                </c:pt>
                <c:pt idx="52">
                  <c:v>42711</c:v>
                </c:pt>
                <c:pt idx="53">
                  <c:v>42712</c:v>
                </c:pt>
                <c:pt idx="54">
                  <c:v>42713</c:v>
                </c:pt>
                <c:pt idx="55">
                  <c:v>42714</c:v>
                </c:pt>
                <c:pt idx="56">
                  <c:v>42715</c:v>
                </c:pt>
                <c:pt idx="57">
                  <c:v>42716</c:v>
                </c:pt>
                <c:pt idx="58">
                  <c:v>42717</c:v>
                </c:pt>
                <c:pt idx="59">
                  <c:v>42718</c:v>
                </c:pt>
                <c:pt idx="60">
                  <c:v>42719</c:v>
                </c:pt>
                <c:pt idx="61">
                  <c:v>42720</c:v>
                </c:pt>
                <c:pt idx="62">
                  <c:v>42721</c:v>
                </c:pt>
                <c:pt idx="63">
                  <c:v>42722</c:v>
                </c:pt>
                <c:pt idx="64">
                  <c:v>42723</c:v>
                </c:pt>
                <c:pt idx="65">
                  <c:v>42724</c:v>
                </c:pt>
                <c:pt idx="66">
                  <c:v>42725</c:v>
                </c:pt>
                <c:pt idx="67">
                  <c:v>42726</c:v>
                </c:pt>
                <c:pt idx="68">
                  <c:v>42727</c:v>
                </c:pt>
                <c:pt idx="69">
                  <c:v>42728</c:v>
                </c:pt>
                <c:pt idx="70">
                  <c:v>42729</c:v>
                </c:pt>
                <c:pt idx="71">
                  <c:v>42730</c:v>
                </c:pt>
                <c:pt idx="72">
                  <c:v>42731</c:v>
                </c:pt>
                <c:pt idx="73">
                  <c:v>42732</c:v>
                </c:pt>
                <c:pt idx="74">
                  <c:v>42733</c:v>
                </c:pt>
                <c:pt idx="75">
                  <c:v>42734</c:v>
                </c:pt>
                <c:pt idx="76">
                  <c:v>42735</c:v>
                </c:pt>
                <c:pt idx="77">
                  <c:v>42736</c:v>
                </c:pt>
                <c:pt idx="78">
                  <c:v>42737</c:v>
                </c:pt>
                <c:pt idx="79">
                  <c:v>42738</c:v>
                </c:pt>
                <c:pt idx="80">
                  <c:v>42739</c:v>
                </c:pt>
                <c:pt idx="81">
                  <c:v>42740</c:v>
                </c:pt>
                <c:pt idx="82">
                  <c:v>42741</c:v>
                </c:pt>
                <c:pt idx="83">
                  <c:v>42742</c:v>
                </c:pt>
                <c:pt idx="84">
                  <c:v>42743</c:v>
                </c:pt>
                <c:pt idx="85">
                  <c:v>42744</c:v>
                </c:pt>
                <c:pt idx="86">
                  <c:v>42745</c:v>
                </c:pt>
                <c:pt idx="87">
                  <c:v>42746</c:v>
                </c:pt>
                <c:pt idx="88">
                  <c:v>42747</c:v>
                </c:pt>
                <c:pt idx="89">
                  <c:v>42748</c:v>
                </c:pt>
                <c:pt idx="90">
                  <c:v>42749</c:v>
                </c:pt>
                <c:pt idx="91">
                  <c:v>42750</c:v>
                </c:pt>
                <c:pt idx="92">
                  <c:v>42751</c:v>
                </c:pt>
                <c:pt idx="93">
                  <c:v>42752</c:v>
                </c:pt>
                <c:pt idx="94">
                  <c:v>42753</c:v>
                </c:pt>
                <c:pt idx="95">
                  <c:v>42754</c:v>
                </c:pt>
                <c:pt idx="96">
                  <c:v>42755</c:v>
                </c:pt>
                <c:pt idx="97">
                  <c:v>42756</c:v>
                </c:pt>
                <c:pt idx="98">
                  <c:v>42757</c:v>
                </c:pt>
                <c:pt idx="99">
                  <c:v>42758</c:v>
                </c:pt>
                <c:pt idx="100">
                  <c:v>42759</c:v>
                </c:pt>
                <c:pt idx="101">
                  <c:v>42760</c:v>
                </c:pt>
                <c:pt idx="102">
                  <c:v>42761</c:v>
                </c:pt>
                <c:pt idx="103">
                  <c:v>42762</c:v>
                </c:pt>
                <c:pt idx="104">
                  <c:v>42763</c:v>
                </c:pt>
                <c:pt idx="105">
                  <c:v>42764</c:v>
                </c:pt>
                <c:pt idx="106">
                  <c:v>42765</c:v>
                </c:pt>
                <c:pt idx="107">
                  <c:v>42766</c:v>
                </c:pt>
                <c:pt idx="108">
                  <c:v>42767</c:v>
                </c:pt>
                <c:pt idx="109">
                  <c:v>42768</c:v>
                </c:pt>
                <c:pt idx="110">
                  <c:v>42769</c:v>
                </c:pt>
                <c:pt idx="111">
                  <c:v>42770</c:v>
                </c:pt>
                <c:pt idx="112">
                  <c:v>42771</c:v>
                </c:pt>
                <c:pt idx="113">
                  <c:v>42772</c:v>
                </c:pt>
                <c:pt idx="114">
                  <c:v>42773</c:v>
                </c:pt>
                <c:pt idx="115">
                  <c:v>42774</c:v>
                </c:pt>
                <c:pt idx="116">
                  <c:v>42775</c:v>
                </c:pt>
                <c:pt idx="117">
                  <c:v>42776</c:v>
                </c:pt>
                <c:pt idx="118">
                  <c:v>42777</c:v>
                </c:pt>
                <c:pt idx="119">
                  <c:v>42778</c:v>
                </c:pt>
                <c:pt idx="120">
                  <c:v>42779</c:v>
                </c:pt>
                <c:pt idx="121">
                  <c:v>42780</c:v>
                </c:pt>
                <c:pt idx="122">
                  <c:v>42781</c:v>
                </c:pt>
                <c:pt idx="123">
                  <c:v>42782</c:v>
                </c:pt>
                <c:pt idx="124">
                  <c:v>42783</c:v>
                </c:pt>
                <c:pt idx="125">
                  <c:v>42784</c:v>
                </c:pt>
                <c:pt idx="126">
                  <c:v>42785</c:v>
                </c:pt>
                <c:pt idx="127">
                  <c:v>42786</c:v>
                </c:pt>
                <c:pt idx="128">
                  <c:v>42787</c:v>
                </c:pt>
                <c:pt idx="129">
                  <c:v>42788</c:v>
                </c:pt>
                <c:pt idx="130">
                  <c:v>42789</c:v>
                </c:pt>
                <c:pt idx="131">
                  <c:v>42790</c:v>
                </c:pt>
                <c:pt idx="132">
                  <c:v>42791</c:v>
                </c:pt>
                <c:pt idx="133">
                  <c:v>42792</c:v>
                </c:pt>
                <c:pt idx="134">
                  <c:v>42793</c:v>
                </c:pt>
                <c:pt idx="135">
                  <c:v>42794</c:v>
                </c:pt>
                <c:pt idx="136">
                  <c:v>42795</c:v>
                </c:pt>
                <c:pt idx="137">
                  <c:v>42796</c:v>
                </c:pt>
                <c:pt idx="138">
                  <c:v>42797</c:v>
                </c:pt>
                <c:pt idx="139">
                  <c:v>42798</c:v>
                </c:pt>
                <c:pt idx="140">
                  <c:v>42799</c:v>
                </c:pt>
                <c:pt idx="141">
                  <c:v>42800</c:v>
                </c:pt>
                <c:pt idx="142">
                  <c:v>42801</c:v>
                </c:pt>
                <c:pt idx="143">
                  <c:v>42802</c:v>
                </c:pt>
                <c:pt idx="144">
                  <c:v>42803</c:v>
                </c:pt>
                <c:pt idx="145">
                  <c:v>42804</c:v>
                </c:pt>
                <c:pt idx="146">
                  <c:v>42805</c:v>
                </c:pt>
                <c:pt idx="147">
                  <c:v>42806</c:v>
                </c:pt>
                <c:pt idx="148">
                  <c:v>42807</c:v>
                </c:pt>
                <c:pt idx="149">
                  <c:v>42808</c:v>
                </c:pt>
                <c:pt idx="150">
                  <c:v>42809</c:v>
                </c:pt>
                <c:pt idx="151">
                  <c:v>42810</c:v>
                </c:pt>
                <c:pt idx="152">
                  <c:v>42811</c:v>
                </c:pt>
                <c:pt idx="153">
                  <c:v>42812</c:v>
                </c:pt>
                <c:pt idx="154">
                  <c:v>42813</c:v>
                </c:pt>
                <c:pt idx="155">
                  <c:v>42814</c:v>
                </c:pt>
                <c:pt idx="156">
                  <c:v>42815</c:v>
                </c:pt>
                <c:pt idx="157">
                  <c:v>42816</c:v>
                </c:pt>
                <c:pt idx="158">
                  <c:v>42817</c:v>
                </c:pt>
                <c:pt idx="159">
                  <c:v>42818</c:v>
                </c:pt>
                <c:pt idx="160">
                  <c:v>42819</c:v>
                </c:pt>
                <c:pt idx="161">
                  <c:v>42820</c:v>
                </c:pt>
                <c:pt idx="162">
                  <c:v>42821</c:v>
                </c:pt>
                <c:pt idx="163">
                  <c:v>42822</c:v>
                </c:pt>
                <c:pt idx="164">
                  <c:v>42823</c:v>
                </c:pt>
                <c:pt idx="165">
                  <c:v>42824</c:v>
                </c:pt>
                <c:pt idx="166">
                  <c:v>42825</c:v>
                </c:pt>
                <c:pt idx="167">
                  <c:v>42826</c:v>
                </c:pt>
                <c:pt idx="168">
                  <c:v>42827</c:v>
                </c:pt>
                <c:pt idx="169">
                  <c:v>42828</c:v>
                </c:pt>
                <c:pt idx="170">
                  <c:v>42829</c:v>
                </c:pt>
                <c:pt idx="171">
                  <c:v>42830</c:v>
                </c:pt>
                <c:pt idx="172">
                  <c:v>42831</c:v>
                </c:pt>
                <c:pt idx="173">
                  <c:v>42832</c:v>
                </c:pt>
                <c:pt idx="174">
                  <c:v>42833</c:v>
                </c:pt>
                <c:pt idx="175">
                  <c:v>42834</c:v>
                </c:pt>
                <c:pt idx="176">
                  <c:v>42835</c:v>
                </c:pt>
                <c:pt idx="177">
                  <c:v>42836</c:v>
                </c:pt>
                <c:pt idx="178">
                  <c:v>42837</c:v>
                </c:pt>
                <c:pt idx="179">
                  <c:v>42838</c:v>
                </c:pt>
                <c:pt idx="180">
                  <c:v>42839</c:v>
                </c:pt>
                <c:pt idx="181">
                  <c:v>42840</c:v>
                </c:pt>
                <c:pt idx="182">
                  <c:v>42841</c:v>
                </c:pt>
                <c:pt idx="183">
                  <c:v>42842</c:v>
                </c:pt>
                <c:pt idx="184">
                  <c:v>42843</c:v>
                </c:pt>
                <c:pt idx="185">
                  <c:v>42844</c:v>
                </c:pt>
                <c:pt idx="186">
                  <c:v>42845</c:v>
                </c:pt>
                <c:pt idx="187">
                  <c:v>42846</c:v>
                </c:pt>
                <c:pt idx="188">
                  <c:v>42847</c:v>
                </c:pt>
                <c:pt idx="189">
                  <c:v>42848</c:v>
                </c:pt>
                <c:pt idx="190">
                  <c:v>42849</c:v>
                </c:pt>
                <c:pt idx="191">
                  <c:v>42850</c:v>
                </c:pt>
                <c:pt idx="192">
                  <c:v>42851</c:v>
                </c:pt>
                <c:pt idx="193">
                  <c:v>42852</c:v>
                </c:pt>
                <c:pt idx="194">
                  <c:v>42853</c:v>
                </c:pt>
                <c:pt idx="195">
                  <c:v>42854</c:v>
                </c:pt>
                <c:pt idx="196">
                  <c:v>42855</c:v>
                </c:pt>
                <c:pt idx="197">
                  <c:v>42856</c:v>
                </c:pt>
                <c:pt idx="198">
                  <c:v>42857</c:v>
                </c:pt>
                <c:pt idx="199">
                  <c:v>42858</c:v>
                </c:pt>
                <c:pt idx="200">
                  <c:v>42859</c:v>
                </c:pt>
                <c:pt idx="201">
                  <c:v>42860</c:v>
                </c:pt>
                <c:pt idx="202">
                  <c:v>42861</c:v>
                </c:pt>
                <c:pt idx="203">
                  <c:v>42862</c:v>
                </c:pt>
                <c:pt idx="204">
                  <c:v>42863</c:v>
                </c:pt>
                <c:pt idx="205">
                  <c:v>42864</c:v>
                </c:pt>
                <c:pt idx="206">
                  <c:v>42865</c:v>
                </c:pt>
                <c:pt idx="207">
                  <c:v>42866</c:v>
                </c:pt>
                <c:pt idx="208">
                  <c:v>42867</c:v>
                </c:pt>
                <c:pt idx="209">
                  <c:v>42868</c:v>
                </c:pt>
                <c:pt idx="210">
                  <c:v>42869</c:v>
                </c:pt>
                <c:pt idx="211">
                  <c:v>42870</c:v>
                </c:pt>
                <c:pt idx="212">
                  <c:v>42871</c:v>
                </c:pt>
                <c:pt idx="213">
                  <c:v>42872</c:v>
                </c:pt>
                <c:pt idx="214">
                  <c:v>42873</c:v>
                </c:pt>
                <c:pt idx="215">
                  <c:v>42874</c:v>
                </c:pt>
                <c:pt idx="216">
                  <c:v>42875</c:v>
                </c:pt>
                <c:pt idx="217">
                  <c:v>42876</c:v>
                </c:pt>
                <c:pt idx="218">
                  <c:v>42877</c:v>
                </c:pt>
                <c:pt idx="219">
                  <c:v>42878</c:v>
                </c:pt>
                <c:pt idx="220">
                  <c:v>42879</c:v>
                </c:pt>
                <c:pt idx="221">
                  <c:v>42880</c:v>
                </c:pt>
                <c:pt idx="222">
                  <c:v>42881</c:v>
                </c:pt>
                <c:pt idx="223">
                  <c:v>42882</c:v>
                </c:pt>
                <c:pt idx="224">
                  <c:v>42883</c:v>
                </c:pt>
                <c:pt idx="225">
                  <c:v>42884</c:v>
                </c:pt>
                <c:pt idx="226">
                  <c:v>42885</c:v>
                </c:pt>
                <c:pt idx="227">
                  <c:v>42886</c:v>
                </c:pt>
                <c:pt idx="228">
                  <c:v>42887</c:v>
                </c:pt>
                <c:pt idx="229">
                  <c:v>42888</c:v>
                </c:pt>
                <c:pt idx="230">
                  <c:v>42889</c:v>
                </c:pt>
                <c:pt idx="231">
                  <c:v>42890</c:v>
                </c:pt>
                <c:pt idx="232">
                  <c:v>42891</c:v>
                </c:pt>
                <c:pt idx="233">
                  <c:v>42892</c:v>
                </c:pt>
                <c:pt idx="234">
                  <c:v>42893</c:v>
                </c:pt>
                <c:pt idx="235">
                  <c:v>42894</c:v>
                </c:pt>
                <c:pt idx="236">
                  <c:v>42895</c:v>
                </c:pt>
                <c:pt idx="237">
                  <c:v>42896</c:v>
                </c:pt>
                <c:pt idx="238">
                  <c:v>42897</c:v>
                </c:pt>
                <c:pt idx="239">
                  <c:v>42898</c:v>
                </c:pt>
                <c:pt idx="240">
                  <c:v>42899</c:v>
                </c:pt>
                <c:pt idx="241">
                  <c:v>42900</c:v>
                </c:pt>
                <c:pt idx="242">
                  <c:v>42901</c:v>
                </c:pt>
                <c:pt idx="243">
                  <c:v>42902</c:v>
                </c:pt>
                <c:pt idx="244">
                  <c:v>42903</c:v>
                </c:pt>
                <c:pt idx="245">
                  <c:v>42904</c:v>
                </c:pt>
                <c:pt idx="246">
                  <c:v>42905</c:v>
                </c:pt>
                <c:pt idx="247">
                  <c:v>42906</c:v>
                </c:pt>
                <c:pt idx="248">
                  <c:v>42907</c:v>
                </c:pt>
                <c:pt idx="249">
                  <c:v>42908</c:v>
                </c:pt>
                <c:pt idx="250">
                  <c:v>42909</c:v>
                </c:pt>
                <c:pt idx="251">
                  <c:v>42910</c:v>
                </c:pt>
                <c:pt idx="252">
                  <c:v>42911</c:v>
                </c:pt>
                <c:pt idx="253">
                  <c:v>42912</c:v>
                </c:pt>
                <c:pt idx="254">
                  <c:v>42913</c:v>
                </c:pt>
                <c:pt idx="255">
                  <c:v>42914</c:v>
                </c:pt>
                <c:pt idx="256">
                  <c:v>42915</c:v>
                </c:pt>
                <c:pt idx="257">
                  <c:v>42916</c:v>
                </c:pt>
                <c:pt idx="258">
                  <c:v>42917</c:v>
                </c:pt>
                <c:pt idx="259">
                  <c:v>42918</c:v>
                </c:pt>
                <c:pt idx="260">
                  <c:v>42919</c:v>
                </c:pt>
                <c:pt idx="261">
                  <c:v>42920</c:v>
                </c:pt>
                <c:pt idx="262">
                  <c:v>42921</c:v>
                </c:pt>
                <c:pt idx="263">
                  <c:v>42922</c:v>
                </c:pt>
                <c:pt idx="264">
                  <c:v>42923</c:v>
                </c:pt>
                <c:pt idx="265">
                  <c:v>42924</c:v>
                </c:pt>
                <c:pt idx="266">
                  <c:v>42925</c:v>
                </c:pt>
                <c:pt idx="267">
                  <c:v>42926</c:v>
                </c:pt>
                <c:pt idx="268">
                  <c:v>42927</c:v>
                </c:pt>
                <c:pt idx="269">
                  <c:v>42928</c:v>
                </c:pt>
                <c:pt idx="270">
                  <c:v>42929</c:v>
                </c:pt>
                <c:pt idx="271">
                  <c:v>42930</c:v>
                </c:pt>
                <c:pt idx="272">
                  <c:v>42931</c:v>
                </c:pt>
                <c:pt idx="273">
                  <c:v>42932</c:v>
                </c:pt>
                <c:pt idx="274">
                  <c:v>42933</c:v>
                </c:pt>
                <c:pt idx="275">
                  <c:v>42934</c:v>
                </c:pt>
                <c:pt idx="276">
                  <c:v>42935</c:v>
                </c:pt>
                <c:pt idx="277">
                  <c:v>42936</c:v>
                </c:pt>
                <c:pt idx="278">
                  <c:v>42937</c:v>
                </c:pt>
                <c:pt idx="279">
                  <c:v>42938</c:v>
                </c:pt>
                <c:pt idx="280">
                  <c:v>42939</c:v>
                </c:pt>
                <c:pt idx="281">
                  <c:v>42940</c:v>
                </c:pt>
                <c:pt idx="282">
                  <c:v>42941</c:v>
                </c:pt>
                <c:pt idx="283">
                  <c:v>42942</c:v>
                </c:pt>
                <c:pt idx="284">
                  <c:v>42943</c:v>
                </c:pt>
                <c:pt idx="285">
                  <c:v>42944</c:v>
                </c:pt>
                <c:pt idx="286">
                  <c:v>42945</c:v>
                </c:pt>
                <c:pt idx="287">
                  <c:v>42946</c:v>
                </c:pt>
                <c:pt idx="288">
                  <c:v>42947</c:v>
                </c:pt>
                <c:pt idx="289">
                  <c:v>42948</c:v>
                </c:pt>
                <c:pt idx="290">
                  <c:v>42949</c:v>
                </c:pt>
                <c:pt idx="291">
                  <c:v>42950</c:v>
                </c:pt>
                <c:pt idx="292">
                  <c:v>42951</c:v>
                </c:pt>
                <c:pt idx="293">
                  <c:v>42952</c:v>
                </c:pt>
                <c:pt idx="294">
                  <c:v>42953</c:v>
                </c:pt>
                <c:pt idx="295">
                  <c:v>42954</c:v>
                </c:pt>
                <c:pt idx="296">
                  <c:v>42955</c:v>
                </c:pt>
                <c:pt idx="297">
                  <c:v>42956</c:v>
                </c:pt>
                <c:pt idx="298">
                  <c:v>42957</c:v>
                </c:pt>
                <c:pt idx="299">
                  <c:v>42958</c:v>
                </c:pt>
                <c:pt idx="300">
                  <c:v>42959</c:v>
                </c:pt>
                <c:pt idx="301">
                  <c:v>42960</c:v>
                </c:pt>
                <c:pt idx="302">
                  <c:v>42961</c:v>
                </c:pt>
                <c:pt idx="303">
                  <c:v>42962</c:v>
                </c:pt>
                <c:pt idx="304">
                  <c:v>42963</c:v>
                </c:pt>
                <c:pt idx="305">
                  <c:v>42964</c:v>
                </c:pt>
                <c:pt idx="306">
                  <c:v>42965</c:v>
                </c:pt>
                <c:pt idx="307">
                  <c:v>42966</c:v>
                </c:pt>
                <c:pt idx="308">
                  <c:v>42967</c:v>
                </c:pt>
                <c:pt idx="309">
                  <c:v>42968</c:v>
                </c:pt>
                <c:pt idx="310">
                  <c:v>42969</c:v>
                </c:pt>
                <c:pt idx="311">
                  <c:v>42970</c:v>
                </c:pt>
                <c:pt idx="312">
                  <c:v>42971</c:v>
                </c:pt>
                <c:pt idx="313">
                  <c:v>42972</c:v>
                </c:pt>
                <c:pt idx="314">
                  <c:v>42973</c:v>
                </c:pt>
                <c:pt idx="315">
                  <c:v>42974</c:v>
                </c:pt>
                <c:pt idx="316">
                  <c:v>42975</c:v>
                </c:pt>
                <c:pt idx="317">
                  <c:v>42976</c:v>
                </c:pt>
                <c:pt idx="318">
                  <c:v>42977</c:v>
                </c:pt>
                <c:pt idx="319">
                  <c:v>42978</c:v>
                </c:pt>
                <c:pt idx="320">
                  <c:v>42979</c:v>
                </c:pt>
                <c:pt idx="321">
                  <c:v>42980</c:v>
                </c:pt>
                <c:pt idx="322">
                  <c:v>42981</c:v>
                </c:pt>
                <c:pt idx="323">
                  <c:v>42982</c:v>
                </c:pt>
                <c:pt idx="324">
                  <c:v>42983</c:v>
                </c:pt>
                <c:pt idx="325">
                  <c:v>42984</c:v>
                </c:pt>
                <c:pt idx="326">
                  <c:v>42985</c:v>
                </c:pt>
                <c:pt idx="327">
                  <c:v>42986</c:v>
                </c:pt>
                <c:pt idx="328">
                  <c:v>42987</c:v>
                </c:pt>
                <c:pt idx="329">
                  <c:v>42988</c:v>
                </c:pt>
                <c:pt idx="330">
                  <c:v>42989</c:v>
                </c:pt>
                <c:pt idx="331">
                  <c:v>42990</c:v>
                </c:pt>
                <c:pt idx="332">
                  <c:v>42991</c:v>
                </c:pt>
                <c:pt idx="333">
                  <c:v>42992</c:v>
                </c:pt>
                <c:pt idx="334">
                  <c:v>42993</c:v>
                </c:pt>
              </c:numCache>
            </c:numRef>
          </c:cat>
          <c:val>
            <c:numRef>
              <c:f>Sheet2!$E$2:$E$356</c:f>
              <c:numCache>
                <c:formatCode>General</c:formatCode>
                <c:ptCount val="355"/>
                <c:pt idx="0">
                  <c:v>-4.2944609600000003</c:v>
                </c:pt>
                <c:pt idx="1">
                  <c:v>-3.7194113599999996</c:v>
                </c:pt>
                <c:pt idx="2">
                  <c:v>-3.6711078199999996</c:v>
                </c:pt>
                <c:pt idx="3">
                  <c:v>-3.31104099</c:v>
                </c:pt>
                <c:pt idx="4">
                  <c:v>-3.3750203499999998</c:v>
                </c:pt>
                <c:pt idx="5">
                  <c:v>-3.73895394</c:v>
                </c:pt>
                <c:pt idx="6">
                  <c:v>-2.9477820100000001</c:v>
                </c:pt>
                <c:pt idx="7">
                  <c:v>-2.86186535</c:v>
                </c:pt>
                <c:pt idx="8">
                  <c:v>-4.4199844600000002</c:v>
                </c:pt>
                <c:pt idx="9">
                  <c:v>-3.1989947599999997</c:v>
                </c:pt>
                <c:pt idx="10">
                  <c:v>-4.7192961799999997</c:v>
                </c:pt>
                <c:pt idx="11">
                  <c:v>-5.4555030999999996</c:v>
                </c:pt>
                <c:pt idx="12">
                  <c:v>-3.5632161999999998</c:v>
                </c:pt>
                <c:pt idx="13">
                  <c:v>-3.5600756599999999</c:v>
                </c:pt>
                <c:pt idx="14">
                  <c:v>-3.8921405599999996</c:v>
                </c:pt>
                <c:pt idx="15">
                  <c:v>-2.1006177299999997</c:v>
                </c:pt>
                <c:pt idx="16">
                  <c:v>-2.8989357199999999</c:v>
                </c:pt>
                <c:pt idx="17">
                  <c:v>-1.4925968699999999</c:v>
                </c:pt>
                <c:pt idx="18">
                  <c:v>-2.3373857999999998</c:v>
                </c:pt>
                <c:pt idx="19">
                  <c:v>-2.1745381500000001</c:v>
                </c:pt>
                <c:pt idx="20">
                  <c:v>-1.0954220700000001</c:v>
                </c:pt>
                <c:pt idx="21">
                  <c:v>-0.72319500000000003</c:v>
                </c:pt>
                <c:pt idx="22">
                  <c:v>-0.40236399</c:v>
                </c:pt>
                <c:pt idx="23">
                  <c:v>-0.71736894999999956</c:v>
                </c:pt>
                <c:pt idx="24">
                  <c:v>0.20178157000000008</c:v>
                </c:pt>
                <c:pt idx="25">
                  <c:v>-9.2572000000012977E-4</c:v>
                </c:pt>
                <c:pt idx="26">
                  <c:v>-2.4773392799999998</c:v>
                </c:pt>
                <c:pt idx="27">
                  <c:v>-3.9540358400000004</c:v>
                </c:pt>
                <c:pt idx="28">
                  <c:v>-3.7649732399999998</c:v>
                </c:pt>
                <c:pt idx="29">
                  <c:v>-1.7258294900000002</c:v>
                </c:pt>
                <c:pt idx="30">
                  <c:v>-0.38962313000000015</c:v>
                </c:pt>
                <c:pt idx="31">
                  <c:v>-0.68290539999999988</c:v>
                </c:pt>
                <c:pt idx="32">
                  <c:v>-1.17550913</c:v>
                </c:pt>
                <c:pt idx="33">
                  <c:v>-1.3469422200000001</c:v>
                </c:pt>
                <c:pt idx="34">
                  <c:v>2.2810728999999998</c:v>
                </c:pt>
                <c:pt idx="35">
                  <c:v>1.3368666300000001</c:v>
                </c:pt>
                <c:pt idx="36">
                  <c:v>4.5326184700000001</c:v>
                </c:pt>
                <c:pt idx="37">
                  <c:v>3.3884548299999997</c:v>
                </c:pt>
                <c:pt idx="38">
                  <c:v>2.41633809</c:v>
                </c:pt>
                <c:pt idx="39">
                  <c:v>3.5043284300000002</c:v>
                </c:pt>
                <c:pt idx="40">
                  <c:v>1.1840907999999999</c:v>
                </c:pt>
                <c:pt idx="41">
                  <c:v>4.5409130799999993</c:v>
                </c:pt>
                <c:pt idx="42">
                  <c:v>2.6739873200000002</c:v>
                </c:pt>
                <c:pt idx="43">
                  <c:v>3.6119922999999998</c:v>
                </c:pt>
                <c:pt idx="44">
                  <c:v>4.0900900700000005</c:v>
                </c:pt>
                <c:pt idx="45">
                  <c:v>3.7125683199999999</c:v>
                </c:pt>
                <c:pt idx="46">
                  <c:v>5.8599944399999995</c:v>
                </c:pt>
                <c:pt idx="47">
                  <c:v>5.00592551</c:v>
                </c:pt>
                <c:pt idx="48">
                  <c:v>3.8625002600000005</c:v>
                </c:pt>
                <c:pt idx="49">
                  <c:v>3.6085615400000002</c:v>
                </c:pt>
                <c:pt idx="50">
                  <c:v>4.1215558400000001</c:v>
                </c:pt>
                <c:pt idx="51">
                  <c:v>3.6936212799999999</c:v>
                </c:pt>
                <c:pt idx="52">
                  <c:v>1.3336172099999999</c:v>
                </c:pt>
                <c:pt idx="53">
                  <c:v>0.98013698000000016</c:v>
                </c:pt>
                <c:pt idx="54">
                  <c:v>2.2228947400000001</c:v>
                </c:pt>
                <c:pt idx="55">
                  <c:v>0.20273117999999979</c:v>
                </c:pt>
                <c:pt idx="56">
                  <c:v>-1.9380296099999992</c:v>
                </c:pt>
                <c:pt idx="57">
                  <c:v>-1.2506422099999996</c:v>
                </c:pt>
                <c:pt idx="58">
                  <c:v>-1.2378308599999999</c:v>
                </c:pt>
                <c:pt idx="59">
                  <c:v>-2.7442696299999998</c:v>
                </c:pt>
                <c:pt idx="60">
                  <c:v>-1.7650044200000004</c:v>
                </c:pt>
                <c:pt idx="61">
                  <c:v>-3.1041846499999997</c:v>
                </c:pt>
                <c:pt idx="62">
                  <c:v>-1.1762434200000005</c:v>
                </c:pt>
                <c:pt idx="63">
                  <c:v>-1.936009949999999</c:v>
                </c:pt>
                <c:pt idx="64">
                  <c:v>-2.3539875099999996</c:v>
                </c:pt>
                <c:pt idx="65">
                  <c:v>-1.5210475399999996</c:v>
                </c:pt>
                <c:pt idx="66">
                  <c:v>-2.7673226199999998</c:v>
                </c:pt>
                <c:pt idx="67">
                  <c:v>-4.44987961</c:v>
                </c:pt>
                <c:pt idx="68">
                  <c:v>-0.8965359700000004</c:v>
                </c:pt>
                <c:pt idx="69">
                  <c:v>-1.6354524500000007</c:v>
                </c:pt>
                <c:pt idx="70">
                  <c:v>-1.8535352700000001</c:v>
                </c:pt>
                <c:pt idx="71">
                  <c:v>-2.5312783999999997</c:v>
                </c:pt>
                <c:pt idx="72">
                  <c:v>-3.2259933300000014</c:v>
                </c:pt>
                <c:pt idx="73">
                  <c:v>-3.0438062299999995</c:v>
                </c:pt>
                <c:pt idx="74">
                  <c:v>-4.9137665100000003</c:v>
                </c:pt>
                <c:pt idx="75">
                  <c:v>-5.9669835599999974</c:v>
                </c:pt>
                <c:pt idx="76">
                  <c:v>-4.8457987399999993</c:v>
                </c:pt>
                <c:pt idx="77">
                  <c:v>-4.9108932299999992</c:v>
                </c:pt>
                <c:pt idx="78">
                  <c:v>-5.3581277399999987</c:v>
                </c:pt>
                <c:pt idx="79">
                  <c:v>-4.2507416400000011</c:v>
                </c:pt>
                <c:pt idx="80">
                  <c:v>-2.000222830000002</c:v>
                </c:pt>
                <c:pt idx="81">
                  <c:v>-2.6916190699999998</c:v>
                </c:pt>
                <c:pt idx="82">
                  <c:v>-2.6111771099999981</c:v>
                </c:pt>
                <c:pt idx="83">
                  <c:v>-5.9248062000000008</c:v>
                </c:pt>
                <c:pt idx="84">
                  <c:v>-6.0115849200000007</c:v>
                </c:pt>
                <c:pt idx="85">
                  <c:v>-5.4689479100000007</c:v>
                </c:pt>
                <c:pt idx="86">
                  <c:v>-7.0220980500000003</c:v>
                </c:pt>
                <c:pt idx="87">
                  <c:v>-6.0038572800000001</c:v>
                </c:pt>
                <c:pt idx="88">
                  <c:v>-6.2202545199999992</c:v>
                </c:pt>
                <c:pt idx="89">
                  <c:v>-3.9711198100000011</c:v>
                </c:pt>
                <c:pt idx="90">
                  <c:v>-4.9217439800000022</c:v>
                </c:pt>
                <c:pt idx="91">
                  <c:v>-4.7477854700000002</c:v>
                </c:pt>
                <c:pt idx="92">
                  <c:v>-4.9431347399999979</c:v>
                </c:pt>
                <c:pt idx="93">
                  <c:v>-3.3985724200000007</c:v>
                </c:pt>
                <c:pt idx="94">
                  <c:v>-2.763469790000002</c:v>
                </c:pt>
                <c:pt idx="95">
                  <c:v>-2.8636835200000021</c:v>
                </c:pt>
                <c:pt idx="96">
                  <c:v>-4.448971659999998</c:v>
                </c:pt>
                <c:pt idx="97">
                  <c:v>-2.3165355199999986</c:v>
                </c:pt>
                <c:pt idx="98">
                  <c:v>-2.0271510600000013</c:v>
                </c:pt>
                <c:pt idx="99">
                  <c:v>-4.6818595399999978</c:v>
                </c:pt>
                <c:pt idx="100">
                  <c:v>-3.716662040000001</c:v>
                </c:pt>
                <c:pt idx="101">
                  <c:v>-4.2990545300000012</c:v>
                </c:pt>
                <c:pt idx="102">
                  <c:v>-5.0751953200000006</c:v>
                </c:pt>
                <c:pt idx="103">
                  <c:v>-3.3780694099999984</c:v>
                </c:pt>
                <c:pt idx="104">
                  <c:v>-3.0429966500000027</c:v>
                </c:pt>
                <c:pt idx="105">
                  <c:v>-2.3642576799999979</c:v>
                </c:pt>
                <c:pt idx="106">
                  <c:v>-0.97415601000000152</c:v>
                </c:pt>
                <c:pt idx="107">
                  <c:v>-0.84736533999999963</c:v>
                </c:pt>
                <c:pt idx="108">
                  <c:v>0.22035727999999821</c:v>
                </c:pt>
                <c:pt idx="109">
                  <c:v>-0.26265584000000075</c:v>
                </c:pt>
                <c:pt idx="110">
                  <c:v>-2.9539663499999982</c:v>
                </c:pt>
                <c:pt idx="111">
                  <c:v>-3.3081438599999977</c:v>
                </c:pt>
                <c:pt idx="112">
                  <c:v>-4.6050131900000011</c:v>
                </c:pt>
                <c:pt idx="113">
                  <c:v>-6.8032167800000014</c:v>
                </c:pt>
                <c:pt idx="114">
                  <c:v>-4.6901452799999976</c:v>
                </c:pt>
                <c:pt idx="115">
                  <c:v>-3.0170235999999981</c:v>
                </c:pt>
                <c:pt idx="116">
                  <c:v>-5.7260808399999998</c:v>
                </c:pt>
                <c:pt idx="117">
                  <c:v>-5.8248581999999995</c:v>
                </c:pt>
                <c:pt idx="118">
                  <c:v>-3.1931593300000003</c:v>
                </c:pt>
                <c:pt idx="119">
                  <c:v>-3.8195585199999975</c:v>
                </c:pt>
                <c:pt idx="120">
                  <c:v>-1.2778091600000003</c:v>
                </c:pt>
                <c:pt idx="121">
                  <c:v>-1.1062891600000029</c:v>
                </c:pt>
                <c:pt idx="122">
                  <c:v>-0.12298831000000021</c:v>
                </c:pt>
                <c:pt idx="123">
                  <c:v>-0.98831698999999773</c:v>
                </c:pt>
                <c:pt idx="124">
                  <c:v>-1.7788282299999985</c:v>
                </c:pt>
                <c:pt idx="125">
                  <c:v>-3.1193516600000031</c:v>
                </c:pt>
                <c:pt idx="126">
                  <c:v>-1.7953390599999999</c:v>
                </c:pt>
                <c:pt idx="127">
                  <c:v>-4.1598592799999992</c:v>
                </c:pt>
                <c:pt idx="128">
                  <c:v>-4.3060691699999971</c:v>
                </c:pt>
                <c:pt idx="129">
                  <c:v>-3.4368765299999993</c:v>
                </c:pt>
                <c:pt idx="130">
                  <c:v>-3.3975595399999996</c:v>
                </c:pt>
                <c:pt idx="131">
                  <c:v>-3.6738824100000009</c:v>
                </c:pt>
                <c:pt idx="132">
                  <c:v>-4.2961025300000024</c:v>
                </c:pt>
                <c:pt idx="133">
                  <c:v>-5.2074159900000012</c:v>
                </c:pt>
                <c:pt idx="134">
                  <c:v>-5.1926400800000003</c:v>
                </c:pt>
                <c:pt idx="135">
                  <c:v>-3.6277573099999998</c:v>
                </c:pt>
                <c:pt idx="136">
                  <c:v>-1.8757874000000001</c:v>
                </c:pt>
                <c:pt idx="137">
                  <c:v>1.1952359999998663E-2</c:v>
                </c:pt>
                <c:pt idx="138">
                  <c:v>1.4412650099999986</c:v>
                </c:pt>
                <c:pt idx="139">
                  <c:v>2.8651530399999992</c:v>
                </c:pt>
                <c:pt idx="140">
                  <c:v>1.8970769999999995</c:v>
                </c:pt>
                <c:pt idx="141">
                  <c:v>4.8576927500000018</c:v>
                </c:pt>
                <c:pt idx="142">
                  <c:v>5.62218822</c:v>
                </c:pt>
                <c:pt idx="143">
                  <c:v>7.716088860000001</c:v>
                </c:pt>
                <c:pt idx="144">
                  <c:v>7.2758424300000009</c:v>
                </c:pt>
                <c:pt idx="145">
                  <c:v>7.8970323999999987</c:v>
                </c:pt>
                <c:pt idx="146">
                  <c:v>6.6593061200000001</c:v>
                </c:pt>
                <c:pt idx="147">
                  <c:v>8.8274296100000011</c:v>
                </c:pt>
                <c:pt idx="148">
                  <c:v>9.0473782700000012</c:v>
                </c:pt>
                <c:pt idx="149">
                  <c:v>10.73016397</c:v>
                </c:pt>
                <c:pt idx="150">
                  <c:v>9.9918418100000004</c:v>
                </c:pt>
                <c:pt idx="151">
                  <c:v>11.06475807</c:v>
                </c:pt>
                <c:pt idx="152">
                  <c:v>10.48203127</c:v>
                </c:pt>
                <c:pt idx="153">
                  <c:v>9.4937885000000009</c:v>
                </c:pt>
                <c:pt idx="154">
                  <c:v>8.4429296899999997</c:v>
                </c:pt>
                <c:pt idx="155">
                  <c:v>4.6258319300000004</c:v>
                </c:pt>
                <c:pt idx="156">
                  <c:v>5.0723208100000008</c:v>
                </c:pt>
                <c:pt idx="157">
                  <c:v>6.0110813699999994</c:v>
                </c:pt>
                <c:pt idx="158">
                  <c:v>8.4516040399999994</c:v>
                </c:pt>
                <c:pt idx="159">
                  <c:v>9.215488989999999</c:v>
                </c:pt>
                <c:pt idx="160">
                  <c:v>7.9523571799999999</c:v>
                </c:pt>
                <c:pt idx="161">
                  <c:v>7.5731186900000012</c:v>
                </c:pt>
                <c:pt idx="162">
                  <c:v>6.167890589999999</c:v>
                </c:pt>
                <c:pt idx="163">
                  <c:v>8.0151490299999981</c:v>
                </c:pt>
                <c:pt idx="164">
                  <c:v>8.8599105300000005</c:v>
                </c:pt>
                <c:pt idx="165">
                  <c:v>6.84076752</c:v>
                </c:pt>
                <c:pt idx="166">
                  <c:v>8.17247317</c:v>
                </c:pt>
                <c:pt idx="167">
                  <c:v>8.9655914600000024</c:v>
                </c:pt>
                <c:pt idx="168">
                  <c:v>8.879678779999999</c:v>
                </c:pt>
                <c:pt idx="169">
                  <c:v>9.0567905899999985</c:v>
                </c:pt>
                <c:pt idx="170">
                  <c:v>12.046477909999998</c:v>
                </c:pt>
                <c:pt idx="171">
                  <c:v>13.48374892</c:v>
                </c:pt>
                <c:pt idx="172">
                  <c:v>14.08471203</c:v>
                </c:pt>
                <c:pt idx="173">
                  <c:v>13.05998187</c:v>
                </c:pt>
                <c:pt idx="174">
                  <c:v>12.866504539999999</c:v>
                </c:pt>
                <c:pt idx="175">
                  <c:v>14.1128015</c:v>
                </c:pt>
                <c:pt idx="176">
                  <c:v>13.889086020000001</c:v>
                </c:pt>
                <c:pt idx="177">
                  <c:v>13.359069909999999</c:v>
                </c:pt>
                <c:pt idx="178">
                  <c:v>13.378127179999998</c:v>
                </c:pt>
                <c:pt idx="179">
                  <c:v>13.472637309999998</c:v>
                </c:pt>
                <c:pt idx="180">
                  <c:v>12.591773380000001</c:v>
                </c:pt>
                <c:pt idx="181">
                  <c:v>13.17054248</c:v>
                </c:pt>
                <c:pt idx="182">
                  <c:v>13.953603999999999</c:v>
                </c:pt>
                <c:pt idx="183">
                  <c:v>13.479113790000001</c:v>
                </c:pt>
                <c:pt idx="184">
                  <c:v>14.16412635</c:v>
                </c:pt>
                <c:pt idx="185">
                  <c:v>10.94372894</c:v>
                </c:pt>
                <c:pt idx="186">
                  <c:v>9.0892563799999984</c:v>
                </c:pt>
                <c:pt idx="187">
                  <c:v>7.8963992800000007</c:v>
                </c:pt>
                <c:pt idx="188">
                  <c:v>5.3963011099999996</c:v>
                </c:pt>
                <c:pt idx="189">
                  <c:v>4.8832773899999999</c:v>
                </c:pt>
                <c:pt idx="190">
                  <c:v>5.1028062699999985</c:v>
                </c:pt>
                <c:pt idx="191">
                  <c:v>5.437740790000003</c:v>
                </c:pt>
                <c:pt idx="192">
                  <c:v>5.3735535900000002</c:v>
                </c:pt>
                <c:pt idx="193">
                  <c:v>4.0811329200000017</c:v>
                </c:pt>
                <c:pt idx="194">
                  <c:v>4.0501452799999988</c:v>
                </c:pt>
                <c:pt idx="195">
                  <c:v>7.2998981699999987</c:v>
                </c:pt>
                <c:pt idx="196">
                  <c:v>11.426392230000001</c:v>
                </c:pt>
                <c:pt idx="197">
                  <c:v>11.234564330000001</c:v>
                </c:pt>
                <c:pt idx="198">
                  <c:v>10.146508399999998</c:v>
                </c:pt>
                <c:pt idx="199">
                  <c:v>11.941512889999998</c:v>
                </c:pt>
                <c:pt idx="200">
                  <c:v>8.2388930099999982</c:v>
                </c:pt>
                <c:pt idx="201">
                  <c:v>4.8357447600000008</c:v>
                </c:pt>
                <c:pt idx="202">
                  <c:v>1.9313698100000032</c:v>
                </c:pt>
                <c:pt idx="203">
                  <c:v>2.1550221799999996</c:v>
                </c:pt>
                <c:pt idx="204">
                  <c:v>3.8796917699999973</c:v>
                </c:pt>
                <c:pt idx="205">
                  <c:v>3.3051875400000021</c:v>
                </c:pt>
                <c:pt idx="206">
                  <c:v>3.0827448900000007</c:v>
                </c:pt>
                <c:pt idx="207">
                  <c:v>4.16616724</c:v>
                </c:pt>
                <c:pt idx="208">
                  <c:v>6.3857813499999985</c:v>
                </c:pt>
                <c:pt idx="209">
                  <c:v>5.7782505999999998</c:v>
                </c:pt>
                <c:pt idx="210">
                  <c:v>5.3244932700000014</c:v>
                </c:pt>
                <c:pt idx="211">
                  <c:v>6.3296527299999994</c:v>
                </c:pt>
                <c:pt idx="212">
                  <c:v>6.5807767500000018</c:v>
                </c:pt>
                <c:pt idx="213">
                  <c:v>6.4905146399999971</c:v>
                </c:pt>
                <c:pt idx="214">
                  <c:v>6.5365689000000025</c:v>
                </c:pt>
                <c:pt idx="215">
                  <c:v>9.3201721299999996</c:v>
                </c:pt>
                <c:pt idx="216">
                  <c:v>8.6235094399999994</c:v>
                </c:pt>
                <c:pt idx="217">
                  <c:v>8.6386494800000015</c:v>
                </c:pt>
                <c:pt idx="218">
                  <c:v>8.5553140799999987</c:v>
                </c:pt>
                <c:pt idx="219">
                  <c:v>9.518861710000003</c:v>
                </c:pt>
                <c:pt idx="220">
                  <c:v>11.497817159999997</c:v>
                </c:pt>
                <c:pt idx="221">
                  <c:v>12.294915020000001</c:v>
                </c:pt>
                <c:pt idx="222">
                  <c:v>12.99077256</c:v>
                </c:pt>
                <c:pt idx="223">
                  <c:v>12.248004239999997</c:v>
                </c:pt>
                <c:pt idx="224">
                  <c:v>12.863602909999997</c:v>
                </c:pt>
                <c:pt idx="225">
                  <c:v>14.087737260000001</c:v>
                </c:pt>
                <c:pt idx="226">
                  <c:v>13.328646689999996</c:v>
                </c:pt>
                <c:pt idx="227">
                  <c:v>12.54474802</c:v>
                </c:pt>
                <c:pt idx="228">
                  <c:v>10.134729309999997</c:v>
                </c:pt>
                <c:pt idx="229">
                  <c:v>10.36647893</c:v>
                </c:pt>
                <c:pt idx="230">
                  <c:v>9.5720852899999969</c:v>
                </c:pt>
                <c:pt idx="231">
                  <c:v>8.517412979999996</c:v>
                </c:pt>
                <c:pt idx="232">
                  <c:v>6.3271694300000014</c:v>
                </c:pt>
                <c:pt idx="233">
                  <c:v>4.5900959300000004</c:v>
                </c:pt>
                <c:pt idx="234">
                  <c:v>1.7304432600000013</c:v>
                </c:pt>
                <c:pt idx="235">
                  <c:v>0.73885649999999714</c:v>
                </c:pt>
                <c:pt idx="236">
                  <c:v>-0.93874861999999837</c:v>
                </c:pt>
                <c:pt idx="237">
                  <c:v>-1.3983421800000002</c:v>
                </c:pt>
                <c:pt idx="238">
                  <c:v>-1.6987017299999998</c:v>
                </c:pt>
                <c:pt idx="239">
                  <c:v>-2.1242802499999982</c:v>
                </c:pt>
                <c:pt idx="240">
                  <c:v>-3.3468071299999984</c:v>
                </c:pt>
                <c:pt idx="241">
                  <c:v>-1.8721281799999971</c:v>
                </c:pt>
                <c:pt idx="242">
                  <c:v>0.27615884000000079</c:v>
                </c:pt>
                <c:pt idx="243">
                  <c:v>2.2010770300000004</c:v>
                </c:pt>
                <c:pt idx="244">
                  <c:v>1.15648543</c:v>
                </c:pt>
                <c:pt idx="245">
                  <c:v>1.6738922599999988</c:v>
                </c:pt>
                <c:pt idx="246">
                  <c:v>1.1279831300000005</c:v>
                </c:pt>
                <c:pt idx="247">
                  <c:v>2.6406822000000005</c:v>
                </c:pt>
                <c:pt idx="248">
                  <c:v>3.0951498300000004</c:v>
                </c:pt>
                <c:pt idx="249">
                  <c:v>0.817368290000001</c:v>
                </c:pt>
                <c:pt idx="250">
                  <c:v>2.7533136100000029</c:v>
                </c:pt>
                <c:pt idx="251">
                  <c:v>1.9095892699999979</c:v>
                </c:pt>
                <c:pt idx="252">
                  <c:v>0.75874412000000291</c:v>
                </c:pt>
                <c:pt idx="253">
                  <c:v>1.2030382400000015</c:v>
                </c:pt>
                <c:pt idx="254">
                  <c:v>1.8173050099999983</c:v>
                </c:pt>
                <c:pt idx="255">
                  <c:v>3.9168117300000027</c:v>
                </c:pt>
                <c:pt idx="256">
                  <c:v>4.5175489800000008</c:v>
                </c:pt>
                <c:pt idx="257">
                  <c:v>3.1047712000000018</c:v>
                </c:pt>
                <c:pt idx="258">
                  <c:v>5.3766812900000005</c:v>
                </c:pt>
                <c:pt idx="259">
                  <c:v>4.6451676500000012</c:v>
                </c:pt>
                <c:pt idx="260">
                  <c:v>2.0368339800000008</c:v>
                </c:pt>
                <c:pt idx="261">
                  <c:v>3.360260310000001</c:v>
                </c:pt>
                <c:pt idx="262">
                  <c:v>2.4669159999999977</c:v>
                </c:pt>
                <c:pt idx="263">
                  <c:v>1.7571356199999997</c:v>
                </c:pt>
                <c:pt idx="264">
                  <c:v>2.4858927699999995</c:v>
                </c:pt>
                <c:pt idx="265">
                  <c:v>5.3695271199999972</c:v>
                </c:pt>
                <c:pt idx="266">
                  <c:v>4.7285147400000014</c:v>
                </c:pt>
                <c:pt idx="267">
                  <c:v>6.0392082600000023</c:v>
                </c:pt>
                <c:pt idx="268">
                  <c:v>5.8497280099999998</c:v>
                </c:pt>
                <c:pt idx="269">
                  <c:v>9.1801470300000005</c:v>
                </c:pt>
                <c:pt idx="270">
                  <c:v>9.6386495399999994</c:v>
                </c:pt>
                <c:pt idx="271">
                  <c:v>9.2103553599999977</c:v>
                </c:pt>
                <c:pt idx="272">
                  <c:v>7.820164909999999</c:v>
                </c:pt>
                <c:pt idx="273">
                  <c:v>9.3826425600000007</c:v>
                </c:pt>
                <c:pt idx="274">
                  <c:v>9.6210620899999988</c:v>
                </c:pt>
                <c:pt idx="275">
                  <c:v>7.1616112099999967</c:v>
                </c:pt>
                <c:pt idx="276">
                  <c:v>8.9352333199999983</c:v>
                </c:pt>
                <c:pt idx="277">
                  <c:v>9.6040659499999954</c:v>
                </c:pt>
                <c:pt idx="278">
                  <c:v>9.2887710200000022</c:v>
                </c:pt>
                <c:pt idx="279">
                  <c:v>9.6061537699999988</c:v>
                </c:pt>
                <c:pt idx="280">
                  <c:v>11.443378059999997</c:v>
                </c:pt>
                <c:pt idx="281">
                  <c:v>12.127844019999998</c:v>
                </c:pt>
                <c:pt idx="282">
                  <c:v>11.619779999999999</c:v>
                </c:pt>
                <c:pt idx="283">
                  <c:v>13.153190000000002</c:v>
                </c:pt>
                <c:pt idx="284">
                  <c:v>11.421494110000001</c:v>
                </c:pt>
                <c:pt idx="285">
                  <c:v>12.71783469</c:v>
                </c:pt>
                <c:pt idx="286">
                  <c:v>16.122616619999999</c:v>
                </c:pt>
                <c:pt idx="287">
                  <c:v>16.074983770000003</c:v>
                </c:pt>
                <c:pt idx="288">
                  <c:v>16.301495550000002</c:v>
                </c:pt>
                <c:pt idx="289">
                  <c:v>16.296095440000002</c:v>
                </c:pt>
                <c:pt idx="290">
                  <c:v>19.186710780000002</c:v>
                </c:pt>
                <c:pt idx="291">
                  <c:v>19.476170080000003</c:v>
                </c:pt>
                <c:pt idx="292">
                  <c:v>20.511561109999999</c:v>
                </c:pt>
                <c:pt idx="293">
                  <c:v>20.53692131</c:v>
                </c:pt>
                <c:pt idx="294">
                  <c:v>19.38775704</c:v>
                </c:pt>
                <c:pt idx="295">
                  <c:v>17.303788520000005</c:v>
                </c:pt>
                <c:pt idx="296">
                  <c:v>18.287041949999999</c:v>
                </c:pt>
                <c:pt idx="297">
                  <c:v>16.273597890000005</c:v>
                </c:pt>
                <c:pt idx="298">
                  <c:v>17.537933469999999</c:v>
                </c:pt>
                <c:pt idx="299">
                  <c:v>15.301512019999997</c:v>
                </c:pt>
                <c:pt idx="300">
                  <c:v>12.90328469</c:v>
                </c:pt>
                <c:pt idx="301">
                  <c:v>11.718483290000002</c:v>
                </c:pt>
                <c:pt idx="302">
                  <c:v>10.909718609999999</c:v>
                </c:pt>
                <c:pt idx="303">
                  <c:v>12.59587015</c:v>
                </c:pt>
                <c:pt idx="304">
                  <c:v>13.354470660000004</c:v>
                </c:pt>
                <c:pt idx="305">
                  <c:v>11.523063</c:v>
                </c:pt>
                <c:pt idx="306">
                  <c:v>10.057028589999998</c:v>
                </c:pt>
                <c:pt idx="307">
                  <c:v>11.876046110000001</c:v>
                </c:pt>
                <c:pt idx="308">
                  <c:v>9.8042147100000001</c:v>
                </c:pt>
                <c:pt idx="309">
                  <c:v>8.4836764500000008</c:v>
                </c:pt>
                <c:pt idx="310">
                  <c:v>10.979279699999996</c:v>
                </c:pt>
                <c:pt idx="311">
                  <c:v>9.0560966699999987</c:v>
                </c:pt>
                <c:pt idx="312">
                  <c:v>10.025515420000005</c:v>
                </c:pt>
                <c:pt idx="313">
                  <c:v>9.49530545</c:v>
                </c:pt>
                <c:pt idx="314">
                  <c:v>10.406795600000002</c:v>
                </c:pt>
                <c:pt idx="315">
                  <c:v>11.529015560000001</c:v>
                </c:pt>
                <c:pt idx="316">
                  <c:v>12.579463530000002</c:v>
                </c:pt>
                <c:pt idx="317">
                  <c:v>15.140947320000002</c:v>
                </c:pt>
                <c:pt idx="318">
                  <c:v>14.594094009999999</c:v>
                </c:pt>
                <c:pt idx="319">
                  <c:v>14.196943039999997</c:v>
                </c:pt>
                <c:pt idx="320">
                  <c:v>15.242114740000002</c:v>
                </c:pt>
                <c:pt idx="321">
                  <c:v>18.32320575</c:v>
                </c:pt>
                <c:pt idx="322">
                  <c:v>19.35138435</c:v>
                </c:pt>
                <c:pt idx="323">
                  <c:v>16.889321509999998</c:v>
                </c:pt>
                <c:pt idx="324">
                  <c:v>15.713568780000003</c:v>
                </c:pt>
                <c:pt idx="325">
                  <c:v>15.530781080000001</c:v>
                </c:pt>
                <c:pt idx="326">
                  <c:v>17.064596380000001</c:v>
                </c:pt>
                <c:pt idx="327">
                  <c:v>19.167408710000004</c:v>
                </c:pt>
                <c:pt idx="328">
                  <c:v>20.909366510000002</c:v>
                </c:pt>
                <c:pt idx="329">
                  <c:v>21.50355102</c:v>
                </c:pt>
                <c:pt idx="330">
                  <c:v>21.805122950000001</c:v>
                </c:pt>
                <c:pt idx="331">
                  <c:v>19.314891839999998</c:v>
                </c:pt>
                <c:pt idx="332">
                  <c:v>20.136789359999998</c:v>
                </c:pt>
                <c:pt idx="333">
                  <c:v>18.677046909999998</c:v>
                </c:pt>
                <c:pt idx="334">
                  <c:v>15.469604589999996</c:v>
                </c:pt>
              </c:numCache>
            </c:numRef>
          </c:val>
          <c:smooth val="0"/>
          <c:extLst>
            <c:ext xmlns:c16="http://schemas.microsoft.com/office/drawing/2014/chart" uri="{C3380CC4-5D6E-409C-BE32-E72D297353CC}">
              <c16:uniqueId val="{00000000-4F8E-4733-9F84-F4C75E928596}"/>
            </c:ext>
          </c:extLst>
        </c:ser>
        <c:dLbls>
          <c:showLegendKey val="0"/>
          <c:showVal val="0"/>
          <c:showCatName val="0"/>
          <c:showSerName val="0"/>
          <c:showPercent val="0"/>
          <c:showBubbleSize val="0"/>
        </c:dLbls>
        <c:smooth val="0"/>
        <c:axId val="596234416"/>
        <c:axId val="1292859792"/>
      </c:lineChart>
      <c:dateAx>
        <c:axId val="596234416"/>
        <c:scaling>
          <c:orientation val="minMax"/>
        </c:scaling>
        <c:delete val="0"/>
        <c:axPos val="b"/>
        <c:numFmt formatCode="dd-mmm-yy"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292859792"/>
        <c:crosses val="autoZero"/>
        <c:auto val="1"/>
        <c:lblOffset val="100"/>
        <c:baseTimeUnit val="days"/>
      </c:dateAx>
      <c:valAx>
        <c:axId val="1292859792"/>
        <c:scaling>
          <c:orientation val="minMax"/>
        </c:scaling>
        <c:delete val="0"/>
        <c:axPos val="l"/>
        <c:majorGridlines>
          <c:spPr>
            <a:ln w="9525" cap="flat" cmpd="sng" algn="ctr">
              <a:solidFill>
                <a:schemeClr val="tx2">
                  <a:lumMod val="15000"/>
                  <a:lumOff val="85000"/>
                </a:schemeClr>
              </a:solidFill>
              <a:round/>
            </a:ln>
            <a:effectLst/>
          </c:spPr>
        </c:majorGridlines>
        <c:minorGridlines>
          <c:spPr>
            <a:ln>
              <a:solidFill>
                <a:schemeClr val="tx2">
                  <a:lumMod val="5000"/>
                  <a:lumOff val="95000"/>
                </a:schemeClr>
              </a:solidFill>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596234416"/>
        <c:crosses val="autoZero"/>
        <c:crossBetween val="between"/>
      </c:valAx>
      <c:spPr>
        <a:noFill/>
        <a:ln>
          <a:noFill/>
        </a:ln>
        <a:effectLst/>
      </c:spPr>
    </c:plotArea>
    <c:plotVisOnly val="1"/>
    <c:dispBlanksAs val="zero"/>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Pricing</a:t>
            </a:r>
            <a:r>
              <a:rPr lang="en-US" baseline="0"/>
              <a:t> of GDAX Relative to BitStamp</a:t>
            </a:r>
            <a:br>
              <a:rPr lang="en-US" baseline="0"/>
            </a:br>
            <a:r>
              <a:rPr lang="en-US" sz="1100" i="1" baseline="0"/>
              <a:t>(deviation % from parity)</a:t>
            </a:r>
            <a:endParaRPr lang="en-US" i="1"/>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lineChart>
        <c:grouping val="stacked"/>
        <c:varyColors val="0"/>
        <c:ser>
          <c:idx val="0"/>
          <c:order val="0"/>
          <c:spPr>
            <a:ln w="31750" cap="rnd">
              <a:solidFill>
                <a:schemeClr val="accent1"/>
              </a:solidFill>
              <a:round/>
            </a:ln>
            <a:effectLst/>
          </c:spPr>
          <c:marker>
            <c:symbol val="none"/>
          </c:marker>
          <c:cat>
            <c:numRef>
              <c:f>Sheet2!$F$2:$F$356</c:f>
              <c:numCache>
                <c:formatCode>dd-mmm-yy</c:formatCode>
                <c:ptCount val="355"/>
                <c:pt idx="0">
                  <c:v>42659</c:v>
                </c:pt>
                <c:pt idx="1">
                  <c:v>42660</c:v>
                </c:pt>
                <c:pt idx="2">
                  <c:v>42661</c:v>
                </c:pt>
                <c:pt idx="3">
                  <c:v>42662</c:v>
                </c:pt>
                <c:pt idx="4">
                  <c:v>42663</c:v>
                </c:pt>
                <c:pt idx="5">
                  <c:v>42664</c:v>
                </c:pt>
                <c:pt idx="6">
                  <c:v>42665</c:v>
                </c:pt>
                <c:pt idx="7">
                  <c:v>42666</c:v>
                </c:pt>
                <c:pt idx="8">
                  <c:v>42667</c:v>
                </c:pt>
                <c:pt idx="9">
                  <c:v>42668</c:v>
                </c:pt>
                <c:pt idx="10">
                  <c:v>42669</c:v>
                </c:pt>
                <c:pt idx="11">
                  <c:v>42670</c:v>
                </c:pt>
                <c:pt idx="12">
                  <c:v>42671</c:v>
                </c:pt>
                <c:pt idx="13">
                  <c:v>42672</c:v>
                </c:pt>
                <c:pt idx="14">
                  <c:v>42673</c:v>
                </c:pt>
                <c:pt idx="15">
                  <c:v>42674</c:v>
                </c:pt>
                <c:pt idx="16">
                  <c:v>42675</c:v>
                </c:pt>
                <c:pt idx="17">
                  <c:v>42676</c:v>
                </c:pt>
                <c:pt idx="18">
                  <c:v>42677</c:v>
                </c:pt>
                <c:pt idx="19">
                  <c:v>42678</c:v>
                </c:pt>
                <c:pt idx="20">
                  <c:v>42679</c:v>
                </c:pt>
                <c:pt idx="21">
                  <c:v>42680</c:v>
                </c:pt>
                <c:pt idx="22">
                  <c:v>42681</c:v>
                </c:pt>
                <c:pt idx="23">
                  <c:v>42682</c:v>
                </c:pt>
                <c:pt idx="24">
                  <c:v>42683</c:v>
                </c:pt>
                <c:pt idx="25">
                  <c:v>42684</c:v>
                </c:pt>
                <c:pt idx="26">
                  <c:v>42685</c:v>
                </c:pt>
                <c:pt idx="27">
                  <c:v>42686</c:v>
                </c:pt>
                <c:pt idx="28">
                  <c:v>42687</c:v>
                </c:pt>
                <c:pt idx="29">
                  <c:v>42688</c:v>
                </c:pt>
                <c:pt idx="30">
                  <c:v>42689</c:v>
                </c:pt>
                <c:pt idx="31">
                  <c:v>42690</c:v>
                </c:pt>
                <c:pt idx="32">
                  <c:v>42691</c:v>
                </c:pt>
                <c:pt idx="33">
                  <c:v>42692</c:v>
                </c:pt>
                <c:pt idx="34">
                  <c:v>42693</c:v>
                </c:pt>
                <c:pt idx="35">
                  <c:v>42694</c:v>
                </c:pt>
                <c:pt idx="36">
                  <c:v>42695</c:v>
                </c:pt>
                <c:pt idx="37">
                  <c:v>42696</c:v>
                </c:pt>
                <c:pt idx="38">
                  <c:v>42697</c:v>
                </c:pt>
                <c:pt idx="39">
                  <c:v>42698</c:v>
                </c:pt>
                <c:pt idx="40">
                  <c:v>42699</c:v>
                </c:pt>
                <c:pt idx="41">
                  <c:v>42700</c:v>
                </c:pt>
                <c:pt idx="42">
                  <c:v>42701</c:v>
                </c:pt>
                <c:pt idx="43">
                  <c:v>42702</c:v>
                </c:pt>
                <c:pt idx="44">
                  <c:v>42703</c:v>
                </c:pt>
                <c:pt idx="45">
                  <c:v>42704</c:v>
                </c:pt>
                <c:pt idx="46">
                  <c:v>42705</c:v>
                </c:pt>
                <c:pt idx="47">
                  <c:v>42706</c:v>
                </c:pt>
                <c:pt idx="48">
                  <c:v>42707</c:v>
                </c:pt>
                <c:pt idx="49">
                  <c:v>42708</c:v>
                </c:pt>
                <c:pt idx="50">
                  <c:v>42709</c:v>
                </c:pt>
                <c:pt idx="51">
                  <c:v>42710</c:v>
                </c:pt>
                <c:pt idx="52">
                  <c:v>42711</c:v>
                </c:pt>
                <c:pt idx="53">
                  <c:v>42712</c:v>
                </c:pt>
                <c:pt idx="54">
                  <c:v>42713</c:v>
                </c:pt>
                <c:pt idx="55">
                  <c:v>42714</c:v>
                </c:pt>
                <c:pt idx="56">
                  <c:v>42715</c:v>
                </c:pt>
                <c:pt idx="57">
                  <c:v>42716</c:v>
                </c:pt>
                <c:pt idx="58">
                  <c:v>42717</c:v>
                </c:pt>
                <c:pt idx="59">
                  <c:v>42718</c:v>
                </c:pt>
                <c:pt idx="60">
                  <c:v>42719</c:v>
                </c:pt>
                <c:pt idx="61">
                  <c:v>42720</c:v>
                </c:pt>
                <c:pt idx="62">
                  <c:v>42721</c:v>
                </c:pt>
                <c:pt idx="63">
                  <c:v>42722</c:v>
                </c:pt>
                <c:pt idx="64">
                  <c:v>42723</c:v>
                </c:pt>
                <c:pt idx="65">
                  <c:v>42724</c:v>
                </c:pt>
                <c:pt idx="66">
                  <c:v>42725</c:v>
                </c:pt>
                <c:pt idx="67">
                  <c:v>42726</c:v>
                </c:pt>
                <c:pt idx="68">
                  <c:v>42727</c:v>
                </c:pt>
                <c:pt idx="69">
                  <c:v>42728</c:v>
                </c:pt>
                <c:pt idx="70">
                  <c:v>42729</c:v>
                </c:pt>
                <c:pt idx="71">
                  <c:v>42730</c:v>
                </c:pt>
                <c:pt idx="72">
                  <c:v>42731</c:v>
                </c:pt>
                <c:pt idx="73">
                  <c:v>42732</c:v>
                </c:pt>
                <c:pt idx="74">
                  <c:v>42733</c:v>
                </c:pt>
                <c:pt idx="75">
                  <c:v>42734</c:v>
                </c:pt>
                <c:pt idx="76">
                  <c:v>42735</c:v>
                </c:pt>
                <c:pt idx="77">
                  <c:v>42736</c:v>
                </c:pt>
                <c:pt idx="78">
                  <c:v>42737</c:v>
                </c:pt>
                <c:pt idx="79">
                  <c:v>42738</c:v>
                </c:pt>
                <c:pt idx="80">
                  <c:v>42739</c:v>
                </c:pt>
                <c:pt idx="81">
                  <c:v>42740</c:v>
                </c:pt>
                <c:pt idx="82">
                  <c:v>42741</c:v>
                </c:pt>
                <c:pt idx="83">
                  <c:v>42742</c:v>
                </c:pt>
                <c:pt idx="84">
                  <c:v>42743</c:v>
                </c:pt>
                <c:pt idx="85">
                  <c:v>42744</c:v>
                </c:pt>
                <c:pt idx="86">
                  <c:v>42745</c:v>
                </c:pt>
                <c:pt idx="87">
                  <c:v>42746</c:v>
                </c:pt>
                <c:pt idx="88">
                  <c:v>42747</c:v>
                </c:pt>
                <c:pt idx="89">
                  <c:v>42748</c:v>
                </c:pt>
                <c:pt idx="90">
                  <c:v>42749</c:v>
                </c:pt>
                <c:pt idx="91">
                  <c:v>42750</c:v>
                </c:pt>
                <c:pt idx="92">
                  <c:v>42751</c:v>
                </c:pt>
                <c:pt idx="93">
                  <c:v>42752</c:v>
                </c:pt>
                <c:pt idx="94">
                  <c:v>42753</c:v>
                </c:pt>
                <c:pt idx="95">
                  <c:v>42754</c:v>
                </c:pt>
                <c:pt idx="96">
                  <c:v>42755</c:v>
                </c:pt>
                <c:pt idx="97">
                  <c:v>42756</c:v>
                </c:pt>
                <c:pt idx="98">
                  <c:v>42757</c:v>
                </c:pt>
                <c:pt idx="99">
                  <c:v>42758</c:v>
                </c:pt>
                <c:pt idx="100">
                  <c:v>42759</c:v>
                </c:pt>
                <c:pt idx="101">
                  <c:v>42760</c:v>
                </c:pt>
                <c:pt idx="102">
                  <c:v>42761</c:v>
                </c:pt>
                <c:pt idx="103">
                  <c:v>42762</c:v>
                </c:pt>
                <c:pt idx="104">
                  <c:v>42763</c:v>
                </c:pt>
                <c:pt idx="105">
                  <c:v>42764</c:v>
                </c:pt>
                <c:pt idx="106">
                  <c:v>42765</c:v>
                </c:pt>
                <c:pt idx="107">
                  <c:v>42766</c:v>
                </c:pt>
                <c:pt idx="108">
                  <c:v>42767</c:v>
                </c:pt>
                <c:pt idx="109">
                  <c:v>42768</c:v>
                </c:pt>
                <c:pt idx="110">
                  <c:v>42769</c:v>
                </c:pt>
                <c:pt idx="111">
                  <c:v>42770</c:v>
                </c:pt>
                <c:pt idx="112">
                  <c:v>42771</c:v>
                </c:pt>
                <c:pt idx="113">
                  <c:v>42772</c:v>
                </c:pt>
                <c:pt idx="114">
                  <c:v>42773</c:v>
                </c:pt>
                <c:pt idx="115">
                  <c:v>42774</c:v>
                </c:pt>
                <c:pt idx="116">
                  <c:v>42775</c:v>
                </c:pt>
                <c:pt idx="117">
                  <c:v>42776</c:v>
                </c:pt>
                <c:pt idx="118">
                  <c:v>42777</c:v>
                </c:pt>
                <c:pt idx="119">
                  <c:v>42778</c:v>
                </c:pt>
                <c:pt idx="120">
                  <c:v>42779</c:v>
                </c:pt>
                <c:pt idx="121">
                  <c:v>42780</c:v>
                </c:pt>
                <c:pt idx="122">
                  <c:v>42781</c:v>
                </c:pt>
                <c:pt idx="123">
                  <c:v>42782</c:v>
                </c:pt>
                <c:pt idx="124">
                  <c:v>42783</c:v>
                </c:pt>
                <c:pt idx="125">
                  <c:v>42784</c:v>
                </c:pt>
                <c:pt idx="126">
                  <c:v>42785</c:v>
                </c:pt>
                <c:pt idx="127">
                  <c:v>42786</c:v>
                </c:pt>
                <c:pt idx="128">
                  <c:v>42787</c:v>
                </c:pt>
                <c:pt idx="129">
                  <c:v>42788</c:v>
                </c:pt>
                <c:pt idx="130">
                  <c:v>42789</c:v>
                </c:pt>
                <c:pt idx="131">
                  <c:v>42790</c:v>
                </c:pt>
                <c:pt idx="132">
                  <c:v>42791</c:v>
                </c:pt>
                <c:pt idx="133">
                  <c:v>42792</c:v>
                </c:pt>
                <c:pt idx="134">
                  <c:v>42793</c:v>
                </c:pt>
                <c:pt idx="135">
                  <c:v>42794</c:v>
                </c:pt>
                <c:pt idx="136">
                  <c:v>42795</c:v>
                </c:pt>
                <c:pt idx="137">
                  <c:v>42796</c:v>
                </c:pt>
                <c:pt idx="138">
                  <c:v>42797</c:v>
                </c:pt>
                <c:pt idx="139">
                  <c:v>42798</c:v>
                </c:pt>
                <c:pt idx="140">
                  <c:v>42799</c:v>
                </c:pt>
                <c:pt idx="141">
                  <c:v>42800</c:v>
                </c:pt>
                <c:pt idx="142">
                  <c:v>42801</c:v>
                </c:pt>
                <c:pt idx="143">
                  <c:v>42802</c:v>
                </c:pt>
                <c:pt idx="144">
                  <c:v>42803</c:v>
                </c:pt>
                <c:pt idx="145">
                  <c:v>42804</c:v>
                </c:pt>
                <c:pt idx="146">
                  <c:v>42805</c:v>
                </c:pt>
                <c:pt idx="147">
                  <c:v>42806</c:v>
                </c:pt>
                <c:pt idx="148">
                  <c:v>42807</c:v>
                </c:pt>
                <c:pt idx="149">
                  <c:v>42808</c:v>
                </c:pt>
                <c:pt idx="150">
                  <c:v>42809</c:v>
                </c:pt>
                <c:pt idx="151">
                  <c:v>42810</c:v>
                </c:pt>
                <c:pt idx="152">
                  <c:v>42811</c:v>
                </c:pt>
                <c:pt idx="153">
                  <c:v>42812</c:v>
                </c:pt>
                <c:pt idx="154">
                  <c:v>42813</c:v>
                </c:pt>
                <c:pt idx="155">
                  <c:v>42814</c:v>
                </c:pt>
                <c:pt idx="156">
                  <c:v>42815</c:v>
                </c:pt>
                <c:pt idx="157">
                  <c:v>42816</c:v>
                </c:pt>
                <c:pt idx="158">
                  <c:v>42817</c:v>
                </c:pt>
                <c:pt idx="159">
                  <c:v>42818</c:v>
                </c:pt>
                <c:pt idx="160">
                  <c:v>42819</c:v>
                </c:pt>
                <c:pt idx="161">
                  <c:v>42820</c:v>
                </c:pt>
                <c:pt idx="162">
                  <c:v>42821</c:v>
                </c:pt>
                <c:pt idx="163">
                  <c:v>42822</c:v>
                </c:pt>
                <c:pt idx="164">
                  <c:v>42823</c:v>
                </c:pt>
                <c:pt idx="165">
                  <c:v>42824</c:v>
                </c:pt>
                <c:pt idx="166">
                  <c:v>42825</c:v>
                </c:pt>
                <c:pt idx="167">
                  <c:v>42826</c:v>
                </c:pt>
                <c:pt idx="168">
                  <c:v>42827</c:v>
                </c:pt>
                <c:pt idx="169">
                  <c:v>42828</c:v>
                </c:pt>
                <c:pt idx="170">
                  <c:v>42829</c:v>
                </c:pt>
                <c:pt idx="171">
                  <c:v>42830</c:v>
                </c:pt>
                <c:pt idx="172">
                  <c:v>42831</c:v>
                </c:pt>
                <c:pt idx="173">
                  <c:v>42832</c:v>
                </c:pt>
                <c:pt idx="174">
                  <c:v>42833</c:v>
                </c:pt>
                <c:pt idx="175">
                  <c:v>42834</c:v>
                </c:pt>
                <c:pt idx="176">
                  <c:v>42835</c:v>
                </c:pt>
                <c:pt idx="177">
                  <c:v>42836</c:v>
                </c:pt>
                <c:pt idx="178">
                  <c:v>42837</c:v>
                </c:pt>
                <c:pt idx="179">
                  <c:v>42838</c:v>
                </c:pt>
                <c:pt idx="180">
                  <c:v>42839</c:v>
                </c:pt>
                <c:pt idx="181">
                  <c:v>42840</c:v>
                </c:pt>
                <c:pt idx="182">
                  <c:v>42841</c:v>
                </c:pt>
                <c:pt idx="183">
                  <c:v>42842</c:v>
                </c:pt>
                <c:pt idx="184">
                  <c:v>42843</c:v>
                </c:pt>
                <c:pt idx="185">
                  <c:v>42844</c:v>
                </c:pt>
                <c:pt idx="186">
                  <c:v>42845</c:v>
                </c:pt>
                <c:pt idx="187">
                  <c:v>42846</c:v>
                </c:pt>
                <c:pt idx="188">
                  <c:v>42847</c:v>
                </c:pt>
                <c:pt idx="189">
                  <c:v>42848</c:v>
                </c:pt>
                <c:pt idx="190">
                  <c:v>42849</c:v>
                </c:pt>
                <c:pt idx="191">
                  <c:v>42850</c:v>
                </c:pt>
                <c:pt idx="192">
                  <c:v>42851</c:v>
                </c:pt>
                <c:pt idx="193">
                  <c:v>42852</c:v>
                </c:pt>
                <c:pt idx="194">
                  <c:v>42853</c:v>
                </c:pt>
                <c:pt idx="195">
                  <c:v>42854</c:v>
                </c:pt>
                <c:pt idx="196">
                  <c:v>42855</c:v>
                </c:pt>
                <c:pt idx="197">
                  <c:v>42856</c:v>
                </c:pt>
                <c:pt idx="198">
                  <c:v>42857</c:v>
                </c:pt>
                <c:pt idx="199">
                  <c:v>42858</c:v>
                </c:pt>
                <c:pt idx="200">
                  <c:v>42859</c:v>
                </c:pt>
                <c:pt idx="201">
                  <c:v>42860</c:v>
                </c:pt>
                <c:pt idx="202">
                  <c:v>42861</c:v>
                </c:pt>
                <c:pt idx="203">
                  <c:v>42862</c:v>
                </c:pt>
                <c:pt idx="204">
                  <c:v>42863</c:v>
                </c:pt>
                <c:pt idx="205">
                  <c:v>42864</c:v>
                </c:pt>
                <c:pt idx="206">
                  <c:v>42865</c:v>
                </c:pt>
                <c:pt idx="207">
                  <c:v>42866</c:v>
                </c:pt>
                <c:pt idx="208">
                  <c:v>42867</c:v>
                </c:pt>
                <c:pt idx="209">
                  <c:v>42868</c:v>
                </c:pt>
                <c:pt idx="210">
                  <c:v>42869</c:v>
                </c:pt>
                <c:pt idx="211">
                  <c:v>42870</c:v>
                </c:pt>
                <c:pt idx="212">
                  <c:v>42871</c:v>
                </c:pt>
                <c:pt idx="213">
                  <c:v>42872</c:v>
                </c:pt>
                <c:pt idx="214">
                  <c:v>42873</c:v>
                </c:pt>
                <c:pt idx="215">
                  <c:v>42874</c:v>
                </c:pt>
                <c:pt idx="216">
                  <c:v>42875</c:v>
                </c:pt>
                <c:pt idx="217">
                  <c:v>42876</c:v>
                </c:pt>
                <c:pt idx="218">
                  <c:v>42877</c:v>
                </c:pt>
                <c:pt idx="219">
                  <c:v>42878</c:v>
                </c:pt>
                <c:pt idx="220">
                  <c:v>42879</c:v>
                </c:pt>
                <c:pt idx="221">
                  <c:v>42880</c:v>
                </c:pt>
                <c:pt idx="222">
                  <c:v>42881</c:v>
                </c:pt>
                <c:pt idx="223">
                  <c:v>42882</c:v>
                </c:pt>
                <c:pt idx="224">
                  <c:v>42883</c:v>
                </c:pt>
                <c:pt idx="225">
                  <c:v>42884</c:v>
                </c:pt>
                <c:pt idx="226">
                  <c:v>42885</c:v>
                </c:pt>
                <c:pt idx="227">
                  <c:v>42886</c:v>
                </c:pt>
                <c:pt idx="228">
                  <c:v>42887</c:v>
                </c:pt>
                <c:pt idx="229">
                  <c:v>42888</c:v>
                </c:pt>
                <c:pt idx="230">
                  <c:v>42889</c:v>
                </c:pt>
                <c:pt idx="231">
                  <c:v>42890</c:v>
                </c:pt>
                <c:pt idx="232">
                  <c:v>42891</c:v>
                </c:pt>
                <c:pt idx="233">
                  <c:v>42892</c:v>
                </c:pt>
                <c:pt idx="234">
                  <c:v>42893</c:v>
                </c:pt>
                <c:pt idx="235">
                  <c:v>42894</c:v>
                </c:pt>
                <c:pt idx="236">
                  <c:v>42895</c:v>
                </c:pt>
                <c:pt idx="237">
                  <c:v>42896</c:v>
                </c:pt>
                <c:pt idx="238">
                  <c:v>42897</c:v>
                </c:pt>
                <c:pt idx="239">
                  <c:v>42898</c:v>
                </c:pt>
                <c:pt idx="240">
                  <c:v>42899</c:v>
                </c:pt>
                <c:pt idx="241">
                  <c:v>42900</c:v>
                </c:pt>
                <c:pt idx="242">
                  <c:v>42901</c:v>
                </c:pt>
                <c:pt idx="243">
                  <c:v>42902</c:v>
                </c:pt>
                <c:pt idx="244">
                  <c:v>42903</c:v>
                </c:pt>
                <c:pt idx="245">
                  <c:v>42904</c:v>
                </c:pt>
                <c:pt idx="246">
                  <c:v>42905</c:v>
                </c:pt>
                <c:pt idx="247">
                  <c:v>42906</c:v>
                </c:pt>
                <c:pt idx="248">
                  <c:v>42907</c:v>
                </c:pt>
                <c:pt idx="249">
                  <c:v>42908</c:v>
                </c:pt>
                <c:pt idx="250">
                  <c:v>42909</c:v>
                </c:pt>
                <c:pt idx="251">
                  <c:v>42910</c:v>
                </c:pt>
                <c:pt idx="252">
                  <c:v>42911</c:v>
                </c:pt>
                <c:pt idx="253">
                  <c:v>42912</c:v>
                </c:pt>
                <c:pt idx="254">
                  <c:v>42913</c:v>
                </c:pt>
                <c:pt idx="255">
                  <c:v>42914</c:v>
                </c:pt>
                <c:pt idx="256">
                  <c:v>42915</c:v>
                </c:pt>
                <c:pt idx="257">
                  <c:v>42916</c:v>
                </c:pt>
                <c:pt idx="258">
                  <c:v>42917</c:v>
                </c:pt>
                <c:pt idx="259">
                  <c:v>42918</c:v>
                </c:pt>
                <c:pt idx="260">
                  <c:v>42919</c:v>
                </c:pt>
                <c:pt idx="261">
                  <c:v>42920</c:v>
                </c:pt>
                <c:pt idx="262">
                  <c:v>42921</c:v>
                </c:pt>
                <c:pt idx="263">
                  <c:v>42922</c:v>
                </c:pt>
                <c:pt idx="264">
                  <c:v>42923</c:v>
                </c:pt>
                <c:pt idx="265">
                  <c:v>42924</c:v>
                </c:pt>
                <c:pt idx="266">
                  <c:v>42925</c:v>
                </c:pt>
                <c:pt idx="267">
                  <c:v>42926</c:v>
                </c:pt>
                <c:pt idx="268">
                  <c:v>42927</c:v>
                </c:pt>
                <c:pt idx="269">
                  <c:v>42928</c:v>
                </c:pt>
                <c:pt idx="270">
                  <c:v>42929</c:v>
                </c:pt>
                <c:pt idx="271">
                  <c:v>42930</c:v>
                </c:pt>
                <c:pt idx="272">
                  <c:v>42931</c:v>
                </c:pt>
                <c:pt idx="273">
                  <c:v>42932</c:v>
                </c:pt>
                <c:pt idx="274">
                  <c:v>42933</c:v>
                </c:pt>
                <c:pt idx="275">
                  <c:v>42934</c:v>
                </c:pt>
                <c:pt idx="276">
                  <c:v>42935</c:v>
                </c:pt>
                <c:pt idx="277">
                  <c:v>42936</c:v>
                </c:pt>
                <c:pt idx="278">
                  <c:v>42937</c:v>
                </c:pt>
                <c:pt idx="279">
                  <c:v>42938</c:v>
                </c:pt>
                <c:pt idx="280">
                  <c:v>42939</c:v>
                </c:pt>
                <c:pt idx="281">
                  <c:v>42940</c:v>
                </c:pt>
                <c:pt idx="282">
                  <c:v>42941</c:v>
                </c:pt>
                <c:pt idx="283">
                  <c:v>42942</c:v>
                </c:pt>
                <c:pt idx="284">
                  <c:v>42943</c:v>
                </c:pt>
                <c:pt idx="285">
                  <c:v>42944</c:v>
                </c:pt>
                <c:pt idx="286">
                  <c:v>42945</c:v>
                </c:pt>
                <c:pt idx="287">
                  <c:v>42946</c:v>
                </c:pt>
                <c:pt idx="288">
                  <c:v>42947</c:v>
                </c:pt>
                <c:pt idx="289">
                  <c:v>42948</c:v>
                </c:pt>
                <c:pt idx="290">
                  <c:v>42949</c:v>
                </c:pt>
                <c:pt idx="291">
                  <c:v>42950</c:v>
                </c:pt>
                <c:pt idx="292">
                  <c:v>42951</c:v>
                </c:pt>
                <c:pt idx="293">
                  <c:v>42952</c:v>
                </c:pt>
                <c:pt idx="294">
                  <c:v>42953</c:v>
                </c:pt>
                <c:pt idx="295">
                  <c:v>42954</c:v>
                </c:pt>
                <c:pt idx="296">
                  <c:v>42955</c:v>
                </c:pt>
                <c:pt idx="297">
                  <c:v>42956</c:v>
                </c:pt>
                <c:pt idx="298">
                  <c:v>42957</c:v>
                </c:pt>
                <c:pt idx="299">
                  <c:v>42958</c:v>
                </c:pt>
                <c:pt idx="300">
                  <c:v>42959</c:v>
                </c:pt>
                <c:pt idx="301">
                  <c:v>42960</c:v>
                </c:pt>
                <c:pt idx="302">
                  <c:v>42961</c:v>
                </c:pt>
                <c:pt idx="303">
                  <c:v>42962</c:v>
                </c:pt>
                <c:pt idx="304">
                  <c:v>42963</c:v>
                </c:pt>
                <c:pt idx="305">
                  <c:v>42964</c:v>
                </c:pt>
                <c:pt idx="306">
                  <c:v>42965</c:v>
                </c:pt>
                <c:pt idx="307">
                  <c:v>42966</c:v>
                </c:pt>
                <c:pt idx="308">
                  <c:v>42967</c:v>
                </c:pt>
                <c:pt idx="309">
                  <c:v>42968</c:v>
                </c:pt>
                <c:pt idx="310">
                  <c:v>42969</c:v>
                </c:pt>
                <c:pt idx="311">
                  <c:v>42970</c:v>
                </c:pt>
                <c:pt idx="312">
                  <c:v>42971</c:v>
                </c:pt>
                <c:pt idx="313">
                  <c:v>42972</c:v>
                </c:pt>
                <c:pt idx="314">
                  <c:v>42973</c:v>
                </c:pt>
                <c:pt idx="315">
                  <c:v>42974</c:v>
                </c:pt>
                <c:pt idx="316">
                  <c:v>42975</c:v>
                </c:pt>
                <c:pt idx="317">
                  <c:v>42976</c:v>
                </c:pt>
                <c:pt idx="318">
                  <c:v>42977</c:v>
                </c:pt>
                <c:pt idx="319">
                  <c:v>42978</c:v>
                </c:pt>
                <c:pt idx="320">
                  <c:v>42979</c:v>
                </c:pt>
                <c:pt idx="321">
                  <c:v>42980</c:v>
                </c:pt>
                <c:pt idx="322">
                  <c:v>42981</c:v>
                </c:pt>
                <c:pt idx="323">
                  <c:v>42982</c:v>
                </c:pt>
                <c:pt idx="324">
                  <c:v>42983</c:v>
                </c:pt>
                <c:pt idx="325">
                  <c:v>42984</c:v>
                </c:pt>
                <c:pt idx="326">
                  <c:v>42985</c:v>
                </c:pt>
                <c:pt idx="327">
                  <c:v>42986</c:v>
                </c:pt>
                <c:pt idx="328">
                  <c:v>42987</c:v>
                </c:pt>
                <c:pt idx="329">
                  <c:v>42988</c:v>
                </c:pt>
                <c:pt idx="330">
                  <c:v>42989</c:v>
                </c:pt>
                <c:pt idx="331">
                  <c:v>42990</c:v>
                </c:pt>
                <c:pt idx="332">
                  <c:v>42991</c:v>
                </c:pt>
                <c:pt idx="333">
                  <c:v>42992</c:v>
                </c:pt>
                <c:pt idx="334">
                  <c:v>42993</c:v>
                </c:pt>
              </c:numCache>
            </c:numRef>
          </c:cat>
          <c:val>
            <c:numRef>
              <c:f>Sheet2!$E$2:$E$356</c:f>
              <c:numCache>
                <c:formatCode>General</c:formatCode>
                <c:ptCount val="355"/>
                <c:pt idx="0">
                  <c:v>-4.2944609600000003</c:v>
                </c:pt>
                <c:pt idx="1">
                  <c:v>-3.7194113599999996</c:v>
                </c:pt>
                <c:pt idx="2">
                  <c:v>-3.6711078199999996</c:v>
                </c:pt>
                <c:pt idx="3">
                  <c:v>-3.31104099</c:v>
                </c:pt>
                <c:pt idx="4">
                  <c:v>-3.3750203499999998</c:v>
                </c:pt>
                <c:pt idx="5">
                  <c:v>-3.73895394</c:v>
                </c:pt>
                <c:pt idx="6">
                  <c:v>-2.9477820100000001</c:v>
                </c:pt>
                <c:pt idx="7">
                  <c:v>-2.86186535</c:v>
                </c:pt>
                <c:pt idx="8">
                  <c:v>-4.4199844600000002</c:v>
                </c:pt>
                <c:pt idx="9">
                  <c:v>-3.1989947599999997</c:v>
                </c:pt>
                <c:pt idx="10">
                  <c:v>-4.7192961799999997</c:v>
                </c:pt>
                <c:pt idx="11">
                  <c:v>-5.4555030999999996</c:v>
                </c:pt>
                <c:pt idx="12">
                  <c:v>-3.5632161999999998</c:v>
                </c:pt>
                <c:pt idx="13">
                  <c:v>-3.5600756599999999</c:v>
                </c:pt>
                <c:pt idx="14">
                  <c:v>-3.8921405599999996</c:v>
                </c:pt>
                <c:pt idx="15">
                  <c:v>-2.1006177299999997</c:v>
                </c:pt>
                <c:pt idx="16">
                  <c:v>-2.8989357199999999</c:v>
                </c:pt>
                <c:pt idx="17">
                  <c:v>-1.4925968699999999</c:v>
                </c:pt>
                <c:pt idx="18">
                  <c:v>-2.3373857999999998</c:v>
                </c:pt>
                <c:pt idx="19">
                  <c:v>-2.1745381500000001</c:v>
                </c:pt>
                <c:pt idx="20">
                  <c:v>-1.0954220700000001</c:v>
                </c:pt>
                <c:pt idx="21">
                  <c:v>-0.72319500000000003</c:v>
                </c:pt>
                <c:pt idx="22">
                  <c:v>-0.40236399</c:v>
                </c:pt>
                <c:pt idx="23">
                  <c:v>-0.71736894999999956</c:v>
                </c:pt>
                <c:pt idx="24">
                  <c:v>0.20178157000000008</c:v>
                </c:pt>
                <c:pt idx="25">
                  <c:v>-9.2572000000012977E-4</c:v>
                </c:pt>
                <c:pt idx="26">
                  <c:v>-2.4773392799999998</c:v>
                </c:pt>
                <c:pt idx="27">
                  <c:v>-3.9540358400000004</c:v>
                </c:pt>
                <c:pt idx="28">
                  <c:v>-3.7649732399999998</c:v>
                </c:pt>
                <c:pt idx="29">
                  <c:v>-1.7258294900000002</c:v>
                </c:pt>
                <c:pt idx="30">
                  <c:v>-0.38962313000000015</c:v>
                </c:pt>
                <c:pt idx="31">
                  <c:v>-0.68290539999999988</c:v>
                </c:pt>
                <c:pt idx="32">
                  <c:v>-1.17550913</c:v>
                </c:pt>
                <c:pt idx="33">
                  <c:v>-1.3469422200000001</c:v>
                </c:pt>
                <c:pt idx="34">
                  <c:v>2.2810728999999998</c:v>
                </c:pt>
                <c:pt idx="35">
                  <c:v>1.3368666300000001</c:v>
                </c:pt>
                <c:pt idx="36">
                  <c:v>4.5326184700000001</c:v>
                </c:pt>
                <c:pt idx="37">
                  <c:v>3.3884548299999997</c:v>
                </c:pt>
                <c:pt idx="38">
                  <c:v>2.41633809</c:v>
                </c:pt>
                <c:pt idx="39">
                  <c:v>3.5043284300000002</c:v>
                </c:pt>
                <c:pt idx="40">
                  <c:v>1.1840907999999999</c:v>
                </c:pt>
                <c:pt idx="41">
                  <c:v>4.5409130799999993</c:v>
                </c:pt>
                <c:pt idx="42">
                  <c:v>2.6739873200000002</c:v>
                </c:pt>
                <c:pt idx="43">
                  <c:v>3.6119922999999998</c:v>
                </c:pt>
                <c:pt idx="44">
                  <c:v>4.0900900700000005</c:v>
                </c:pt>
                <c:pt idx="45">
                  <c:v>3.7125683199999999</c:v>
                </c:pt>
                <c:pt idx="46">
                  <c:v>5.8599944399999995</c:v>
                </c:pt>
                <c:pt idx="47">
                  <c:v>5.00592551</c:v>
                </c:pt>
                <c:pt idx="48">
                  <c:v>3.8625002600000005</c:v>
                </c:pt>
                <c:pt idx="49">
                  <c:v>3.6085615400000002</c:v>
                </c:pt>
                <c:pt idx="50">
                  <c:v>4.1215558400000001</c:v>
                </c:pt>
                <c:pt idx="51">
                  <c:v>3.6936212799999999</c:v>
                </c:pt>
                <c:pt idx="52">
                  <c:v>1.3336172099999999</c:v>
                </c:pt>
                <c:pt idx="53">
                  <c:v>0.98013698000000016</c:v>
                </c:pt>
                <c:pt idx="54">
                  <c:v>2.2228947400000001</c:v>
                </c:pt>
                <c:pt idx="55">
                  <c:v>0.20273117999999979</c:v>
                </c:pt>
                <c:pt idx="56">
                  <c:v>-1.9380296099999992</c:v>
                </c:pt>
                <c:pt idx="57">
                  <c:v>-1.2506422099999996</c:v>
                </c:pt>
                <c:pt idx="58">
                  <c:v>-1.2378308599999999</c:v>
                </c:pt>
                <c:pt idx="59">
                  <c:v>-2.7442696299999998</c:v>
                </c:pt>
                <c:pt idx="60">
                  <c:v>-1.7650044200000004</c:v>
                </c:pt>
                <c:pt idx="61">
                  <c:v>-3.1041846499999997</c:v>
                </c:pt>
                <c:pt idx="62">
                  <c:v>-1.1762434200000005</c:v>
                </c:pt>
                <c:pt idx="63">
                  <c:v>-1.936009949999999</c:v>
                </c:pt>
                <c:pt idx="64">
                  <c:v>-2.3539875099999996</c:v>
                </c:pt>
                <c:pt idx="65">
                  <c:v>-1.5210475399999996</c:v>
                </c:pt>
                <c:pt idx="66">
                  <c:v>-2.7673226199999998</c:v>
                </c:pt>
                <c:pt idx="67">
                  <c:v>-4.44987961</c:v>
                </c:pt>
                <c:pt idx="68">
                  <c:v>-0.8965359700000004</c:v>
                </c:pt>
                <c:pt idx="69">
                  <c:v>-1.6354524500000007</c:v>
                </c:pt>
                <c:pt idx="70">
                  <c:v>-1.8535352700000001</c:v>
                </c:pt>
                <c:pt idx="71">
                  <c:v>-2.5312783999999997</c:v>
                </c:pt>
                <c:pt idx="72">
                  <c:v>-3.2259933300000014</c:v>
                </c:pt>
                <c:pt idx="73">
                  <c:v>-3.0438062299999995</c:v>
                </c:pt>
                <c:pt idx="74">
                  <c:v>-4.9137665100000003</c:v>
                </c:pt>
                <c:pt idx="75">
                  <c:v>-5.9669835599999974</c:v>
                </c:pt>
                <c:pt idx="76">
                  <c:v>-4.8457987399999993</c:v>
                </c:pt>
                <c:pt idx="77">
                  <c:v>-4.9108932299999992</c:v>
                </c:pt>
                <c:pt idx="78">
                  <c:v>-5.3581277399999987</c:v>
                </c:pt>
                <c:pt idx="79">
                  <c:v>-4.2507416400000011</c:v>
                </c:pt>
                <c:pt idx="80">
                  <c:v>-2.000222830000002</c:v>
                </c:pt>
                <c:pt idx="81">
                  <c:v>-2.6916190699999998</c:v>
                </c:pt>
                <c:pt idx="82">
                  <c:v>-2.6111771099999981</c:v>
                </c:pt>
                <c:pt idx="83">
                  <c:v>-5.9248062000000008</c:v>
                </c:pt>
                <c:pt idx="84">
                  <c:v>-6.0115849200000007</c:v>
                </c:pt>
                <c:pt idx="85">
                  <c:v>-5.4689479100000007</c:v>
                </c:pt>
                <c:pt idx="86">
                  <c:v>-7.0220980500000003</c:v>
                </c:pt>
                <c:pt idx="87">
                  <c:v>-6.0038572800000001</c:v>
                </c:pt>
                <c:pt idx="88">
                  <c:v>-6.2202545199999992</c:v>
                </c:pt>
                <c:pt idx="89">
                  <c:v>-3.9711198100000011</c:v>
                </c:pt>
                <c:pt idx="90">
                  <c:v>-4.9217439800000022</c:v>
                </c:pt>
                <c:pt idx="91">
                  <c:v>-4.7477854700000002</c:v>
                </c:pt>
                <c:pt idx="92">
                  <c:v>-4.9431347399999979</c:v>
                </c:pt>
                <c:pt idx="93">
                  <c:v>-3.3985724200000007</c:v>
                </c:pt>
                <c:pt idx="94">
                  <c:v>-2.763469790000002</c:v>
                </c:pt>
                <c:pt idx="95">
                  <c:v>-2.8636835200000021</c:v>
                </c:pt>
                <c:pt idx="96">
                  <c:v>-4.448971659999998</c:v>
                </c:pt>
                <c:pt idx="97">
                  <c:v>-2.3165355199999986</c:v>
                </c:pt>
                <c:pt idx="98">
                  <c:v>-2.0271510600000013</c:v>
                </c:pt>
                <c:pt idx="99">
                  <c:v>-4.6818595399999978</c:v>
                </c:pt>
                <c:pt idx="100">
                  <c:v>-3.716662040000001</c:v>
                </c:pt>
                <c:pt idx="101">
                  <c:v>-4.2990545300000012</c:v>
                </c:pt>
                <c:pt idx="102">
                  <c:v>-5.0751953200000006</c:v>
                </c:pt>
                <c:pt idx="103">
                  <c:v>-3.3780694099999984</c:v>
                </c:pt>
                <c:pt idx="104">
                  <c:v>-3.0429966500000027</c:v>
                </c:pt>
                <c:pt idx="105">
                  <c:v>-2.3642576799999979</c:v>
                </c:pt>
                <c:pt idx="106">
                  <c:v>-0.97415601000000152</c:v>
                </c:pt>
                <c:pt idx="107">
                  <c:v>-0.84736533999999963</c:v>
                </c:pt>
                <c:pt idx="108">
                  <c:v>0.22035727999999821</c:v>
                </c:pt>
                <c:pt idx="109">
                  <c:v>-0.26265584000000075</c:v>
                </c:pt>
                <c:pt idx="110">
                  <c:v>-2.9539663499999982</c:v>
                </c:pt>
                <c:pt idx="111">
                  <c:v>-3.3081438599999977</c:v>
                </c:pt>
                <c:pt idx="112">
                  <c:v>-4.6050131900000011</c:v>
                </c:pt>
                <c:pt idx="113">
                  <c:v>-6.8032167800000014</c:v>
                </c:pt>
                <c:pt idx="114">
                  <c:v>-4.6901452799999976</c:v>
                </c:pt>
                <c:pt idx="115">
                  <c:v>-3.0170235999999981</c:v>
                </c:pt>
                <c:pt idx="116">
                  <c:v>-5.7260808399999998</c:v>
                </c:pt>
                <c:pt idx="117">
                  <c:v>-5.8248581999999995</c:v>
                </c:pt>
                <c:pt idx="118">
                  <c:v>-3.1931593300000003</c:v>
                </c:pt>
                <c:pt idx="119">
                  <c:v>-3.8195585199999975</c:v>
                </c:pt>
                <c:pt idx="120">
                  <c:v>-1.2778091600000003</c:v>
                </c:pt>
                <c:pt idx="121">
                  <c:v>-1.1062891600000029</c:v>
                </c:pt>
                <c:pt idx="122">
                  <c:v>-0.12298831000000021</c:v>
                </c:pt>
                <c:pt idx="123">
                  <c:v>-0.98831698999999773</c:v>
                </c:pt>
                <c:pt idx="124">
                  <c:v>-1.7788282299999985</c:v>
                </c:pt>
                <c:pt idx="125">
                  <c:v>-3.1193516600000031</c:v>
                </c:pt>
                <c:pt idx="126">
                  <c:v>-1.7953390599999999</c:v>
                </c:pt>
                <c:pt idx="127">
                  <c:v>-4.1598592799999992</c:v>
                </c:pt>
                <c:pt idx="128">
                  <c:v>-4.3060691699999971</c:v>
                </c:pt>
                <c:pt idx="129">
                  <c:v>-3.4368765299999993</c:v>
                </c:pt>
                <c:pt idx="130">
                  <c:v>-3.3975595399999996</c:v>
                </c:pt>
                <c:pt idx="131">
                  <c:v>-3.6738824100000009</c:v>
                </c:pt>
                <c:pt idx="132">
                  <c:v>-4.2961025300000024</c:v>
                </c:pt>
                <c:pt idx="133">
                  <c:v>-5.2074159900000012</c:v>
                </c:pt>
                <c:pt idx="134">
                  <c:v>-5.1926400800000003</c:v>
                </c:pt>
                <c:pt idx="135">
                  <c:v>-3.6277573099999998</c:v>
                </c:pt>
                <c:pt idx="136">
                  <c:v>-1.8757874000000001</c:v>
                </c:pt>
                <c:pt idx="137">
                  <c:v>1.1952359999998663E-2</c:v>
                </c:pt>
                <c:pt idx="138">
                  <c:v>1.4412650099999986</c:v>
                </c:pt>
                <c:pt idx="139">
                  <c:v>2.8651530399999992</c:v>
                </c:pt>
                <c:pt idx="140">
                  <c:v>1.8970769999999995</c:v>
                </c:pt>
                <c:pt idx="141">
                  <c:v>4.8576927500000018</c:v>
                </c:pt>
                <c:pt idx="142">
                  <c:v>5.62218822</c:v>
                </c:pt>
                <c:pt idx="143">
                  <c:v>7.716088860000001</c:v>
                </c:pt>
                <c:pt idx="144">
                  <c:v>7.2758424300000009</c:v>
                </c:pt>
                <c:pt idx="145">
                  <c:v>7.8970323999999987</c:v>
                </c:pt>
                <c:pt idx="146">
                  <c:v>6.6593061200000001</c:v>
                </c:pt>
                <c:pt idx="147">
                  <c:v>8.8274296100000011</c:v>
                </c:pt>
                <c:pt idx="148">
                  <c:v>9.0473782700000012</c:v>
                </c:pt>
                <c:pt idx="149">
                  <c:v>10.73016397</c:v>
                </c:pt>
                <c:pt idx="150">
                  <c:v>9.9918418100000004</c:v>
                </c:pt>
                <c:pt idx="151">
                  <c:v>11.06475807</c:v>
                </c:pt>
                <c:pt idx="152">
                  <c:v>10.48203127</c:v>
                </c:pt>
                <c:pt idx="153">
                  <c:v>9.4937885000000009</c:v>
                </c:pt>
                <c:pt idx="154">
                  <c:v>8.4429296899999997</c:v>
                </c:pt>
                <c:pt idx="155">
                  <c:v>4.6258319300000004</c:v>
                </c:pt>
                <c:pt idx="156">
                  <c:v>5.0723208100000008</c:v>
                </c:pt>
                <c:pt idx="157">
                  <c:v>6.0110813699999994</c:v>
                </c:pt>
                <c:pt idx="158">
                  <c:v>8.4516040399999994</c:v>
                </c:pt>
                <c:pt idx="159">
                  <c:v>9.215488989999999</c:v>
                </c:pt>
                <c:pt idx="160">
                  <c:v>7.9523571799999999</c:v>
                </c:pt>
                <c:pt idx="161">
                  <c:v>7.5731186900000012</c:v>
                </c:pt>
                <c:pt idx="162">
                  <c:v>6.167890589999999</c:v>
                </c:pt>
                <c:pt idx="163">
                  <c:v>8.0151490299999981</c:v>
                </c:pt>
                <c:pt idx="164">
                  <c:v>8.8599105300000005</c:v>
                </c:pt>
                <c:pt idx="165">
                  <c:v>6.84076752</c:v>
                </c:pt>
                <c:pt idx="166">
                  <c:v>8.17247317</c:v>
                </c:pt>
                <c:pt idx="167">
                  <c:v>8.9655914600000024</c:v>
                </c:pt>
                <c:pt idx="168">
                  <c:v>8.879678779999999</c:v>
                </c:pt>
                <c:pt idx="169">
                  <c:v>9.0567905899999985</c:v>
                </c:pt>
                <c:pt idx="170">
                  <c:v>12.046477909999998</c:v>
                </c:pt>
                <c:pt idx="171">
                  <c:v>13.48374892</c:v>
                </c:pt>
                <c:pt idx="172">
                  <c:v>14.08471203</c:v>
                </c:pt>
                <c:pt idx="173">
                  <c:v>13.05998187</c:v>
                </c:pt>
                <c:pt idx="174">
                  <c:v>12.866504539999999</c:v>
                </c:pt>
                <c:pt idx="175">
                  <c:v>14.1128015</c:v>
                </c:pt>
                <c:pt idx="176">
                  <c:v>13.889086020000001</c:v>
                </c:pt>
                <c:pt idx="177">
                  <c:v>13.359069909999999</c:v>
                </c:pt>
                <c:pt idx="178">
                  <c:v>13.378127179999998</c:v>
                </c:pt>
                <c:pt idx="179">
                  <c:v>13.472637309999998</c:v>
                </c:pt>
                <c:pt idx="180">
                  <c:v>12.591773380000001</c:v>
                </c:pt>
                <c:pt idx="181">
                  <c:v>13.17054248</c:v>
                </c:pt>
                <c:pt idx="182">
                  <c:v>13.953603999999999</c:v>
                </c:pt>
                <c:pt idx="183">
                  <c:v>13.479113790000001</c:v>
                </c:pt>
                <c:pt idx="184">
                  <c:v>14.16412635</c:v>
                </c:pt>
                <c:pt idx="185">
                  <c:v>10.94372894</c:v>
                </c:pt>
                <c:pt idx="186">
                  <c:v>9.0892563799999984</c:v>
                </c:pt>
                <c:pt idx="187">
                  <c:v>7.8963992800000007</c:v>
                </c:pt>
                <c:pt idx="188">
                  <c:v>5.3963011099999996</c:v>
                </c:pt>
                <c:pt idx="189">
                  <c:v>4.8832773899999999</c:v>
                </c:pt>
                <c:pt idx="190">
                  <c:v>5.1028062699999985</c:v>
                </c:pt>
                <c:pt idx="191">
                  <c:v>5.437740790000003</c:v>
                </c:pt>
                <c:pt idx="192">
                  <c:v>5.3735535900000002</c:v>
                </c:pt>
                <c:pt idx="193">
                  <c:v>4.0811329200000017</c:v>
                </c:pt>
                <c:pt idx="194">
                  <c:v>4.0501452799999988</c:v>
                </c:pt>
                <c:pt idx="195">
                  <c:v>7.2998981699999987</c:v>
                </c:pt>
                <c:pt idx="196">
                  <c:v>11.426392230000001</c:v>
                </c:pt>
                <c:pt idx="197">
                  <c:v>11.234564330000001</c:v>
                </c:pt>
                <c:pt idx="198">
                  <c:v>10.146508399999998</c:v>
                </c:pt>
                <c:pt idx="199">
                  <c:v>11.941512889999998</c:v>
                </c:pt>
                <c:pt idx="200">
                  <c:v>8.2388930099999982</c:v>
                </c:pt>
                <c:pt idx="201">
                  <c:v>4.8357447600000008</c:v>
                </c:pt>
                <c:pt idx="202">
                  <c:v>1.9313698100000032</c:v>
                </c:pt>
                <c:pt idx="203">
                  <c:v>2.1550221799999996</c:v>
                </c:pt>
                <c:pt idx="204">
                  <c:v>3.8796917699999973</c:v>
                </c:pt>
                <c:pt idx="205">
                  <c:v>3.3051875400000021</c:v>
                </c:pt>
                <c:pt idx="206">
                  <c:v>3.0827448900000007</c:v>
                </c:pt>
                <c:pt idx="207">
                  <c:v>4.16616724</c:v>
                </c:pt>
                <c:pt idx="208">
                  <c:v>6.3857813499999985</c:v>
                </c:pt>
                <c:pt idx="209">
                  <c:v>5.7782505999999998</c:v>
                </c:pt>
                <c:pt idx="210">
                  <c:v>5.3244932700000014</c:v>
                </c:pt>
                <c:pt idx="211">
                  <c:v>6.3296527299999994</c:v>
                </c:pt>
                <c:pt idx="212">
                  <c:v>6.5807767500000018</c:v>
                </c:pt>
                <c:pt idx="213">
                  <c:v>6.4905146399999971</c:v>
                </c:pt>
                <c:pt idx="214">
                  <c:v>6.5365689000000025</c:v>
                </c:pt>
                <c:pt idx="215">
                  <c:v>9.3201721299999996</c:v>
                </c:pt>
                <c:pt idx="216">
                  <c:v>8.6235094399999994</c:v>
                </c:pt>
                <c:pt idx="217">
                  <c:v>8.6386494800000015</c:v>
                </c:pt>
                <c:pt idx="218">
                  <c:v>8.5553140799999987</c:v>
                </c:pt>
                <c:pt idx="219">
                  <c:v>9.518861710000003</c:v>
                </c:pt>
                <c:pt idx="220">
                  <c:v>11.497817159999997</c:v>
                </c:pt>
                <c:pt idx="221">
                  <c:v>12.294915020000001</c:v>
                </c:pt>
                <c:pt idx="222">
                  <c:v>12.99077256</c:v>
                </c:pt>
                <c:pt idx="223">
                  <c:v>12.248004239999997</c:v>
                </c:pt>
                <c:pt idx="224">
                  <c:v>12.863602909999997</c:v>
                </c:pt>
                <c:pt idx="225">
                  <c:v>14.087737260000001</c:v>
                </c:pt>
                <c:pt idx="226">
                  <c:v>13.328646689999996</c:v>
                </c:pt>
                <c:pt idx="227">
                  <c:v>12.54474802</c:v>
                </c:pt>
                <c:pt idx="228">
                  <c:v>10.134729309999997</c:v>
                </c:pt>
                <c:pt idx="229">
                  <c:v>10.36647893</c:v>
                </c:pt>
                <c:pt idx="230">
                  <c:v>9.5720852899999969</c:v>
                </c:pt>
                <c:pt idx="231">
                  <c:v>8.517412979999996</c:v>
                </c:pt>
                <c:pt idx="232">
                  <c:v>6.3271694300000014</c:v>
                </c:pt>
                <c:pt idx="233">
                  <c:v>4.5900959300000004</c:v>
                </c:pt>
                <c:pt idx="234">
                  <c:v>1.7304432600000013</c:v>
                </c:pt>
                <c:pt idx="235">
                  <c:v>0.73885649999999714</c:v>
                </c:pt>
                <c:pt idx="236">
                  <c:v>-0.93874861999999837</c:v>
                </c:pt>
                <c:pt idx="237">
                  <c:v>-1.3983421800000002</c:v>
                </c:pt>
                <c:pt idx="238">
                  <c:v>-1.6987017299999998</c:v>
                </c:pt>
                <c:pt idx="239">
                  <c:v>-2.1242802499999982</c:v>
                </c:pt>
                <c:pt idx="240">
                  <c:v>-3.3468071299999984</c:v>
                </c:pt>
                <c:pt idx="241">
                  <c:v>-1.8721281799999971</c:v>
                </c:pt>
                <c:pt idx="242">
                  <c:v>0.27615884000000079</c:v>
                </c:pt>
                <c:pt idx="243">
                  <c:v>2.2010770300000004</c:v>
                </c:pt>
                <c:pt idx="244">
                  <c:v>1.15648543</c:v>
                </c:pt>
                <c:pt idx="245">
                  <c:v>1.6738922599999988</c:v>
                </c:pt>
                <c:pt idx="246">
                  <c:v>1.1279831300000005</c:v>
                </c:pt>
                <c:pt idx="247">
                  <c:v>2.6406822000000005</c:v>
                </c:pt>
                <c:pt idx="248">
                  <c:v>3.0951498300000004</c:v>
                </c:pt>
                <c:pt idx="249">
                  <c:v>0.817368290000001</c:v>
                </c:pt>
                <c:pt idx="250">
                  <c:v>2.7533136100000029</c:v>
                </c:pt>
                <c:pt idx="251">
                  <c:v>1.9095892699999979</c:v>
                </c:pt>
                <c:pt idx="252">
                  <c:v>0.75874412000000291</c:v>
                </c:pt>
                <c:pt idx="253">
                  <c:v>1.2030382400000015</c:v>
                </c:pt>
                <c:pt idx="254">
                  <c:v>1.8173050099999983</c:v>
                </c:pt>
                <c:pt idx="255">
                  <c:v>3.9168117300000027</c:v>
                </c:pt>
                <c:pt idx="256">
                  <c:v>4.5175489800000008</c:v>
                </c:pt>
                <c:pt idx="257">
                  <c:v>3.1047712000000018</c:v>
                </c:pt>
                <c:pt idx="258">
                  <c:v>5.3766812900000005</c:v>
                </c:pt>
                <c:pt idx="259">
                  <c:v>4.6451676500000012</c:v>
                </c:pt>
                <c:pt idx="260">
                  <c:v>2.0368339800000008</c:v>
                </c:pt>
                <c:pt idx="261">
                  <c:v>3.360260310000001</c:v>
                </c:pt>
                <c:pt idx="262">
                  <c:v>2.4669159999999977</c:v>
                </c:pt>
                <c:pt idx="263">
                  <c:v>1.7571356199999997</c:v>
                </c:pt>
                <c:pt idx="264">
                  <c:v>2.4858927699999995</c:v>
                </c:pt>
                <c:pt idx="265">
                  <c:v>5.3695271199999972</c:v>
                </c:pt>
                <c:pt idx="266">
                  <c:v>4.7285147400000014</c:v>
                </c:pt>
                <c:pt idx="267">
                  <c:v>6.0392082600000023</c:v>
                </c:pt>
                <c:pt idx="268">
                  <c:v>5.8497280099999998</c:v>
                </c:pt>
                <c:pt idx="269">
                  <c:v>9.1801470300000005</c:v>
                </c:pt>
                <c:pt idx="270">
                  <c:v>9.6386495399999994</c:v>
                </c:pt>
                <c:pt idx="271">
                  <c:v>9.2103553599999977</c:v>
                </c:pt>
                <c:pt idx="272">
                  <c:v>7.820164909999999</c:v>
                </c:pt>
                <c:pt idx="273">
                  <c:v>9.3826425600000007</c:v>
                </c:pt>
                <c:pt idx="274">
                  <c:v>9.6210620899999988</c:v>
                </c:pt>
                <c:pt idx="275">
                  <c:v>7.1616112099999967</c:v>
                </c:pt>
                <c:pt idx="276">
                  <c:v>8.9352333199999983</c:v>
                </c:pt>
                <c:pt idx="277">
                  <c:v>9.6040659499999954</c:v>
                </c:pt>
                <c:pt idx="278">
                  <c:v>9.2887710200000022</c:v>
                </c:pt>
                <c:pt idx="279">
                  <c:v>9.6061537699999988</c:v>
                </c:pt>
                <c:pt idx="280">
                  <c:v>11.443378059999997</c:v>
                </c:pt>
                <c:pt idx="281">
                  <c:v>12.127844019999998</c:v>
                </c:pt>
                <c:pt idx="282">
                  <c:v>11.619779999999999</c:v>
                </c:pt>
                <c:pt idx="283">
                  <c:v>13.153190000000002</c:v>
                </c:pt>
                <c:pt idx="284">
                  <c:v>11.421494110000001</c:v>
                </c:pt>
                <c:pt idx="285">
                  <c:v>12.71783469</c:v>
                </c:pt>
                <c:pt idx="286">
                  <c:v>16.122616619999999</c:v>
                </c:pt>
                <c:pt idx="287">
                  <c:v>16.074983770000003</c:v>
                </c:pt>
                <c:pt idx="288">
                  <c:v>16.301495550000002</c:v>
                </c:pt>
                <c:pt idx="289">
                  <c:v>16.296095440000002</c:v>
                </c:pt>
                <c:pt idx="290">
                  <c:v>19.186710780000002</c:v>
                </c:pt>
                <c:pt idx="291">
                  <c:v>19.476170080000003</c:v>
                </c:pt>
                <c:pt idx="292">
                  <c:v>20.511561109999999</c:v>
                </c:pt>
                <c:pt idx="293">
                  <c:v>20.53692131</c:v>
                </c:pt>
                <c:pt idx="294">
                  <c:v>19.38775704</c:v>
                </c:pt>
                <c:pt idx="295">
                  <c:v>17.303788520000005</c:v>
                </c:pt>
                <c:pt idx="296">
                  <c:v>18.287041949999999</c:v>
                </c:pt>
                <c:pt idx="297">
                  <c:v>16.273597890000005</c:v>
                </c:pt>
                <c:pt idx="298">
                  <c:v>17.537933469999999</c:v>
                </c:pt>
                <c:pt idx="299">
                  <c:v>15.301512019999997</c:v>
                </c:pt>
                <c:pt idx="300">
                  <c:v>12.90328469</c:v>
                </c:pt>
                <c:pt idx="301">
                  <c:v>11.718483290000002</c:v>
                </c:pt>
                <c:pt idx="302">
                  <c:v>10.909718609999999</c:v>
                </c:pt>
                <c:pt idx="303">
                  <c:v>12.59587015</c:v>
                </c:pt>
                <c:pt idx="304">
                  <c:v>13.354470660000004</c:v>
                </c:pt>
                <c:pt idx="305">
                  <c:v>11.523063</c:v>
                </c:pt>
                <c:pt idx="306">
                  <c:v>10.057028589999998</c:v>
                </c:pt>
                <c:pt idx="307">
                  <c:v>11.876046110000001</c:v>
                </c:pt>
                <c:pt idx="308">
                  <c:v>9.8042147100000001</c:v>
                </c:pt>
                <c:pt idx="309">
                  <c:v>8.4836764500000008</c:v>
                </c:pt>
                <c:pt idx="310">
                  <c:v>10.979279699999996</c:v>
                </c:pt>
                <c:pt idx="311">
                  <c:v>9.0560966699999987</c:v>
                </c:pt>
                <c:pt idx="312">
                  <c:v>10.025515420000005</c:v>
                </c:pt>
                <c:pt idx="313">
                  <c:v>9.49530545</c:v>
                </c:pt>
                <c:pt idx="314">
                  <c:v>10.406795600000002</c:v>
                </c:pt>
                <c:pt idx="315">
                  <c:v>11.529015560000001</c:v>
                </c:pt>
                <c:pt idx="316">
                  <c:v>12.579463530000002</c:v>
                </c:pt>
                <c:pt idx="317">
                  <c:v>15.140947320000002</c:v>
                </c:pt>
                <c:pt idx="318">
                  <c:v>14.594094009999999</c:v>
                </c:pt>
                <c:pt idx="319">
                  <c:v>14.196943039999997</c:v>
                </c:pt>
                <c:pt idx="320">
                  <c:v>15.242114740000002</c:v>
                </c:pt>
                <c:pt idx="321">
                  <c:v>18.32320575</c:v>
                </c:pt>
                <c:pt idx="322">
                  <c:v>19.35138435</c:v>
                </c:pt>
                <c:pt idx="323">
                  <c:v>16.889321509999998</c:v>
                </c:pt>
                <c:pt idx="324">
                  <c:v>15.713568780000003</c:v>
                </c:pt>
                <c:pt idx="325">
                  <c:v>15.530781080000001</c:v>
                </c:pt>
                <c:pt idx="326">
                  <c:v>17.064596380000001</c:v>
                </c:pt>
                <c:pt idx="327">
                  <c:v>19.167408710000004</c:v>
                </c:pt>
                <c:pt idx="328">
                  <c:v>20.909366510000002</c:v>
                </c:pt>
                <c:pt idx="329">
                  <c:v>21.50355102</c:v>
                </c:pt>
                <c:pt idx="330">
                  <c:v>21.805122950000001</c:v>
                </c:pt>
                <c:pt idx="331">
                  <c:v>19.314891839999998</c:v>
                </c:pt>
                <c:pt idx="332">
                  <c:v>20.136789359999998</c:v>
                </c:pt>
                <c:pt idx="333">
                  <c:v>18.677046909999998</c:v>
                </c:pt>
                <c:pt idx="334">
                  <c:v>15.469604589999996</c:v>
                </c:pt>
              </c:numCache>
            </c:numRef>
          </c:val>
          <c:smooth val="0"/>
          <c:extLst>
            <c:ext xmlns:c16="http://schemas.microsoft.com/office/drawing/2014/chart" uri="{C3380CC4-5D6E-409C-BE32-E72D297353CC}">
              <c16:uniqueId val="{00000000-766E-431A-8FD8-CDD290431334}"/>
            </c:ext>
          </c:extLst>
        </c:ser>
        <c:dLbls>
          <c:showLegendKey val="0"/>
          <c:showVal val="0"/>
          <c:showCatName val="0"/>
          <c:showSerName val="0"/>
          <c:showPercent val="0"/>
          <c:showBubbleSize val="0"/>
        </c:dLbls>
        <c:smooth val="0"/>
        <c:axId val="596234416"/>
        <c:axId val="1292859792"/>
      </c:lineChart>
      <c:dateAx>
        <c:axId val="596234416"/>
        <c:scaling>
          <c:orientation val="minMax"/>
        </c:scaling>
        <c:delete val="0"/>
        <c:axPos val="b"/>
        <c:numFmt formatCode="dd-mmm-yy"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292859792"/>
        <c:crosses val="autoZero"/>
        <c:auto val="1"/>
        <c:lblOffset val="100"/>
        <c:baseTimeUnit val="days"/>
      </c:dateAx>
      <c:valAx>
        <c:axId val="1292859792"/>
        <c:scaling>
          <c:orientation val="minMax"/>
        </c:scaling>
        <c:delete val="0"/>
        <c:axPos val="l"/>
        <c:majorGridlines>
          <c:spPr>
            <a:ln w="9525" cap="flat" cmpd="sng" algn="ctr">
              <a:solidFill>
                <a:schemeClr val="tx2">
                  <a:lumMod val="15000"/>
                  <a:lumOff val="85000"/>
                </a:schemeClr>
              </a:solidFill>
              <a:round/>
            </a:ln>
            <a:effectLst/>
          </c:spPr>
        </c:majorGridlines>
        <c:minorGridlines>
          <c:spPr>
            <a:ln>
              <a:solidFill>
                <a:schemeClr val="tx2">
                  <a:lumMod val="5000"/>
                  <a:lumOff val="95000"/>
                </a:schemeClr>
              </a:solidFill>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596234416"/>
        <c:crosses val="autoZero"/>
        <c:crossBetween val="between"/>
      </c:valAx>
      <c:spPr>
        <a:noFill/>
        <a:ln>
          <a:noFill/>
        </a:ln>
        <a:effectLst/>
      </c:spPr>
    </c:plotArea>
    <c:plotVisOnly val="1"/>
    <c:dispBlanksAs val="zero"/>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Pricing</a:t>
            </a:r>
            <a:r>
              <a:rPr lang="en-US" baseline="0"/>
              <a:t> of OKCoin Relative to Bitflyer</a:t>
            </a:r>
            <a:br>
              <a:rPr lang="en-US" baseline="0"/>
            </a:br>
            <a:r>
              <a:rPr lang="en-US" sz="1100" i="1" baseline="0"/>
              <a:t>(deviation % from parity)</a:t>
            </a:r>
            <a:endParaRPr lang="en-US" i="1"/>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lineChart>
        <c:grouping val="stacked"/>
        <c:varyColors val="0"/>
        <c:ser>
          <c:idx val="0"/>
          <c:order val="0"/>
          <c:spPr>
            <a:ln w="31750" cap="rnd">
              <a:solidFill>
                <a:schemeClr val="accent1"/>
              </a:solidFill>
              <a:round/>
            </a:ln>
            <a:effectLst/>
          </c:spPr>
          <c:marker>
            <c:symbol val="none"/>
          </c:marker>
          <c:val>
            <c:numRef>
              <c:f>other!$E$2:$E$315</c:f>
              <c:numCache>
                <c:formatCode>General</c:formatCode>
                <c:ptCount val="314"/>
                <c:pt idx="0">
                  <c:v>-14.82230281</c:v>
                </c:pt>
                <c:pt idx="1">
                  <c:v>-16.028066939999999</c:v>
                </c:pt>
                <c:pt idx="2">
                  <c:v>-15.995345220000001</c:v>
                </c:pt>
                <c:pt idx="3">
                  <c:v>-13.398568469999999</c:v>
                </c:pt>
                <c:pt idx="4">
                  <c:v>-14.552190039999999</c:v>
                </c:pt>
                <c:pt idx="5">
                  <c:v>-13.968719159999999</c:v>
                </c:pt>
                <c:pt idx="6">
                  <c:v>-12.591235859999999</c:v>
                </c:pt>
                <c:pt idx="7">
                  <c:v>-11.78200524</c:v>
                </c:pt>
                <c:pt idx="8">
                  <c:v>-11.54701212</c:v>
                </c:pt>
                <c:pt idx="9">
                  <c:v>-11.18452136</c:v>
                </c:pt>
                <c:pt idx="10">
                  <c:v>-11.34958011</c:v>
                </c:pt>
                <c:pt idx="11">
                  <c:v>-11.884724090000001</c:v>
                </c:pt>
                <c:pt idx="12">
                  <c:v>-9.64421252</c:v>
                </c:pt>
                <c:pt idx="13">
                  <c:v>-9.0835490800000009</c:v>
                </c:pt>
                <c:pt idx="14">
                  <c:v>-8.95735964</c:v>
                </c:pt>
                <c:pt idx="15">
                  <c:v>-7.9874224700000003</c:v>
                </c:pt>
                <c:pt idx="16">
                  <c:v>-8.7634195599999991</c:v>
                </c:pt>
                <c:pt idx="17">
                  <c:v>-8.4676117600000005</c:v>
                </c:pt>
                <c:pt idx="18">
                  <c:v>-6.6287287799999994</c:v>
                </c:pt>
                <c:pt idx="19">
                  <c:v>-5.3994861000000007</c:v>
                </c:pt>
                <c:pt idx="20">
                  <c:v>-0.80054399999999859</c:v>
                </c:pt>
                <c:pt idx="21">
                  <c:v>-1.9400215599999999</c:v>
                </c:pt>
                <c:pt idx="22">
                  <c:v>-2.2097726899999994</c:v>
                </c:pt>
                <c:pt idx="23">
                  <c:v>-3.4888129699999997</c:v>
                </c:pt>
                <c:pt idx="24">
                  <c:v>-2.4946120599999997</c:v>
                </c:pt>
                <c:pt idx="25">
                  <c:v>-2.2632844100000007</c:v>
                </c:pt>
                <c:pt idx="26">
                  <c:v>-0.25900875000000134</c:v>
                </c:pt>
                <c:pt idx="27">
                  <c:v>0.65527014999999977</c:v>
                </c:pt>
                <c:pt idx="28">
                  <c:v>1.2100003699999995</c:v>
                </c:pt>
                <c:pt idx="29">
                  <c:v>1.5780506899999995</c:v>
                </c:pt>
                <c:pt idx="30">
                  <c:v>0.45749471000000064</c:v>
                </c:pt>
                <c:pt idx="31">
                  <c:v>-1.3435589200000004</c:v>
                </c:pt>
                <c:pt idx="32">
                  <c:v>5.1913530000000208E-2</c:v>
                </c:pt>
                <c:pt idx="33">
                  <c:v>-5.6010820000000017E-2</c:v>
                </c:pt>
                <c:pt idx="34">
                  <c:v>-2.0099659999999631E-2</c:v>
                </c:pt>
                <c:pt idx="35">
                  <c:v>0.60573660000000018</c:v>
                </c:pt>
                <c:pt idx="36">
                  <c:v>1.3311007999999998</c:v>
                </c:pt>
                <c:pt idx="37">
                  <c:v>3.1412918500000009</c:v>
                </c:pt>
                <c:pt idx="38">
                  <c:v>3.889837459999999</c:v>
                </c:pt>
                <c:pt idx="39">
                  <c:v>2.9245928699999997</c:v>
                </c:pt>
                <c:pt idx="40">
                  <c:v>4.7005545800000004</c:v>
                </c:pt>
                <c:pt idx="41">
                  <c:v>2.7227605200000013</c:v>
                </c:pt>
                <c:pt idx="42">
                  <c:v>1.9217485300000003</c:v>
                </c:pt>
                <c:pt idx="43">
                  <c:v>0.47273335999999944</c:v>
                </c:pt>
                <c:pt idx="44">
                  <c:v>-4.9225760000000562E-2</c:v>
                </c:pt>
                <c:pt idx="45">
                  <c:v>3.7217210000001444E-2</c:v>
                </c:pt>
                <c:pt idx="46">
                  <c:v>-1.7413035000000008</c:v>
                </c:pt>
                <c:pt idx="47">
                  <c:v>-1.3006870800000012</c:v>
                </c:pt>
                <c:pt idx="48">
                  <c:v>-1.0094493299999989</c:v>
                </c:pt>
                <c:pt idx="49">
                  <c:v>0.82592353000000074</c:v>
                </c:pt>
                <c:pt idx="50">
                  <c:v>1.0041237799999987</c:v>
                </c:pt>
                <c:pt idx="51">
                  <c:v>3.0797989099999992</c:v>
                </c:pt>
                <c:pt idx="52">
                  <c:v>2.1599705100000008</c:v>
                </c:pt>
                <c:pt idx="53">
                  <c:v>2.1842447199999988</c:v>
                </c:pt>
                <c:pt idx="54">
                  <c:v>1.7339378599999975</c:v>
                </c:pt>
                <c:pt idx="55">
                  <c:v>1.9432996300000003</c:v>
                </c:pt>
                <c:pt idx="56">
                  <c:v>1.1318766099999991</c:v>
                </c:pt>
                <c:pt idx="57">
                  <c:v>1.8119055199999998</c:v>
                </c:pt>
                <c:pt idx="58">
                  <c:v>2.1482390300000009</c:v>
                </c:pt>
                <c:pt idx="59">
                  <c:v>3.8078390700000018</c:v>
                </c:pt>
                <c:pt idx="60">
                  <c:v>4.2512440500000004</c:v>
                </c:pt>
                <c:pt idx="61">
                  <c:v>5.8995813200000011</c:v>
                </c:pt>
                <c:pt idx="62">
                  <c:v>6.2907080400000002</c:v>
                </c:pt>
                <c:pt idx="63">
                  <c:v>8.9227739100000001</c:v>
                </c:pt>
                <c:pt idx="64">
                  <c:v>9.6371310799999996</c:v>
                </c:pt>
                <c:pt idx="65">
                  <c:v>7.8753321400000011</c:v>
                </c:pt>
                <c:pt idx="66">
                  <c:v>7.6459898600000002</c:v>
                </c:pt>
                <c:pt idx="67">
                  <c:v>8.0185090899999985</c:v>
                </c:pt>
                <c:pt idx="68">
                  <c:v>6.7931922200000017</c:v>
                </c:pt>
                <c:pt idx="69">
                  <c:v>8.2230476600000006</c:v>
                </c:pt>
                <c:pt idx="70">
                  <c:v>5.9834910800000021</c:v>
                </c:pt>
                <c:pt idx="71">
                  <c:v>8.5858373099999987</c:v>
                </c:pt>
                <c:pt idx="72">
                  <c:v>7.9199587199999986</c:v>
                </c:pt>
                <c:pt idx="73">
                  <c:v>7.0038881599999989</c:v>
                </c:pt>
                <c:pt idx="74">
                  <c:v>5.8709615100000008</c:v>
                </c:pt>
                <c:pt idx="75">
                  <c:v>7.2054481899999985</c:v>
                </c:pt>
                <c:pt idx="76">
                  <c:v>5.3575848799999992</c:v>
                </c:pt>
                <c:pt idx="77">
                  <c:v>6.7956958299999997</c:v>
                </c:pt>
                <c:pt idx="78">
                  <c:v>6.2499011400000004</c:v>
                </c:pt>
                <c:pt idx="79">
                  <c:v>5.4601106299999991</c:v>
                </c:pt>
                <c:pt idx="80">
                  <c:v>8.4812207600000011</c:v>
                </c:pt>
                <c:pt idx="81">
                  <c:v>7.1521816400000002</c:v>
                </c:pt>
                <c:pt idx="82">
                  <c:v>5.2922844200000005</c:v>
                </c:pt>
                <c:pt idx="83">
                  <c:v>1.8159083599999999</c:v>
                </c:pt>
                <c:pt idx="84">
                  <c:v>1.7213449199999999</c:v>
                </c:pt>
                <c:pt idx="85">
                  <c:v>4.9652494399999991</c:v>
                </c:pt>
                <c:pt idx="86">
                  <c:v>5.4032876299999995</c:v>
                </c:pt>
                <c:pt idx="87">
                  <c:v>5.7410221399999992</c:v>
                </c:pt>
                <c:pt idx="88">
                  <c:v>6.4638907599999991</c:v>
                </c:pt>
                <c:pt idx="89">
                  <c:v>6.796618979999999</c:v>
                </c:pt>
                <c:pt idx="90">
                  <c:v>8.5973589300000004</c:v>
                </c:pt>
                <c:pt idx="91">
                  <c:v>8.20111247</c:v>
                </c:pt>
                <c:pt idx="92">
                  <c:v>8.4609379699999998</c:v>
                </c:pt>
                <c:pt idx="93">
                  <c:v>9.0913467099999998</c:v>
                </c:pt>
                <c:pt idx="94">
                  <c:v>6.8598974400000001</c:v>
                </c:pt>
                <c:pt idx="95">
                  <c:v>8.8628947500000006</c:v>
                </c:pt>
                <c:pt idx="96">
                  <c:v>8.8977039700000002</c:v>
                </c:pt>
                <c:pt idx="97">
                  <c:v>11.272553890000001</c:v>
                </c:pt>
                <c:pt idx="98">
                  <c:v>11.512760700000001</c:v>
                </c:pt>
                <c:pt idx="99">
                  <c:v>10.235891660000002</c:v>
                </c:pt>
                <c:pt idx="100">
                  <c:v>12.171739499999999</c:v>
                </c:pt>
                <c:pt idx="101">
                  <c:v>11.083153359999999</c:v>
                </c:pt>
                <c:pt idx="102">
                  <c:v>9.2326379899999989</c:v>
                </c:pt>
                <c:pt idx="103">
                  <c:v>8.4858011800000011</c:v>
                </c:pt>
                <c:pt idx="104">
                  <c:v>9.2744084699999991</c:v>
                </c:pt>
                <c:pt idx="105">
                  <c:v>8.7884723300000012</c:v>
                </c:pt>
                <c:pt idx="106">
                  <c:v>7.2992939399999992</c:v>
                </c:pt>
                <c:pt idx="107">
                  <c:v>8.3798685699999993</c:v>
                </c:pt>
                <c:pt idx="108">
                  <c:v>8.7465842500000015</c:v>
                </c:pt>
                <c:pt idx="109">
                  <c:v>8.6800106600000007</c:v>
                </c:pt>
                <c:pt idx="110">
                  <c:v>8.7777631300000003</c:v>
                </c:pt>
                <c:pt idx="111">
                  <c:v>8.8544447099999992</c:v>
                </c:pt>
                <c:pt idx="112">
                  <c:v>7.6820032700000009</c:v>
                </c:pt>
                <c:pt idx="113">
                  <c:v>6.772073970000001</c:v>
                </c:pt>
                <c:pt idx="114">
                  <c:v>8.4745535600000004</c:v>
                </c:pt>
                <c:pt idx="115">
                  <c:v>7.2260616800000008</c:v>
                </c:pt>
                <c:pt idx="116">
                  <c:v>6.3100749199999999</c:v>
                </c:pt>
                <c:pt idx="117">
                  <c:v>4.6805138700000004</c:v>
                </c:pt>
                <c:pt idx="118">
                  <c:v>2.1289357300000002</c:v>
                </c:pt>
                <c:pt idx="119">
                  <c:v>2.04120305</c:v>
                </c:pt>
                <c:pt idx="120">
                  <c:v>4.4033609999999612E-2</c:v>
                </c:pt>
                <c:pt idx="121">
                  <c:v>1.3049171800000003</c:v>
                </c:pt>
                <c:pt idx="122">
                  <c:v>2.9081862799999998</c:v>
                </c:pt>
                <c:pt idx="123">
                  <c:v>3.07580382</c:v>
                </c:pt>
                <c:pt idx="124">
                  <c:v>3.7266253699999998</c:v>
                </c:pt>
                <c:pt idx="125">
                  <c:v>4.8603552200000006</c:v>
                </c:pt>
                <c:pt idx="126">
                  <c:v>4.3875015199999998</c:v>
                </c:pt>
                <c:pt idx="127">
                  <c:v>2.2297458100000003</c:v>
                </c:pt>
                <c:pt idx="128">
                  <c:v>3.1332373199999997</c:v>
                </c:pt>
                <c:pt idx="129">
                  <c:v>3.4778412400000001</c:v>
                </c:pt>
                <c:pt idx="130">
                  <c:v>3.0501305899999993</c:v>
                </c:pt>
                <c:pt idx="131">
                  <c:v>3.5175394100000004</c:v>
                </c:pt>
                <c:pt idx="132">
                  <c:v>3.12577997</c:v>
                </c:pt>
                <c:pt idx="133">
                  <c:v>2.7748606600000003</c:v>
                </c:pt>
                <c:pt idx="134">
                  <c:v>4.9434132500000008</c:v>
                </c:pt>
                <c:pt idx="135">
                  <c:v>5.4563218199999994</c:v>
                </c:pt>
                <c:pt idx="136">
                  <c:v>7.8966704499999993</c:v>
                </c:pt>
                <c:pt idx="137">
                  <c:v>7.7294255599999993</c:v>
                </c:pt>
                <c:pt idx="138">
                  <c:v>7.7734542299999996</c:v>
                </c:pt>
                <c:pt idx="139">
                  <c:v>8.1787800199999996</c:v>
                </c:pt>
                <c:pt idx="140">
                  <c:v>8.0069075899999991</c:v>
                </c:pt>
                <c:pt idx="141">
                  <c:v>10.149221540000001</c:v>
                </c:pt>
                <c:pt idx="142">
                  <c:v>7.0678533799999999</c:v>
                </c:pt>
                <c:pt idx="143">
                  <c:v>8.6703633799999995</c:v>
                </c:pt>
                <c:pt idx="144">
                  <c:v>9.5930121700000015</c:v>
                </c:pt>
                <c:pt idx="145">
                  <c:v>9.5032624800000001</c:v>
                </c:pt>
                <c:pt idx="146">
                  <c:v>9.4744867599999996</c:v>
                </c:pt>
                <c:pt idx="147">
                  <c:v>8.7101876600000008</c:v>
                </c:pt>
                <c:pt idx="148">
                  <c:v>7.9255948600000004</c:v>
                </c:pt>
                <c:pt idx="149">
                  <c:v>7.9268154599999994</c:v>
                </c:pt>
                <c:pt idx="150">
                  <c:v>9.2329579000000006</c:v>
                </c:pt>
                <c:pt idx="151">
                  <c:v>7.8863919400000002</c:v>
                </c:pt>
                <c:pt idx="152">
                  <c:v>9.4646810000000006</c:v>
                </c:pt>
                <c:pt idx="153">
                  <c:v>7.7750184900000008</c:v>
                </c:pt>
                <c:pt idx="154">
                  <c:v>7.5929295300000001</c:v>
                </c:pt>
                <c:pt idx="155">
                  <c:v>5.5693582500000005</c:v>
                </c:pt>
                <c:pt idx="156">
                  <c:v>3.5066049499999998</c:v>
                </c:pt>
                <c:pt idx="157">
                  <c:v>4.88658854</c:v>
                </c:pt>
                <c:pt idx="158">
                  <c:v>0.98984156000000034</c:v>
                </c:pt>
                <c:pt idx="159">
                  <c:v>-0.57849687000000038</c:v>
                </c:pt>
                <c:pt idx="160">
                  <c:v>-2.0329347899999997</c:v>
                </c:pt>
                <c:pt idx="161">
                  <c:v>-3.1378833500000001</c:v>
                </c:pt>
                <c:pt idx="162">
                  <c:v>-0.62300323000000013</c:v>
                </c:pt>
                <c:pt idx="163">
                  <c:v>-0.1061690000000004</c:v>
                </c:pt>
                <c:pt idx="164">
                  <c:v>-0.42172983000000031</c:v>
                </c:pt>
                <c:pt idx="165">
                  <c:v>-0.52979646000000002</c:v>
                </c:pt>
                <c:pt idx="166">
                  <c:v>-0.65613264000000004</c:v>
                </c:pt>
                <c:pt idx="167">
                  <c:v>0.55974434999999989</c:v>
                </c:pt>
                <c:pt idx="168">
                  <c:v>0.36491467000000011</c:v>
                </c:pt>
                <c:pt idx="169">
                  <c:v>-0.23651167999999956</c:v>
                </c:pt>
                <c:pt idx="170">
                  <c:v>-2.5719128600000003</c:v>
                </c:pt>
                <c:pt idx="171">
                  <c:v>-2.2269938800000011</c:v>
                </c:pt>
                <c:pt idx="172">
                  <c:v>-1.6725531299999998</c:v>
                </c:pt>
                <c:pt idx="173">
                  <c:v>-4.0716477099999997</c:v>
                </c:pt>
                <c:pt idx="174">
                  <c:v>-3.7608654900000005</c:v>
                </c:pt>
                <c:pt idx="175">
                  <c:v>-3.9764630199999988</c:v>
                </c:pt>
                <c:pt idx="176">
                  <c:v>-2.6455057700000006</c:v>
                </c:pt>
                <c:pt idx="177">
                  <c:v>-0.78589178000000004</c:v>
                </c:pt>
                <c:pt idx="178">
                  <c:v>2.6691606600000002</c:v>
                </c:pt>
                <c:pt idx="179">
                  <c:v>5.4931871500000007</c:v>
                </c:pt>
                <c:pt idx="180">
                  <c:v>5.1489197400000002</c:v>
                </c:pt>
                <c:pt idx="181">
                  <c:v>6.9226000599999988</c:v>
                </c:pt>
                <c:pt idx="182">
                  <c:v>9.0798772999999997</c:v>
                </c:pt>
                <c:pt idx="183">
                  <c:v>10.369423079999999</c:v>
                </c:pt>
                <c:pt idx="184">
                  <c:v>9.5146275500000002</c:v>
                </c:pt>
                <c:pt idx="185">
                  <c:v>9.281716209999999</c:v>
                </c:pt>
                <c:pt idx="186">
                  <c:v>13.54712831</c:v>
                </c:pt>
                <c:pt idx="187">
                  <c:v>15.56490374</c:v>
                </c:pt>
                <c:pt idx="188">
                  <c:v>14.3782291</c:v>
                </c:pt>
                <c:pt idx="189">
                  <c:v>14.975586249999999</c:v>
                </c:pt>
                <c:pt idx="190">
                  <c:v>13.145211359999999</c:v>
                </c:pt>
                <c:pt idx="191">
                  <c:v>10.179674199999999</c:v>
                </c:pt>
                <c:pt idx="192">
                  <c:v>9.9996715599999995</c:v>
                </c:pt>
                <c:pt idx="193">
                  <c:v>8.6321209299999992</c:v>
                </c:pt>
                <c:pt idx="194">
                  <c:v>9.317571860000001</c:v>
                </c:pt>
                <c:pt idx="195">
                  <c:v>8.8095934299999996</c:v>
                </c:pt>
                <c:pt idx="196">
                  <c:v>7.4786332399999988</c:v>
                </c:pt>
                <c:pt idx="197">
                  <c:v>7.2223697500000004</c:v>
                </c:pt>
                <c:pt idx="198">
                  <c:v>8.2619417599999991</c:v>
                </c:pt>
                <c:pt idx="199">
                  <c:v>7.0714975400000011</c:v>
                </c:pt>
                <c:pt idx="200">
                  <c:v>5.3375334700000003</c:v>
                </c:pt>
                <c:pt idx="201">
                  <c:v>7.84529604</c:v>
                </c:pt>
                <c:pt idx="202">
                  <c:v>8.8930469099999989</c:v>
                </c:pt>
                <c:pt idx="203">
                  <c:v>8.3570629000000007</c:v>
                </c:pt>
                <c:pt idx="204">
                  <c:v>9.2296346100000015</c:v>
                </c:pt>
                <c:pt idx="205">
                  <c:v>8.5842646800000004</c:v>
                </c:pt>
                <c:pt idx="206">
                  <c:v>9.5587857499999984</c:v>
                </c:pt>
                <c:pt idx="207">
                  <c:v>9.2558877300000013</c:v>
                </c:pt>
                <c:pt idx="208">
                  <c:v>7.7162725499999993</c:v>
                </c:pt>
                <c:pt idx="209">
                  <c:v>9.0976117200000015</c:v>
                </c:pt>
                <c:pt idx="210">
                  <c:v>7.8003411200000006</c:v>
                </c:pt>
                <c:pt idx="211">
                  <c:v>9.0236708599999993</c:v>
                </c:pt>
                <c:pt idx="212">
                  <c:v>8.9689069000000003</c:v>
                </c:pt>
                <c:pt idx="213">
                  <c:v>10.35499358</c:v>
                </c:pt>
                <c:pt idx="214">
                  <c:v>11.22641044</c:v>
                </c:pt>
                <c:pt idx="215">
                  <c:v>8.1662196400000013</c:v>
                </c:pt>
                <c:pt idx="216">
                  <c:v>7.4419629600000015</c:v>
                </c:pt>
                <c:pt idx="217">
                  <c:v>6.7618846500000007</c:v>
                </c:pt>
                <c:pt idx="218">
                  <c:v>7.3813738400000002</c:v>
                </c:pt>
                <c:pt idx="219">
                  <c:v>5.8774126300000002</c:v>
                </c:pt>
                <c:pt idx="220">
                  <c:v>5.5152809499999993</c:v>
                </c:pt>
                <c:pt idx="221">
                  <c:v>4.9839869599999993</c:v>
                </c:pt>
                <c:pt idx="222">
                  <c:v>4.1778807899999979</c:v>
                </c:pt>
                <c:pt idx="223">
                  <c:v>3.8082878799999982</c:v>
                </c:pt>
                <c:pt idx="224">
                  <c:v>3.8016011600000006</c:v>
                </c:pt>
                <c:pt idx="225">
                  <c:v>3.4372130899999984</c:v>
                </c:pt>
                <c:pt idx="226">
                  <c:v>1.1637367199999993</c:v>
                </c:pt>
                <c:pt idx="227">
                  <c:v>5.0718660000001137E-2</c:v>
                </c:pt>
                <c:pt idx="228">
                  <c:v>4.9082390000000586E-2</c:v>
                </c:pt>
                <c:pt idx="229">
                  <c:v>0.32458796000000056</c:v>
                </c:pt>
                <c:pt idx="230">
                  <c:v>0.55459920000000018</c:v>
                </c:pt>
                <c:pt idx="231">
                  <c:v>-0.33721639000000003</c:v>
                </c:pt>
                <c:pt idx="232">
                  <c:v>-1.4449117200000003</c:v>
                </c:pt>
                <c:pt idx="233">
                  <c:v>-2.050634699999998</c:v>
                </c:pt>
                <c:pt idx="234">
                  <c:v>-3.073791899999998</c:v>
                </c:pt>
                <c:pt idx="235">
                  <c:v>-2.9147885900000006</c:v>
                </c:pt>
                <c:pt idx="236">
                  <c:v>-3.7976027699999992</c:v>
                </c:pt>
                <c:pt idx="237">
                  <c:v>-0.35381166999999891</c:v>
                </c:pt>
                <c:pt idx="238">
                  <c:v>-1.1787354500000014</c:v>
                </c:pt>
                <c:pt idx="239">
                  <c:v>-0.83746118000000003</c:v>
                </c:pt>
                <c:pt idx="240">
                  <c:v>-0.93476226000000118</c:v>
                </c:pt>
                <c:pt idx="241">
                  <c:v>-0.63729760000000013</c:v>
                </c:pt>
                <c:pt idx="242">
                  <c:v>-2.1196322100000007</c:v>
                </c:pt>
                <c:pt idx="243">
                  <c:v>-2.0505702400000008</c:v>
                </c:pt>
                <c:pt idx="244">
                  <c:v>-2.4455623299999996</c:v>
                </c:pt>
                <c:pt idx="245">
                  <c:v>-2.3916698000000007</c:v>
                </c:pt>
                <c:pt idx="246">
                  <c:v>-2.4277440299999995</c:v>
                </c:pt>
                <c:pt idx="247">
                  <c:v>-1.6295903799999998</c:v>
                </c:pt>
                <c:pt idx="248">
                  <c:v>0.87160004000000058</c:v>
                </c:pt>
                <c:pt idx="249">
                  <c:v>2.0010263399999992</c:v>
                </c:pt>
                <c:pt idx="250">
                  <c:v>1.3085222799999983</c:v>
                </c:pt>
                <c:pt idx="251">
                  <c:v>2.4684586900000021</c:v>
                </c:pt>
                <c:pt idx="252">
                  <c:v>3.4257874100000016</c:v>
                </c:pt>
                <c:pt idx="253">
                  <c:v>1.5075894100000014</c:v>
                </c:pt>
                <c:pt idx="254">
                  <c:v>2.699818190000002</c:v>
                </c:pt>
                <c:pt idx="255">
                  <c:v>3.3123130200000013</c:v>
                </c:pt>
                <c:pt idx="256">
                  <c:v>4.931652699999999</c:v>
                </c:pt>
                <c:pt idx="257">
                  <c:v>6.2544373199999992</c:v>
                </c:pt>
                <c:pt idx="258">
                  <c:v>7.6042457799999994</c:v>
                </c:pt>
                <c:pt idx="259">
                  <c:v>10.279423379999999</c:v>
                </c:pt>
                <c:pt idx="260">
                  <c:v>8.1660987500000033</c:v>
                </c:pt>
                <c:pt idx="261">
                  <c:v>8.4857421600000009</c:v>
                </c:pt>
                <c:pt idx="262">
                  <c:v>9.3968716299999997</c:v>
                </c:pt>
                <c:pt idx="263">
                  <c:v>9.798878049999999</c:v>
                </c:pt>
                <c:pt idx="264">
                  <c:v>10.087941919999999</c:v>
                </c:pt>
                <c:pt idx="265">
                  <c:v>10.12792031</c:v>
                </c:pt>
                <c:pt idx="266">
                  <c:v>11.177700639999999</c:v>
                </c:pt>
                <c:pt idx="267">
                  <c:v>10.659388100000001</c:v>
                </c:pt>
                <c:pt idx="268">
                  <c:v>13.545110660000002</c:v>
                </c:pt>
                <c:pt idx="269">
                  <c:v>14.13972701</c:v>
                </c:pt>
                <c:pt idx="270">
                  <c:v>12.242250890000001</c:v>
                </c:pt>
                <c:pt idx="271">
                  <c:v>12.456604460000001</c:v>
                </c:pt>
                <c:pt idx="272">
                  <c:v>10.188628360000003</c:v>
                </c:pt>
                <c:pt idx="273">
                  <c:v>11.96689572</c:v>
                </c:pt>
                <c:pt idx="274">
                  <c:v>11.03087135</c:v>
                </c:pt>
                <c:pt idx="275">
                  <c:v>13.834742030000001</c:v>
                </c:pt>
                <c:pt idx="276">
                  <c:v>13.591996350000001</c:v>
                </c:pt>
                <c:pt idx="277">
                  <c:v>13.042588009999999</c:v>
                </c:pt>
                <c:pt idx="278">
                  <c:v>13.276664190000002</c:v>
                </c:pt>
                <c:pt idx="279">
                  <c:v>14.770353279999998</c:v>
                </c:pt>
                <c:pt idx="280">
                  <c:v>14.316326659999998</c:v>
                </c:pt>
                <c:pt idx="281">
                  <c:v>14.813845600000001</c:v>
                </c:pt>
                <c:pt idx="282">
                  <c:v>15.937532539999999</c:v>
                </c:pt>
                <c:pt idx="283">
                  <c:v>14.10725249</c:v>
                </c:pt>
                <c:pt idx="284">
                  <c:v>12.964597299999998</c:v>
                </c:pt>
                <c:pt idx="285">
                  <c:v>14.907777750000005</c:v>
                </c:pt>
                <c:pt idx="286">
                  <c:v>15.103807209999999</c:v>
                </c:pt>
                <c:pt idx="287">
                  <c:v>14.424305429999997</c:v>
                </c:pt>
                <c:pt idx="288">
                  <c:v>13.803070410000004</c:v>
                </c:pt>
                <c:pt idx="289">
                  <c:v>9.9062987100000015</c:v>
                </c:pt>
                <c:pt idx="290">
                  <c:v>8.8225055700000041</c:v>
                </c:pt>
                <c:pt idx="291">
                  <c:v>10.997819909999997</c:v>
                </c:pt>
                <c:pt idx="292">
                  <c:v>12.55280072</c:v>
                </c:pt>
                <c:pt idx="293">
                  <c:v>11.374256159999998</c:v>
                </c:pt>
                <c:pt idx="294">
                  <c:v>10.792909940000001</c:v>
                </c:pt>
                <c:pt idx="295">
                  <c:v>8.6660346799999992</c:v>
                </c:pt>
                <c:pt idx="296">
                  <c:v>7.5522670199999986</c:v>
                </c:pt>
                <c:pt idx="297">
                  <c:v>9.0098800399999988</c:v>
                </c:pt>
                <c:pt idx="298">
                  <c:v>7.9151359299999982</c:v>
                </c:pt>
                <c:pt idx="299">
                  <c:v>8.2643467200000025</c:v>
                </c:pt>
                <c:pt idx="300">
                  <c:v>8.9359698599999966</c:v>
                </c:pt>
                <c:pt idx="301">
                  <c:v>6.5534306600000001</c:v>
                </c:pt>
                <c:pt idx="302">
                  <c:v>7.0337904900000012</c:v>
                </c:pt>
                <c:pt idx="303">
                  <c:v>6.3753062500000013</c:v>
                </c:pt>
                <c:pt idx="304">
                  <c:v>6.2416931499999997</c:v>
                </c:pt>
                <c:pt idx="305">
                  <c:v>8.1385371099999979</c:v>
                </c:pt>
                <c:pt idx="306">
                  <c:v>6.8703052200000023</c:v>
                </c:pt>
                <c:pt idx="307">
                  <c:v>7.301254979999996</c:v>
                </c:pt>
                <c:pt idx="308">
                  <c:v>6.1894987300000004</c:v>
                </c:pt>
                <c:pt idx="309">
                  <c:v>6.8844460699999992</c:v>
                </c:pt>
                <c:pt idx="310">
                  <c:v>7.2282082900000013</c:v>
                </c:pt>
                <c:pt idx="311">
                  <c:v>5.3582525999999966</c:v>
                </c:pt>
                <c:pt idx="312">
                  <c:v>4.1257819399999995</c:v>
                </c:pt>
                <c:pt idx="313">
                  <c:v>4.2023830899999979</c:v>
                </c:pt>
              </c:numCache>
            </c:numRef>
          </c:val>
          <c:smooth val="0"/>
          <c:extLst>
            <c:ext xmlns:c16="http://schemas.microsoft.com/office/drawing/2014/chart" uri="{C3380CC4-5D6E-409C-BE32-E72D297353CC}">
              <c16:uniqueId val="{00000000-31A9-49B3-9474-749AC4724C0F}"/>
            </c:ext>
          </c:extLst>
        </c:ser>
        <c:dLbls>
          <c:showLegendKey val="0"/>
          <c:showVal val="0"/>
          <c:showCatName val="0"/>
          <c:showSerName val="0"/>
          <c:showPercent val="0"/>
          <c:showBubbleSize val="0"/>
        </c:dLbls>
        <c:smooth val="0"/>
        <c:axId val="596234416"/>
        <c:axId val="1292859792"/>
      </c:lineChart>
      <c:catAx>
        <c:axId val="596234416"/>
        <c:scaling>
          <c:orientation val="minMax"/>
        </c:scaling>
        <c:delete val="0"/>
        <c:axPos val="b"/>
        <c:numFmt formatCode="dd-mmm-yy"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292859792"/>
        <c:crosses val="autoZero"/>
        <c:auto val="1"/>
        <c:lblAlgn val="ctr"/>
        <c:lblOffset val="100"/>
        <c:noMultiLvlLbl val="1"/>
      </c:catAx>
      <c:valAx>
        <c:axId val="1292859792"/>
        <c:scaling>
          <c:orientation val="minMax"/>
        </c:scaling>
        <c:delete val="0"/>
        <c:axPos val="l"/>
        <c:majorGridlines>
          <c:spPr>
            <a:ln w="9525" cap="flat" cmpd="sng" algn="ctr">
              <a:solidFill>
                <a:schemeClr val="tx2">
                  <a:lumMod val="15000"/>
                  <a:lumOff val="85000"/>
                </a:schemeClr>
              </a:solidFill>
              <a:round/>
            </a:ln>
            <a:effectLst/>
          </c:spPr>
        </c:majorGridlines>
        <c:minorGridlines>
          <c:spPr>
            <a:ln>
              <a:solidFill>
                <a:schemeClr val="tx2">
                  <a:lumMod val="5000"/>
                  <a:lumOff val="95000"/>
                </a:schemeClr>
              </a:solidFill>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596234416"/>
        <c:crosses val="autoZero"/>
        <c:crossBetween val="between"/>
      </c:valAx>
      <c:spPr>
        <a:noFill/>
        <a:ln>
          <a:noFill/>
        </a:ln>
        <a:effectLst/>
      </c:spPr>
    </c:plotArea>
    <c:plotVisOnly val="1"/>
    <c:dispBlanksAs val="zero"/>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Pricing</a:t>
            </a:r>
            <a:r>
              <a:rPr lang="en-US" baseline="0"/>
              <a:t> of Bter Relative to Quoine</a:t>
            </a:r>
            <a:br>
              <a:rPr lang="en-US" baseline="0"/>
            </a:br>
            <a:r>
              <a:rPr lang="en-US" sz="1100" i="1" baseline="0"/>
              <a:t>(deviation % from parity)</a:t>
            </a:r>
            <a:endParaRPr lang="en-US" i="1"/>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lineChart>
        <c:grouping val="stacked"/>
        <c:varyColors val="0"/>
        <c:ser>
          <c:idx val="0"/>
          <c:order val="0"/>
          <c:spPr>
            <a:ln w="31750" cap="rnd">
              <a:solidFill>
                <a:schemeClr val="accent1"/>
              </a:solidFill>
              <a:round/>
            </a:ln>
            <a:effectLst/>
          </c:spPr>
          <c:marker>
            <c:symbol val="none"/>
          </c:marker>
          <c:val>
            <c:numRef>
              <c:f>other2!$E$2:$E$325</c:f>
              <c:numCache>
                <c:formatCode>General</c:formatCode>
                <c:ptCount val="324"/>
                <c:pt idx="0">
                  <c:v>3.9221726100000001</c:v>
                </c:pt>
                <c:pt idx="1">
                  <c:v>4.39560043</c:v>
                </c:pt>
                <c:pt idx="2">
                  <c:v>3.7096328600000001</c:v>
                </c:pt>
                <c:pt idx="3">
                  <c:v>3.89486467</c:v>
                </c:pt>
                <c:pt idx="4">
                  <c:v>3.0912328799999997</c:v>
                </c:pt>
                <c:pt idx="5">
                  <c:v>2.35225909</c:v>
                </c:pt>
                <c:pt idx="6">
                  <c:v>1.8600402999999999</c:v>
                </c:pt>
                <c:pt idx="7">
                  <c:v>-0.35664315999999996</c:v>
                </c:pt>
                <c:pt idx="8">
                  <c:v>1.5115547899999999</c:v>
                </c:pt>
                <c:pt idx="9">
                  <c:v>0.92444937999999999</c:v>
                </c:pt>
                <c:pt idx="10">
                  <c:v>1.8866693599999997</c:v>
                </c:pt>
                <c:pt idx="11">
                  <c:v>1.8641743100000001</c:v>
                </c:pt>
                <c:pt idx="12">
                  <c:v>2.1135402299999999</c:v>
                </c:pt>
                <c:pt idx="13">
                  <c:v>1.3353200499999998</c:v>
                </c:pt>
                <c:pt idx="14">
                  <c:v>3.5978944099999994</c:v>
                </c:pt>
                <c:pt idx="15">
                  <c:v>4.3857117600000004</c:v>
                </c:pt>
                <c:pt idx="16">
                  <c:v>3.6997301900000004</c:v>
                </c:pt>
                <c:pt idx="17">
                  <c:v>3.16547504</c:v>
                </c:pt>
                <c:pt idx="18">
                  <c:v>4.3676354399999999</c:v>
                </c:pt>
                <c:pt idx="19">
                  <c:v>3.38740847</c:v>
                </c:pt>
                <c:pt idx="20">
                  <c:v>3.2128959699999999</c:v>
                </c:pt>
                <c:pt idx="21">
                  <c:v>1.1965169199999999</c:v>
                </c:pt>
                <c:pt idx="22">
                  <c:v>0.81778850000000003</c:v>
                </c:pt>
                <c:pt idx="23">
                  <c:v>1.43022761</c:v>
                </c:pt>
                <c:pt idx="24">
                  <c:v>2.5733855999999999</c:v>
                </c:pt>
                <c:pt idx="25">
                  <c:v>1.6864486799999998</c:v>
                </c:pt>
                <c:pt idx="26">
                  <c:v>2.0314326200000004</c:v>
                </c:pt>
                <c:pt idx="27">
                  <c:v>1.3145498399999997</c:v>
                </c:pt>
                <c:pt idx="28">
                  <c:v>4.5472456500000007</c:v>
                </c:pt>
                <c:pt idx="29">
                  <c:v>7.0085686300000001</c:v>
                </c:pt>
                <c:pt idx="30">
                  <c:v>7.05119278</c:v>
                </c:pt>
                <c:pt idx="31">
                  <c:v>6.7640813600000005</c:v>
                </c:pt>
                <c:pt idx="32">
                  <c:v>5.5452300799999996</c:v>
                </c:pt>
                <c:pt idx="33">
                  <c:v>7.7705676299999995</c:v>
                </c:pt>
                <c:pt idx="34">
                  <c:v>7.1857997400000002</c:v>
                </c:pt>
                <c:pt idx="35">
                  <c:v>8.4798457499999991</c:v>
                </c:pt>
                <c:pt idx="36">
                  <c:v>7.8346913200000001</c:v>
                </c:pt>
                <c:pt idx="37">
                  <c:v>5.9858413399999995</c:v>
                </c:pt>
                <c:pt idx="38">
                  <c:v>4.45651785</c:v>
                </c:pt>
                <c:pt idx="39">
                  <c:v>5.1442138699999997</c:v>
                </c:pt>
                <c:pt idx="40">
                  <c:v>5.0650613599999996</c:v>
                </c:pt>
                <c:pt idx="41">
                  <c:v>6.01604676</c:v>
                </c:pt>
                <c:pt idx="42">
                  <c:v>7.2185058299999998</c:v>
                </c:pt>
                <c:pt idx="43">
                  <c:v>5.1773445300000001</c:v>
                </c:pt>
                <c:pt idx="44">
                  <c:v>6.7794849799999994</c:v>
                </c:pt>
                <c:pt idx="45">
                  <c:v>10.22039927</c:v>
                </c:pt>
                <c:pt idx="46">
                  <c:v>9.8482074700000002</c:v>
                </c:pt>
                <c:pt idx="47">
                  <c:v>6.8265676200000005</c:v>
                </c:pt>
                <c:pt idx="48">
                  <c:v>6.3431950800000001</c:v>
                </c:pt>
                <c:pt idx="49">
                  <c:v>6.0320133599999997</c:v>
                </c:pt>
                <c:pt idx="50">
                  <c:v>6.7744702399999994</c:v>
                </c:pt>
                <c:pt idx="51">
                  <c:v>5.6190684900000001</c:v>
                </c:pt>
                <c:pt idx="52">
                  <c:v>3.211856</c:v>
                </c:pt>
                <c:pt idx="53">
                  <c:v>3.7353810799999998</c:v>
                </c:pt>
                <c:pt idx="54">
                  <c:v>2.2943632200000001</c:v>
                </c:pt>
                <c:pt idx="55">
                  <c:v>1.8305363699999999</c:v>
                </c:pt>
                <c:pt idx="56">
                  <c:v>0.22889356999999988</c:v>
                </c:pt>
                <c:pt idx="57">
                  <c:v>-1.0368350400000002</c:v>
                </c:pt>
                <c:pt idx="58">
                  <c:v>-2.6416020600000003</c:v>
                </c:pt>
                <c:pt idx="59">
                  <c:v>-2.4283580899999997</c:v>
                </c:pt>
                <c:pt idx="60">
                  <c:v>-0.73299744000000011</c:v>
                </c:pt>
                <c:pt idx="61">
                  <c:v>-3.1552283899999995</c:v>
                </c:pt>
                <c:pt idx="62">
                  <c:v>-2.4691549000000004</c:v>
                </c:pt>
                <c:pt idx="63">
                  <c:v>-1.7038335599999999</c:v>
                </c:pt>
                <c:pt idx="64">
                  <c:v>-0.11238284999999992</c:v>
                </c:pt>
                <c:pt idx="65">
                  <c:v>-0.67924268999999993</c:v>
                </c:pt>
                <c:pt idx="66">
                  <c:v>-2.7711643099999996</c:v>
                </c:pt>
                <c:pt idx="67">
                  <c:v>-2.8988064300000005</c:v>
                </c:pt>
                <c:pt idx="68">
                  <c:v>-4.7398936200000001</c:v>
                </c:pt>
                <c:pt idx="69">
                  <c:v>-3.9265226500000003</c:v>
                </c:pt>
                <c:pt idx="70">
                  <c:v>-2.9177443799999998</c:v>
                </c:pt>
                <c:pt idx="71">
                  <c:v>-1.7468490199999995</c:v>
                </c:pt>
                <c:pt idx="72">
                  <c:v>-1.4751596399999998</c:v>
                </c:pt>
                <c:pt idx="73">
                  <c:v>-0.4465259700000006</c:v>
                </c:pt>
                <c:pt idx="74">
                  <c:v>-1.2524755999999999</c:v>
                </c:pt>
                <c:pt idx="75">
                  <c:v>-1.7843257599999998</c:v>
                </c:pt>
                <c:pt idx="76">
                  <c:v>-0.85169362999999976</c:v>
                </c:pt>
                <c:pt idx="77">
                  <c:v>-2.3228106500000001</c:v>
                </c:pt>
                <c:pt idx="78">
                  <c:v>-1.3284753300000007</c:v>
                </c:pt>
                <c:pt idx="79">
                  <c:v>-1.82005617</c:v>
                </c:pt>
                <c:pt idx="80">
                  <c:v>-1.4853447100000006</c:v>
                </c:pt>
                <c:pt idx="81">
                  <c:v>-0.92469024999999938</c:v>
                </c:pt>
                <c:pt idx="82">
                  <c:v>-0.65414789999999989</c:v>
                </c:pt>
                <c:pt idx="83">
                  <c:v>-3.7663609500000002</c:v>
                </c:pt>
                <c:pt idx="84">
                  <c:v>-4.3180931000000005</c:v>
                </c:pt>
                <c:pt idx="85">
                  <c:v>-2.7668674700000002</c:v>
                </c:pt>
                <c:pt idx="86">
                  <c:v>-3.3854647899999999</c:v>
                </c:pt>
                <c:pt idx="87">
                  <c:v>-4.5853002299999996</c:v>
                </c:pt>
                <c:pt idx="88">
                  <c:v>-5.2545697399999991</c:v>
                </c:pt>
                <c:pt idx="89">
                  <c:v>-5.9323005099999992</c:v>
                </c:pt>
                <c:pt idx="90">
                  <c:v>-3.6548623499999997</c:v>
                </c:pt>
                <c:pt idx="91">
                  <c:v>-4.31235122</c:v>
                </c:pt>
                <c:pt idx="92">
                  <c:v>-1.7267784399999995</c:v>
                </c:pt>
                <c:pt idx="93">
                  <c:v>-3.3102754999999995</c:v>
                </c:pt>
                <c:pt idx="94">
                  <c:v>-3.8985644600000002</c:v>
                </c:pt>
                <c:pt idx="95">
                  <c:v>-3.0107694199999999</c:v>
                </c:pt>
                <c:pt idx="96">
                  <c:v>-5.2966008100000002</c:v>
                </c:pt>
                <c:pt idx="97">
                  <c:v>-8.4625432099999998</c:v>
                </c:pt>
                <c:pt idx="98">
                  <c:v>-9.3847827700000011</c:v>
                </c:pt>
                <c:pt idx="99">
                  <c:v>-7.4667709899999997</c:v>
                </c:pt>
                <c:pt idx="100">
                  <c:v>-7.8558544699999988</c:v>
                </c:pt>
                <c:pt idx="101">
                  <c:v>-9.1823425199999988</c:v>
                </c:pt>
                <c:pt idx="102">
                  <c:v>-9.4865571499999994</c:v>
                </c:pt>
                <c:pt idx="103">
                  <c:v>-6.300878410000001</c:v>
                </c:pt>
                <c:pt idx="104">
                  <c:v>-6.0061122299999994</c:v>
                </c:pt>
                <c:pt idx="105">
                  <c:v>-5.2886175699999995</c:v>
                </c:pt>
                <c:pt idx="106">
                  <c:v>-3.1819839799999992</c:v>
                </c:pt>
                <c:pt idx="107">
                  <c:v>-4.6036420800000002</c:v>
                </c:pt>
                <c:pt idx="108">
                  <c:v>-3.86804828</c:v>
                </c:pt>
                <c:pt idx="109">
                  <c:v>-3.1208756400000004</c:v>
                </c:pt>
                <c:pt idx="110">
                  <c:v>-2.77231615</c:v>
                </c:pt>
                <c:pt idx="111">
                  <c:v>-3.1111902899999997</c:v>
                </c:pt>
                <c:pt idx="112">
                  <c:v>-3.8558002699999996</c:v>
                </c:pt>
                <c:pt idx="113">
                  <c:v>-3.7168977200000004</c:v>
                </c:pt>
                <c:pt idx="114">
                  <c:v>-2.3189185500000002</c:v>
                </c:pt>
                <c:pt idx="115">
                  <c:v>-0.10157696999999999</c:v>
                </c:pt>
                <c:pt idx="116">
                  <c:v>-8.4181280000000136E-2</c:v>
                </c:pt>
                <c:pt idx="117">
                  <c:v>-1.6600081200000001</c:v>
                </c:pt>
                <c:pt idx="118">
                  <c:v>-2.2103926000000005</c:v>
                </c:pt>
                <c:pt idx="119">
                  <c:v>-0.87411031999999977</c:v>
                </c:pt>
                <c:pt idx="120">
                  <c:v>-0.47454805000000011</c:v>
                </c:pt>
                <c:pt idx="121">
                  <c:v>-3.2945896599999998</c:v>
                </c:pt>
                <c:pt idx="122">
                  <c:v>-2.0276784299999999</c:v>
                </c:pt>
                <c:pt idx="123">
                  <c:v>-2.0874901200000004</c:v>
                </c:pt>
                <c:pt idx="124">
                  <c:v>-1.7599632999999999</c:v>
                </c:pt>
                <c:pt idx="125">
                  <c:v>-2.9352335900000002</c:v>
                </c:pt>
                <c:pt idx="126">
                  <c:v>-1.3401619599999997</c:v>
                </c:pt>
                <c:pt idx="127">
                  <c:v>-1.0341472600000001</c:v>
                </c:pt>
                <c:pt idx="128">
                  <c:v>-0.70604040000000001</c:v>
                </c:pt>
                <c:pt idx="129">
                  <c:v>-2.5068660900000008</c:v>
                </c:pt>
                <c:pt idx="130">
                  <c:v>-2.0579430999999992</c:v>
                </c:pt>
                <c:pt idx="131">
                  <c:v>-0.86381434999999929</c:v>
                </c:pt>
                <c:pt idx="132">
                  <c:v>-2.8923936699999997</c:v>
                </c:pt>
                <c:pt idx="133">
                  <c:v>-2.0310949800000007</c:v>
                </c:pt>
                <c:pt idx="134">
                  <c:v>-3.2052036199999989</c:v>
                </c:pt>
                <c:pt idx="135">
                  <c:v>-4.8070068900000003</c:v>
                </c:pt>
                <c:pt idx="136">
                  <c:v>-5.1417107099999999</c:v>
                </c:pt>
                <c:pt idx="137">
                  <c:v>-6.9710407500000011</c:v>
                </c:pt>
                <c:pt idx="138">
                  <c:v>-7.5594465099999999</c:v>
                </c:pt>
                <c:pt idx="139">
                  <c:v>-6.51924539</c:v>
                </c:pt>
                <c:pt idx="140">
                  <c:v>-8.0348062200000001</c:v>
                </c:pt>
                <c:pt idx="141">
                  <c:v>-7.5393308999999995</c:v>
                </c:pt>
                <c:pt idx="142">
                  <c:v>-6.6801551099999994</c:v>
                </c:pt>
                <c:pt idx="143">
                  <c:v>-6.7387133399999994</c:v>
                </c:pt>
                <c:pt idx="144">
                  <c:v>-8.2245197900000004</c:v>
                </c:pt>
                <c:pt idx="145">
                  <c:v>-10.21154041</c:v>
                </c:pt>
                <c:pt idx="146">
                  <c:v>-10.797590229999999</c:v>
                </c:pt>
                <c:pt idx="147">
                  <c:v>-11.005313129999999</c:v>
                </c:pt>
                <c:pt idx="148">
                  <c:v>-12.838024579999999</c:v>
                </c:pt>
                <c:pt idx="149">
                  <c:v>-12.851656240000001</c:v>
                </c:pt>
                <c:pt idx="150">
                  <c:v>-13.660917079999999</c:v>
                </c:pt>
                <c:pt idx="151">
                  <c:v>-13.158310539999999</c:v>
                </c:pt>
                <c:pt idx="152">
                  <c:v>-11.429971099999999</c:v>
                </c:pt>
                <c:pt idx="153">
                  <c:v>-11.93140887</c:v>
                </c:pt>
                <c:pt idx="154">
                  <c:v>-9.9909383599999995</c:v>
                </c:pt>
                <c:pt idx="155">
                  <c:v>-12.621261609999999</c:v>
                </c:pt>
                <c:pt idx="156">
                  <c:v>-13.95210282</c:v>
                </c:pt>
                <c:pt idx="157">
                  <c:v>-13.70940691</c:v>
                </c:pt>
                <c:pt idx="158">
                  <c:v>-12.63622827</c:v>
                </c:pt>
                <c:pt idx="159">
                  <c:v>-11.29893272</c:v>
                </c:pt>
                <c:pt idx="160">
                  <c:v>-13.07961139</c:v>
                </c:pt>
                <c:pt idx="161">
                  <c:v>-9.7270483599999995</c:v>
                </c:pt>
                <c:pt idx="162">
                  <c:v>-10.91642442</c:v>
                </c:pt>
                <c:pt idx="163">
                  <c:v>-11.7278599</c:v>
                </c:pt>
                <c:pt idx="164">
                  <c:v>-12.428839199999999</c:v>
                </c:pt>
                <c:pt idx="165">
                  <c:v>-11.995503060000001</c:v>
                </c:pt>
                <c:pt idx="166">
                  <c:v>-15.08415793</c:v>
                </c:pt>
                <c:pt idx="167">
                  <c:v>-15.65647386</c:v>
                </c:pt>
                <c:pt idx="168">
                  <c:v>-18.00904641</c:v>
                </c:pt>
                <c:pt idx="169">
                  <c:v>-17.913761470000001</c:v>
                </c:pt>
                <c:pt idx="170">
                  <c:v>-20.215867230000001</c:v>
                </c:pt>
                <c:pt idx="171">
                  <c:v>-18.416578730000001</c:v>
                </c:pt>
                <c:pt idx="172">
                  <c:v>-19.69200395</c:v>
                </c:pt>
                <c:pt idx="173">
                  <c:v>-18.44667029</c:v>
                </c:pt>
                <c:pt idx="174">
                  <c:v>-18.18226713</c:v>
                </c:pt>
                <c:pt idx="175">
                  <c:v>-18.451131050000001</c:v>
                </c:pt>
                <c:pt idx="176">
                  <c:v>-20.542081639999999</c:v>
                </c:pt>
                <c:pt idx="177">
                  <c:v>-22.611256149999999</c:v>
                </c:pt>
                <c:pt idx="178">
                  <c:v>-20.122245679999999</c:v>
                </c:pt>
                <c:pt idx="179">
                  <c:v>-19.169877669999998</c:v>
                </c:pt>
                <c:pt idx="180">
                  <c:v>-18.046083060000001</c:v>
                </c:pt>
                <c:pt idx="181">
                  <c:v>-18.225009549999999</c:v>
                </c:pt>
                <c:pt idx="182">
                  <c:v>-20.165977050000002</c:v>
                </c:pt>
                <c:pt idx="183">
                  <c:v>-17.623888090000001</c:v>
                </c:pt>
                <c:pt idx="184">
                  <c:v>-15.804784870000001</c:v>
                </c:pt>
                <c:pt idx="185">
                  <c:v>-16.340474069999999</c:v>
                </c:pt>
                <c:pt idx="186">
                  <c:v>-17.60949931</c:v>
                </c:pt>
                <c:pt idx="187">
                  <c:v>-16.855441280000001</c:v>
                </c:pt>
                <c:pt idx="188">
                  <c:v>-17.682152250000001</c:v>
                </c:pt>
                <c:pt idx="189">
                  <c:v>-18.25998061</c:v>
                </c:pt>
                <c:pt idx="190">
                  <c:v>-20.739307700000001</c:v>
                </c:pt>
                <c:pt idx="191">
                  <c:v>-21.824564280000001</c:v>
                </c:pt>
                <c:pt idx="192">
                  <c:v>-21.208173290000001</c:v>
                </c:pt>
                <c:pt idx="193">
                  <c:v>-22.501667920000003</c:v>
                </c:pt>
                <c:pt idx="194">
                  <c:v>-21.524996340000001</c:v>
                </c:pt>
                <c:pt idx="195">
                  <c:v>-23.158636079999997</c:v>
                </c:pt>
                <c:pt idx="196">
                  <c:v>-24.74810935</c:v>
                </c:pt>
                <c:pt idx="197">
                  <c:v>-24.581373710000001</c:v>
                </c:pt>
                <c:pt idx="198">
                  <c:v>-23.398468510000001</c:v>
                </c:pt>
                <c:pt idx="199">
                  <c:v>-23.84553841</c:v>
                </c:pt>
                <c:pt idx="200">
                  <c:v>-24.19298934</c:v>
                </c:pt>
                <c:pt idx="201">
                  <c:v>-25.055263199999999</c:v>
                </c:pt>
                <c:pt idx="202">
                  <c:v>-24.294968519999998</c:v>
                </c:pt>
                <c:pt idx="203">
                  <c:v>-21.791864709999999</c:v>
                </c:pt>
                <c:pt idx="204">
                  <c:v>-22.536350249999998</c:v>
                </c:pt>
                <c:pt idx="205">
                  <c:v>-22.551421980000001</c:v>
                </c:pt>
                <c:pt idx="206">
                  <c:v>-18.729382520000001</c:v>
                </c:pt>
                <c:pt idx="207">
                  <c:v>-17.187763099999998</c:v>
                </c:pt>
                <c:pt idx="208">
                  <c:v>-15.188930149999999</c:v>
                </c:pt>
                <c:pt idx="209">
                  <c:v>-13.61287931</c:v>
                </c:pt>
                <c:pt idx="210">
                  <c:v>-15.218261200000001</c:v>
                </c:pt>
                <c:pt idx="211">
                  <c:v>-15.9096925</c:v>
                </c:pt>
                <c:pt idx="212">
                  <c:v>-13.747031790000001</c:v>
                </c:pt>
                <c:pt idx="213">
                  <c:v>-14.189988229999999</c:v>
                </c:pt>
                <c:pt idx="214">
                  <c:v>-12.068721630000001</c:v>
                </c:pt>
                <c:pt idx="215">
                  <c:v>-13.38552688</c:v>
                </c:pt>
                <c:pt idx="216">
                  <c:v>-14.008287939999999</c:v>
                </c:pt>
                <c:pt idx="217">
                  <c:v>-14.664922070000001</c:v>
                </c:pt>
                <c:pt idx="218">
                  <c:v>-13.69802947</c:v>
                </c:pt>
                <c:pt idx="219">
                  <c:v>-12.27600827</c:v>
                </c:pt>
                <c:pt idx="220">
                  <c:v>-12.036813720000001</c:v>
                </c:pt>
                <c:pt idx="221">
                  <c:v>-13.48512056</c:v>
                </c:pt>
                <c:pt idx="222">
                  <c:v>-11.535751380000001</c:v>
                </c:pt>
                <c:pt idx="223">
                  <c:v>-10.482084820000001</c:v>
                </c:pt>
                <c:pt idx="224">
                  <c:v>-10.000553119999999</c:v>
                </c:pt>
                <c:pt idx="225">
                  <c:v>-11.00580014</c:v>
                </c:pt>
                <c:pt idx="226">
                  <c:v>-10.167330960000001</c:v>
                </c:pt>
                <c:pt idx="227">
                  <c:v>-7.98647288</c:v>
                </c:pt>
                <c:pt idx="228">
                  <c:v>-9.1949308899999984</c:v>
                </c:pt>
                <c:pt idx="229">
                  <c:v>-6.8964344999999998</c:v>
                </c:pt>
                <c:pt idx="230">
                  <c:v>-5.5329372799999996</c:v>
                </c:pt>
                <c:pt idx="231">
                  <c:v>-5.7362584500000002</c:v>
                </c:pt>
                <c:pt idx="232">
                  <c:v>-5.5688225100000004</c:v>
                </c:pt>
                <c:pt idx="233">
                  <c:v>-5.05229499</c:v>
                </c:pt>
                <c:pt idx="234">
                  <c:v>-3.0384796399999998</c:v>
                </c:pt>
                <c:pt idx="235">
                  <c:v>-2.31075724</c:v>
                </c:pt>
                <c:pt idx="236">
                  <c:v>-4.2262341000000001</c:v>
                </c:pt>
                <c:pt idx="237">
                  <c:v>-4.2446334199999995</c:v>
                </c:pt>
                <c:pt idx="238">
                  <c:v>-6.2673860699999997</c:v>
                </c:pt>
                <c:pt idx="239">
                  <c:v>-7.6456358599999987</c:v>
                </c:pt>
                <c:pt idx="240">
                  <c:v>-6.5279235200000008</c:v>
                </c:pt>
                <c:pt idx="241">
                  <c:v>-7.3922647300000008</c:v>
                </c:pt>
                <c:pt idx="242">
                  <c:v>-7.5127392999999998</c:v>
                </c:pt>
                <c:pt idx="243">
                  <c:v>-4.1954482699999991</c:v>
                </c:pt>
                <c:pt idx="244">
                  <c:v>-4.2578774100000008</c:v>
                </c:pt>
                <c:pt idx="245">
                  <c:v>-5.0568895300000003</c:v>
                </c:pt>
                <c:pt idx="246">
                  <c:v>-2.6864951899999996</c:v>
                </c:pt>
                <c:pt idx="247">
                  <c:v>-4.3537127299999998</c:v>
                </c:pt>
                <c:pt idx="248">
                  <c:v>-5.6111911599999997</c:v>
                </c:pt>
                <c:pt idx="249">
                  <c:v>-6.3923264900000003</c:v>
                </c:pt>
                <c:pt idx="250">
                  <c:v>-5.2818312199999999</c:v>
                </c:pt>
                <c:pt idx="251">
                  <c:v>-4.3687236999999994</c:v>
                </c:pt>
                <c:pt idx="252">
                  <c:v>-5.0016174299999996</c:v>
                </c:pt>
                <c:pt idx="253">
                  <c:v>-4.2728425099999994</c:v>
                </c:pt>
                <c:pt idx="254">
                  <c:v>-6.9456004800000004</c:v>
                </c:pt>
                <c:pt idx="255">
                  <c:v>-7.2897736299999991</c:v>
                </c:pt>
                <c:pt idx="256">
                  <c:v>-7.643200789999999</c:v>
                </c:pt>
                <c:pt idx="257">
                  <c:v>-7.1425242900000008</c:v>
                </c:pt>
                <c:pt idx="258">
                  <c:v>-7.443613700000002</c:v>
                </c:pt>
                <c:pt idx="259">
                  <c:v>-9.3765230700000011</c:v>
                </c:pt>
                <c:pt idx="260">
                  <c:v>-10.023467080000001</c:v>
                </c:pt>
                <c:pt idx="261">
                  <c:v>-11.810537560000002</c:v>
                </c:pt>
                <c:pt idx="262">
                  <c:v>-10.06903456</c:v>
                </c:pt>
                <c:pt idx="263">
                  <c:v>-8.3758159200000009</c:v>
                </c:pt>
                <c:pt idx="264">
                  <c:v>-6.1075957400000007</c:v>
                </c:pt>
                <c:pt idx="265">
                  <c:v>-6.0909780799999993</c:v>
                </c:pt>
                <c:pt idx="266">
                  <c:v>-4.8456266499999998</c:v>
                </c:pt>
                <c:pt idx="267">
                  <c:v>-7.8279622</c:v>
                </c:pt>
                <c:pt idx="268">
                  <c:v>-9.1138650400000003</c:v>
                </c:pt>
                <c:pt idx="269">
                  <c:v>-10.818764579999998</c:v>
                </c:pt>
                <c:pt idx="270">
                  <c:v>-10.273956149999998</c:v>
                </c:pt>
                <c:pt idx="271">
                  <c:v>-9.2409251399999999</c:v>
                </c:pt>
                <c:pt idx="272">
                  <c:v>-7.8168980799999996</c:v>
                </c:pt>
                <c:pt idx="273">
                  <c:v>-7.8857826699999993</c:v>
                </c:pt>
                <c:pt idx="274">
                  <c:v>-8.3822085700000013</c:v>
                </c:pt>
                <c:pt idx="275">
                  <c:v>-7.6491026700000013</c:v>
                </c:pt>
                <c:pt idx="276">
                  <c:v>-6.0021012999999979</c:v>
                </c:pt>
                <c:pt idx="277">
                  <c:v>-4.8030160399999993</c:v>
                </c:pt>
                <c:pt idx="278">
                  <c:v>-4.139554470000002</c:v>
                </c:pt>
                <c:pt idx="279">
                  <c:v>-5.0890553999999977</c:v>
                </c:pt>
                <c:pt idx="280">
                  <c:v>-2.9740782100000001</c:v>
                </c:pt>
                <c:pt idx="281">
                  <c:v>-5.5020618699999986</c:v>
                </c:pt>
                <c:pt idx="282">
                  <c:v>-5.864761699999999</c:v>
                </c:pt>
                <c:pt idx="283">
                  <c:v>-5.1884305999999984</c:v>
                </c:pt>
                <c:pt idx="284">
                  <c:v>-3.4124334299999983</c:v>
                </c:pt>
                <c:pt idx="285">
                  <c:v>-3.584375660000001</c:v>
                </c:pt>
                <c:pt idx="286">
                  <c:v>-2.0297533899999998</c:v>
                </c:pt>
                <c:pt idx="287">
                  <c:v>0.59925534999999996</c:v>
                </c:pt>
                <c:pt idx="288">
                  <c:v>0.2852941100000006</c:v>
                </c:pt>
                <c:pt idx="289">
                  <c:v>0.21556787000000099</c:v>
                </c:pt>
                <c:pt idx="290">
                  <c:v>-9.3934580000000878E-2</c:v>
                </c:pt>
                <c:pt idx="291">
                  <c:v>-0.5839683400000002</c:v>
                </c:pt>
                <c:pt idx="292">
                  <c:v>0.18852555000000137</c:v>
                </c:pt>
                <c:pt idx="293">
                  <c:v>-3.2999074700000008</c:v>
                </c:pt>
                <c:pt idx="294">
                  <c:v>-3.2284040800000007</c:v>
                </c:pt>
                <c:pt idx="295">
                  <c:v>-3.9569796299999993</c:v>
                </c:pt>
                <c:pt idx="296">
                  <c:v>-3.5512456199999995</c:v>
                </c:pt>
                <c:pt idx="297">
                  <c:v>-4.5826069799999996</c:v>
                </c:pt>
                <c:pt idx="298">
                  <c:v>-2.3620803099999996</c:v>
                </c:pt>
                <c:pt idx="299">
                  <c:v>-5.2260114000000009</c:v>
                </c:pt>
                <c:pt idx="300">
                  <c:v>-3.68230316</c:v>
                </c:pt>
                <c:pt idx="301">
                  <c:v>-6.2970243500000009</c:v>
                </c:pt>
                <c:pt idx="302">
                  <c:v>-6.3528085300000008</c:v>
                </c:pt>
                <c:pt idx="303">
                  <c:v>-2.9083038200000004</c:v>
                </c:pt>
                <c:pt idx="304">
                  <c:v>-2.3082940100000009</c:v>
                </c:pt>
                <c:pt idx="305">
                  <c:v>-4.226199789999999</c:v>
                </c:pt>
                <c:pt idx="306">
                  <c:v>-3.6349144500000001</c:v>
                </c:pt>
                <c:pt idx="307">
                  <c:v>-6.5030054100000001</c:v>
                </c:pt>
                <c:pt idx="308">
                  <c:v>-5.9466440200000008</c:v>
                </c:pt>
                <c:pt idx="309">
                  <c:v>-6.7086086400000013</c:v>
                </c:pt>
                <c:pt idx="310">
                  <c:v>-6.9275672700000008</c:v>
                </c:pt>
                <c:pt idx="311">
                  <c:v>-7.3428726600000012</c:v>
                </c:pt>
                <c:pt idx="312">
                  <c:v>-8.3249454199999988</c:v>
                </c:pt>
                <c:pt idx="313">
                  <c:v>-9.9279828999999999</c:v>
                </c:pt>
                <c:pt idx="314">
                  <c:v>-9.5081528599999992</c:v>
                </c:pt>
                <c:pt idx="315">
                  <c:v>-11.25725527</c:v>
                </c:pt>
                <c:pt idx="316">
                  <c:v>-12.698237079999998</c:v>
                </c:pt>
                <c:pt idx="317">
                  <c:v>-14.412769170000001</c:v>
                </c:pt>
                <c:pt idx="318">
                  <c:v>-15.859663869999999</c:v>
                </c:pt>
                <c:pt idx="319">
                  <c:v>-17.124842229999999</c:v>
                </c:pt>
                <c:pt idx="320">
                  <c:v>-16.345255510000001</c:v>
                </c:pt>
                <c:pt idx="321">
                  <c:v>-18.360384830000001</c:v>
                </c:pt>
                <c:pt idx="322">
                  <c:v>-17.439237419999998</c:v>
                </c:pt>
                <c:pt idx="323">
                  <c:v>-15.547323699999998</c:v>
                </c:pt>
              </c:numCache>
            </c:numRef>
          </c:val>
          <c:smooth val="0"/>
          <c:extLst>
            <c:ext xmlns:c16="http://schemas.microsoft.com/office/drawing/2014/chart" uri="{C3380CC4-5D6E-409C-BE32-E72D297353CC}">
              <c16:uniqueId val="{00000000-EB67-4209-90CC-B2FF9645A334}"/>
            </c:ext>
          </c:extLst>
        </c:ser>
        <c:dLbls>
          <c:showLegendKey val="0"/>
          <c:showVal val="0"/>
          <c:showCatName val="0"/>
          <c:showSerName val="0"/>
          <c:showPercent val="0"/>
          <c:showBubbleSize val="0"/>
        </c:dLbls>
        <c:smooth val="0"/>
        <c:axId val="596234416"/>
        <c:axId val="1292859792"/>
      </c:lineChart>
      <c:catAx>
        <c:axId val="596234416"/>
        <c:scaling>
          <c:orientation val="minMax"/>
        </c:scaling>
        <c:delete val="0"/>
        <c:axPos val="b"/>
        <c:numFmt formatCode="dd-mmm-yy"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292859792"/>
        <c:crosses val="autoZero"/>
        <c:auto val="1"/>
        <c:lblAlgn val="ctr"/>
        <c:lblOffset val="100"/>
        <c:noMultiLvlLbl val="0"/>
      </c:catAx>
      <c:valAx>
        <c:axId val="1292859792"/>
        <c:scaling>
          <c:orientation val="minMax"/>
        </c:scaling>
        <c:delete val="0"/>
        <c:axPos val="l"/>
        <c:majorGridlines>
          <c:spPr>
            <a:ln w="9525" cap="flat" cmpd="sng" algn="ctr">
              <a:solidFill>
                <a:schemeClr val="tx2">
                  <a:lumMod val="15000"/>
                  <a:lumOff val="85000"/>
                </a:schemeClr>
              </a:solidFill>
              <a:round/>
            </a:ln>
            <a:effectLst/>
          </c:spPr>
        </c:majorGridlines>
        <c:minorGridlines>
          <c:spPr>
            <a:ln>
              <a:solidFill>
                <a:schemeClr val="tx2">
                  <a:lumMod val="5000"/>
                  <a:lumOff val="95000"/>
                </a:schemeClr>
              </a:solidFill>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596234416"/>
        <c:crosses val="autoZero"/>
        <c:crossBetween val="between"/>
      </c:valAx>
      <c:spPr>
        <a:noFill/>
        <a:ln>
          <a:noFill/>
        </a:ln>
        <a:effectLst/>
      </c:spPr>
    </c:plotArea>
    <c:plotVisOnly val="1"/>
    <c:dispBlanksAs val="zero"/>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Pricing</a:t>
            </a:r>
            <a:r>
              <a:rPr lang="en-US" baseline="0"/>
              <a:t> of Bter Relative to GDAX</a:t>
            </a:r>
            <a:br>
              <a:rPr lang="en-US" baseline="0"/>
            </a:br>
            <a:r>
              <a:rPr lang="en-US" sz="1100" i="1" baseline="0"/>
              <a:t>(deviation % from parity)</a:t>
            </a:r>
            <a:endParaRPr lang="en-US" i="1"/>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lineChart>
        <c:grouping val="stacked"/>
        <c:varyColors val="0"/>
        <c:ser>
          <c:idx val="0"/>
          <c:order val="0"/>
          <c:spPr>
            <a:ln w="31750" cap="rnd">
              <a:solidFill>
                <a:schemeClr val="accent1"/>
              </a:solidFill>
              <a:round/>
            </a:ln>
            <a:effectLst/>
          </c:spPr>
          <c:marker>
            <c:symbol val="none"/>
          </c:marker>
          <c:val>
            <c:numRef>
              <c:f>other3!$E$2:$E$331</c:f>
              <c:numCache>
                <c:formatCode>General</c:formatCode>
                <c:ptCount val="330"/>
                <c:pt idx="0">
                  <c:v>10.482055637999999</c:v>
                </c:pt>
                <c:pt idx="1">
                  <c:v>9.6398987740000006</c:v>
                </c:pt>
                <c:pt idx="2">
                  <c:v>12.038244733999999</c:v>
                </c:pt>
                <c:pt idx="3">
                  <c:v>11.704432751000001</c:v>
                </c:pt>
                <c:pt idx="4">
                  <c:v>12.373928373</c:v>
                </c:pt>
                <c:pt idx="5">
                  <c:v>13.577719509000001</c:v>
                </c:pt>
                <c:pt idx="6">
                  <c:v>15.628750692000001</c:v>
                </c:pt>
                <c:pt idx="7">
                  <c:v>14.390823795999999</c:v>
                </c:pt>
                <c:pt idx="8">
                  <c:v>15.911104008999999</c:v>
                </c:pt>
                <c:pt idx="9">
                  <c:v>15.266169435</c:v>
                </c:pt>
                <c:pt idx="10">
                  <c:v>16.207085399</c:v>
                </c:pt>
                <c:pt idx="11">
                  <c:v>16.005601682000002</c:v>
                </c:pt>
                <c:pt idx="12">
                  <c:v>15.549829540000001</c:v>
                </c:pt>
                <c:pt idx="13">
                  <c:v>15.563971472</c:v>
                </c:pt>
                <c:pt idx="14">
                  <c:v>16.700806749000002</c:v>
                </c:pt>
                <c:pt idx="15">
                  <c:v>14.850577799</c:v>
                </c:pt>
                <c:pt idx="16">
                  <c:v>14.298444609000001</c:v>
                </c:pt>
                <c:pt idx="17">
                  <c:v>12.447795647</c:v>
                </c:pt>
                <c:pt idx="18">
                  <c:v>14.656558898</c:v>
                </c:pt>
                <c:pt idx="19">
                  <c:v>16.054042899000002</c:v>
                </c:pt>
                <c:pt idx="20">
                  <c:v>16.838566209</c:v>
                </c:pt>
                <c:pt idx="21">
                  <c:v>17.942666373000002</c:v>
                </c:pt>
                <c:pt idx="22">
                  <c:v>18.315247092</c:v>
                </c:pt>
                <c:pt idx="23">
                  <c:v>17.519296367999999</c:v>
                </c:pt>
                <c:pt idx="24">
                  <c:v>18.551287780999999</c:v>
                </c:pt>
                <c:pt idx="25">
                  <c:v>19.209442568999997</c:v>
                </c:pt>
                <c:pt idx="26">
                  <c:v>19.831382605000002</c:v>
                </c:pt>
                <c:pt idx="27">
                  <c:v>18.855476754000001</c:v>
                </c:pt>
                <c:pt idx="28">
                  <c:v>20.939943288000002</c:v>
                </c:pt>
                <c:pt idx="29">
                  <c:v>20.706313967</c:v>
                </c:pt>
                <c:pt idx="30">
                  <c:v>20.300637649999999</c:v>
                </c:pt>
                <c:pt idx="31">
                  <c:v>22.659080107000001</c:v>
                </c:pt>
                <c:pt idx="32">
                  <c:v>20.400917100000001</c:v>
                </c:pt>
                <c:pt idx="33">
                  <c:v>19.913419368</c:v>
                </c:pt>
                <c:pt idx="34">
                  <c:v>19.997459579999997</c:v>
                </c:pt>
                <c:pt idx="35">
                  <c:v>19.268745766999999</c:v>
                </c:pt>
                <c:pt idx="36">
                  <c:v>20.238002293000001</c:v>
                </c:pt>
                <c:pt idx="37">
                  <c:v>20.46702664</c:v>
                </c:pt>
                <c:pt idx="38">
                  <c:v>17.820776405</c:v>
                </c:pt>
                <c:pt idx="39">
                  <c:v>15.119752313999999</c:v>
                </c:pt>
                <c:pt idx="40">
                  <c:v>14.427823201999999</c:v>
                </c:pt>
                <c:pt idx="41">
                  <c:v>13.575903370000001</c:v>
                </c:pt>
                <c:pt idx="42">
                  <c:v>12.213187479999998</c:v>
                </c:pt>
                <c:pt idx="43">
                  <c:v>11.412734189</c:v>
                </c:pt>
                <c:pt idx="44">
                  <c:v>10.028595646000001</c:v>
                </c:pt>
                <c:pt idx="45">
                  <c:v>6.6667064969999998</c:v>
                </c:pt>
                <c:pt idx="46">
                  <c:v>6.8801084259999996</c:v>
                </c:pt>
                <c:pt idx="47">
                  <c:v>5.7315570500000002</c:v>
                </c:pt>
                <c:pt idx="48">
                  <c:v>7.606550897</c:v>
                </c:pt>
                <c:pt idx="49">
                  <c:v>7.805329200000001</c:v>
                </c:pt>
                <c:pt idx="50">
                  <c:v>8.7960290939999997</c:v>
                </c:pt>
                <c:pt idx="51">
                  <c:v>6.7697525629999991</c:v>
                </c:pt>
                <c:pt idx="52">
                  <c:v>7.0860076420000002</c:v>
                </c:pt>
                <c:pt idx="53">
                  <c:v>8.6030695940000008</c:v>
                </c:pt>
                <c:pt idx="54">
                  <c:v>10.011974927000001</c:v>
                </c:pt>
                <c:pt idx="55">
                  <c:v>10.841693479</c:v>
                </c:pt>
                <c:pt idx="56">
                  <c:v>14.206573622000001</c:v>
                </c:pt>
                <c:pt idx="57">
                  <c:v>11.631462494000001</c:v>
                </c:pt>
                <c:pt idx="58">
                  <c:v>10.065871291000001</c:v>
                </c:pt>
                <c:pt idx="59">
                  <c:v>11.174253221000001</c:v>
                </c:pt>
                <c:pt idx="60">
                  <c:v>10.127091758000001</c:v>
                </c:pt>
                <c:pt idx="61">
                  <c:v>12.131678662000001</c:v>
                </c:pt>
                <c:pt idx="62">
                  <c:v>8.5382584460000004</c:v>
                </c:pt>
                <c:pt idx="63">
                  <c:v>8.1378789059999992</c:v>
                </c:pt>
                <c:pt idx="64">
                  <c:v>10.151878227000001</c:v>
                </c:pt>
                <c:pt idx="65">
                  <c:v>10.381474986999999</c:v>
                </c:pt>
                <c:pt idx="66">
                  <c:v>9.7077885350000006</c:v>
                </c:pt>
                <c:pt idx="67">
                  <c:v>10.229475625000001</c:v>
                </c:pt>
                <c:pt idx="68">
                  <c:v>10.520833201</c:v>
                </c:pt>
                <c:pt idx="69">
                  <c:v>12.029720039999999</c:v>
                </c:pt>
                <c:pt idx="70">
                  <c:v>12.552508923</c:v>
                </c:pt>
                <c:pt idx="71">
                  <c:v>11.27469104</c:v>
                </c:pt>
                <c:pt idx="72">
                  <c:v>11.264815244000001</c:v>
                </c:pt>
                <c:pt idx="73">
                  <c:v>10.832254553</c:v>
                </c:pt>
                <c:pt idx="74">
                  <c:v>10.366669716999999</c:v>
                </c:pt>
                <c:pt idx="75">
                  <c:v>11.473793353</c:v>
                </c:pt>
                <c:pt idx="76">
                  <c:v>11.097842966</c:v>
                </c:pt>
                <c:pt idx="77">
                  <c:v>11.399431496</c:v>
                </c:pt>
                <c:pt idx="78">
                  <c:v>11.992281779999999</c:v>
                </c:pt>
                <c:pt idx="79">
                  <c:v>14.235880118000001</c:v>
                </c:pt>
                <c:pt idx="80">
                  <c:v>13.721286782</c:v>
                </c:pt>
                <c:pt idx="81">
                  <c:v>15.338955469</c:v>
                </c:pt>
                <c:pt idx="82">
                  <c:v>13.822301086000001</c:v>
                </c:pt>
                <c:pt idx="83">
                  <c:v>15.644771676000001</c:v>
                </c:pt>
                <c:pt idx="84">
                  <c:v>14.685176524000001</c:v>
                </c:pt>
                <c:pt idx="85">
                  <c:v>12.028488607</c:v>
                </c:pt>
                <c:pt idx="86">
                  <c:v>15.933542986999999</c:v>
                </c:pt>
                <c:pt idx="87">
                  <c:v>15.283520279000001</c:v>
                </c:pt>
                <c:pt idx="88">
                  <c:v>17.227194165</c:v>
                </c:pt>
                <c:pt idx="89">
                  <c:v>18.305151037999998</c:v>
                </c:pt>
                <c:pt idx="90">
                  <c:v>20.459138374999998</c:v>
                </c:pt>
                <c:pt idx="91">
                  <c:v>18.517690639999998</c:v>
                </c:pt>
                <c:pt idx="92">
                  <c:v>18.612166973000001</c:v>
                </c:pt>
                <c:pt idx="93">
                  <c:v>18.951913142999999</c:v>
                </c:pt>
                <c:pt idx="94">
                  <c:v>18.808452034999998</c:v>
                </c:pt>
                <c:pt idx="95">
                  <c:v>15.639207802</c:v>
                </c:pt>
                <c:pt idx="96">
                  <c:v>15.511570648999999</c:v>
                </c:pt>
                <c:pt idx="97">
                  <c:v>12.923560237</c:v>
                </c:pt>
                <c:pt idx="98">
                  <c:v>12.725961870999999</c:v>
                </c:pt>
                <c:pt idx="99">
                  <c:v>11.640577634</c:v>
                </c:pt>
                <c:pt idx="100">
                  <c:v>12.003962687</c:v>
                </c:pt>
                <c:pt idx="101">
                  <c:v>11.094480744</c:v>
                </c:pt>
                <c:pt idx="102">
                  <c:v>11.666746886</c:v>
                </c:pt>
                <c:pt idx="103">
                  <c:v>13.158654246999999</c:v>
                </c:pt>
                <c:pt idx="104">
                  <c:v>11.459770666000001</c:v>
                </c:pt>
                <c:pt idx="105">
                  <c:v>9.8238936450000001</c:v>
                </c:pt>
                <c:pt idx="106">
                  <c:v>10.284927997</c:v>
                </c:pt>
                <c:pt idx="107">
                  <c:v>13.520313174</c:v>
                </c:pt>
                <c:pt idx="108">
                  <c:v>14.92359237</c:v>
                </c:pt>
                <c:pt idx="109">
                  <c:v>14.503457765</c:v>
                </c:pt>
                <c:pt idx="110">
                  <c:v>13.134547098000001</c:v>
                </c:pt>
                <c:pt idx="111">
                  <c:v>12.653674837000001</c:v>
                </c:pt>
                <c:pt idx="112">
                  <c:v>11.921695013999999</c:v>
                </c:pt>
                <c:pt idx="113">
                  <c:v>14.452539201</c:v>
                </c:pt>
                <c:pt idx="114">
                  <c:v>14.693244561</c:v>
                </c:pt>
                <c:pt idx="115">
                  <c:v>12.223119381</c:v>
                </c:pt>
                <c:pt idx="116">
                  <c:v>12.730827031</c:v>
                </c:pt>
                <c:pt idx="117">
                  <c:v>12.148964583</c:v>
                </c:pt>
                <c:pt idx="118">
                  <c:v>12.710125403999999</c:v>
                </c:pt>
                <c:pt idx="119">
                  <c:v>12.947104362000001</c:v>
                </c:pt>
                <c:pt idx="120">
                  <c:v>11.184085686</c:v>
                </c:pt>
                <c:pt idx="121">
                  <c:v>8.6603753769999994</c:v>
                </c:pt>
                <c:pt idx="122">
                  <c:v>7.9629488330000004</c:v>
                </c:pt>
                <c:pt idx="123">
                  <c:v>7.6688140689999997</c:v>
                </c:pt>
                <c:pt idx="124">
                  <c:v>8.4650418890000001</c:v>
                </c:pt>
                <c:pt idx="125">
                  <c:v>7.3065049049999997</c:v>
                </c:pt>
                <c:pt idx="126">
                  <c:v>8.1152186200000003</c:v>
                </c:pt>
                <c:pt idx="127">
                  <c:v>10.672281114</c:v>
                </c:pt>
                <c:pt idx="128">
                  <c:v>9.8250012819999988</c:v>
                </c:pt>
                <c:pt idx="129">
                  <c:v>10.783742414999999</c:v>
                </c:pt>
                <c:pt idx="130">
                  <c:v>11.322942307</c:v>
                </c:pt>
                <c:pt idx="131">
                  <c:v>13.867931441</c:v>
                </c:pt>
                <c:pt idx="132">
                  <c:v>13.444556156000001</c:v>
                </c:pt>
                <c:pt idx="133">
                  <c:v>14.926346042999999</c:v>
                </c:pt>
                <c:pt idx="134">
                  <c:v>15.606374239000001</c:v>
                </c:pt>
                <c:pt idx="135">
                  <c:v>15.418198281</c:v>
                </c:pt>
                <c:pt idx="136">
                  <c:v>14.485147331</c:v>
                </c:pt>
                <c:pt idx="137">
                  <c:v>14.797571376</c:v>
                </c:pt>
                <c:pt idx="138">
                  <c:v>14.031005631999999</c:v>
                </c:pt>
                <c:pt idx="139">
                  <c:v>13.524293581999999</c:v>
                </c:pt>
                <c:pt idx="140">
                  <c:v>13.559133434</c:v>
                </c:pt>
                <c:pt idx="141">
                  <c:v>12.787030455</c:v>
                </c:pt>
                <c:pt idx="142">
                  <c:v>11.598379361999999</c:v>
                </c:pt>
                <c:pt idx="143">
                  <c:v>11.320169172</c:v>
                </c:pt>
                <c:pt idx="144">
                  <c:v>9.4218495010000005</c:v>
                </c:pt>
                <c:pt idx="145">
                  <c:v>10.805049201999999</c:v>
                </c:pt>
                <c:pt idx="146">
                  <c:v>6.2106992060000001</c:v>
                </c:pt>
                <c:pt idx="147">
                  <c:v>5.2949848800000003</c:v>
                </c:pt>
                <c:pt idx="148">
                  <c:v>3.6786596110000001</c:v>
                </c:pt>
                <c:pt idx="149">
                  <c:v>6.4265800439999996</c:v>
                </c:pt>
                <c:pt idx="150">
                  <c:v>6.7253169740000001</c:v>
                </c:pt>
                <c:pt idx="151">
                  <c:v>4.6750192579999998</c:v>
                </c:pt>
                <c:pt idx="152">
                  <c:v>5.0950095790000001</c:v>
                </c:pt>
                <c:pt idx="153">
                  <c:v>5.6861453739999996</c:v>
                </c:pt>
                <c:pt idx="154">
                  <c:v>4.6178107480000001</c:v>
                </c:pt>
                <c:pt idx="155">
                  <c:v>3.7454467460000003</c:v>
                </c:pt>
                <c:pt idx="156">
                  <c:v>2.0787911000000001</c:v>
                </c:pt>
                <c:pt idx="157">
                  <c:v>4.0422891989999998</c:v>
                </c:pt>
                <c:pt idx="158">
                  <c:v>3.799791017</c:v>
                </c:pt>
                <c:pt idx="159">
                  <c:v>4.8885855849999995</c:v>
                </c:pt>
                <c:pt idx="160">
                  <c:v>5.9262589180000003</c:v>
                </c:pt>
                <c:pt idx="161">
                  <c:v>6.2688572049999998</c:v>
                </c:pt>
                <c:pt idx="162">
                  <c:v>4.7732179810000002</c:v>
                </c:pt>
                <c:pt idx="163">
                  <c:v>5.7864654450000002</c:v>
                </c:pt>
                <c:pt idx="164">
                  <c:v>5.7840739230000002</c:v>
                </c:pt>
                <c:pt idx="165">
                  <c:v>4.6054605340000005</c:v>
                </c:pt>
                <c:pt idx="166">
                  <c:v>5.0034761410000002</c:v>
                </c:pt>
                <c:pt idx="167">
                  <c:v>5.38709214</c:v>
                </c:pt>
                <c:pt idx="168">
                  <c:v>3.0846841670000003</c:v>
                </c:pt>
                <c:pt idx="169">
                  <c:v>3.5314880579999999</c:v>
                </c:pt>
                <c:pt idx="170">
                  <c:v>3.6665879189999999</c:v>
                </c:pt>
                <c:pt idx="171">
                  <c:v>4.6019088030000006</c:v>
                </c:pt>
                <c:pt idx="172">
                  <c:v>3.3751029020000001</c:v>
                </c:pt>
                <c:pt idx="173">
                  <c:v>2.3083685100000002</c:v>
                </c:pt>
                <c:pt idx="174">
                  <c:v>-0.82408556099999997</c:v>
                </c:pt>
                <c:pt idx="175">
                  <c:v>-0.636929737</c:v>
                </c:pt>
                <c:pt idx="176">
                  <c:v>2.2515410789999999</c:v>
                </c:pt>
                <c:pt idx="177">
                  <c:v>2.2768132890000001</c:v>
                </c:pt>
                <c:pt idx="178">
                  <c:v>3.9070676820000001</c:v>
                </c:pt>
                <c:pt idx="179">
                  <c:v>3.1265920599999997</c:v>
                </c:pt>
                <c:pt idx="180">
                  <c:v>3.1303698659999997</c:v>
                </c:pt>
                <c:pt idx="181">
                  <c:v>3.8316566939999999</c:v>
                </c:pt>
                <c:pt idx="182">
                  <c:v>2.3469442389999999</c:v>
                </c:pt>
                <c:pt idx="183">
                  <c:v>1.3508512340000001</c:v>
                </c:pt>
                <c:pt idx="184">
                  <c:v>3.075335108</c:v>
                </c:pt>
                <c:pt idx="185">
                  <c:v>2.436304346</c:v>
                </c:pt>
                <c:pt idx="186">
                  <c:v>3.5693563820000005</c:v>
                </c:pt>
                <c:pt idx="187">
                  <c:v>3.305205387</c:v>
                </c:pt>
                <c:pt idx="188">
                  <c:v>3.629109658</c:v>
                </c:pt>
                <c:pt idx="189">
                  <c:v>4.1531724780000001</c:v>
                </c:pt>
                <c:pt idx="190">
                  <c:v>2.9333191300000001</c:v>
                </c:pt>
                <c:pt idx="191">
                  <c:v>3.3240432379999998</c:v>
                </c:pt>
                <c:pt idx="192">
                  <c:v>3.1134413260000002</c:v>
                </c:pt>
                <c:pt idx="193">
                  <c:v>4.4748281560000001</c:v>
                </c:pt>
                <c:pt idx="194">
                  <c:v>4.7690009699999996</c:v>
                </c:pt>
                <c:pt idx="195">
                  <c:v>3.842978622</c:v>
                </c:pt>
                <c:pt idx="196">
                  <c:v>5.8405516280000001</c:v>
                </c:pt>
                <c:pt idx="197">
                  <c:v>6.97046455</c:v>
                </c:pt>
                <c:pt idx="198">
                  <c:v>6.7427687899999995</c:v>
                </c:pt>
                <c:pt idx="199">
                  <c:v>5.7509935360000002</c:v>
                </c:pt>
                <c:pt idx="200">
                  <c:v>6.6498975819999995</c:v>
                </c:pt>
                <c:pt idx="201">
                  <c:v>5.3916199030000005</c:v>
                </c:pt>
                <c:pt idx="202">
                  <c:v>6.0888820030000002</c:v>
                </c:pt>
                <c:pt idx="203">
                  <c:v>5.3059645489999996</c:v>
                </c:pt>
                <c:pt idx="204">
                  <c:v>5.0931631599999996</c:v>
                </c:pt>
                <c:pt idx="205">
                  <c:v>5.7140567279999992</c:v>
                </c:pt>
                <c:pt idx="206">
                  <c:v>4.639789296</c:v>
                </c:pt>
                <c:pt idx="207">
                  <c:v>4.7377260640000003</c:v>
                </c:pt>
                <c:pt idx="208">
                  <c:v>1.8240617579999998</c:v>
                </c:pt>
                <c:pt idx="209">
                  <c:v>2.087396445</c:v>
                </c:pt>
                <c:pt idx="210">
                  <c:v>2.4550962810000003</c:v>
                </c:pt>
                <c:pt idx="211">
                  <c:v>2.8181390680000002</c:v>
                </c:pt>
                <c:pt idx="212">
                  <c:v>2.0985230420000001</c:v>
                </c:pt>
                <c:pt idx="213">
                  <c:v>3.2594263659999996</c:v>
                </c:pt>
                <c:pt idx="214">
                  <c:v>1.580935306</c:v>
                </c:pt>
                <c:pt idx="215">
                  <c:v>5.1504712030000004</c:v>
                </c:pt>
                <c:pt idx="216">
                  <c:v>5.3421599869999996</c:v>
                </c:pt>
                <c:pt idx="217">
                  <c:v>4.3198346540000001</c:v>
                </c:pt>
                <c:pt idx="218">
                  <c:v>2.9828962159999999</c:v>
                </c:pt>
                <c:pt idx="219">
                  <c:v>2.419423267</c:v>
                </c:pt>
                <c:pt idx="220">
                  <c:v>2.8678479499999998</c:v>
                </c:pt>
                <c:pt idx="221">
                  <c:v>0.32268786400000005</c:v>
                </c:pt>
                <c:pt idx="222">
                  <c:v>0.17789965699999999</c:v>
                </c:pt>
                <c:pt idx="223">
                  <c:v>1.586561852</c:v>
                </c:pt>
                <c:pt idx="224">
                  <c:v>2.947651987</c:v>
                </c:pt>
                <c:pt idx="225">
                  <c:v>1.910617577</c:v>
                </c:pt>
                <c:pt idx="226">
                  <c:v>0.33330916899999963</c:v>
                </c:pt>
                <c:pt idx="227">
                  <c:v>0.39965212599999989</c:v>
                </c:pt>
                <c:pt idx="228">
                  <c:v>-2.0494488410000002</c:v>
                </c:pt>
                <c:pt idx="229">
                  <c:v>-4.569739233</c:v>
                </c:pt>
                <c:pt idx="230">
                  <c:v>-4.193672233</c:v>
                </c:pt>
                <c:pt idx="231">
                  <c:v>-4.2274449619999999</c:v>
                </c:pt>
                <c:pt idx="232">
                  <c:v>-4.0473986259999997</c:v>
                </c:pt>
                <c:pt idx="233">
                  <c:v>-5.5597994000000002</c:v>
                </c:pt>
                <c:pt idx="234">
                  <c:v>-6.9437346450000001</c:v>
                </c:pt>
                <c:pt idx="235">
                  <c:v>-6.4145504429999995</c:v>
                </c:pt>
                <c:pt idx="236">
                  <c:v>-2.7028890849999998</c:v>
                </c:pt>
                <c:pt idx="237">
                  <c:v>-1.9951029820000001</c:v>
                </c:pt>
                <c:pt idx="238">
                  <c:v>-1.9910703200000002</c:v>
                </c:pt>
                <c:pt idx="239">
                  <c:v>-2.8205152389999997</c:v>
                </c:pt>
                <c:pt idx="240">
                  <c:v>-2.9133588160000001</c:v>
                </c:pt>
                <c:pt idx="241">
                  <c:v>-2.8205520639999997</c:v>
                </c:pt>
                <c:pt idx="242">
                  <c:v>-3.6736299749999999</c:v>
                </c:pt>
                <c:pt idx="243">
                  <c:v>-3.8042444670000002</c:v>
                </c:pt>
                <c:pt idx="244">
                  <c:v>-5.2038600519999996</c:v>
                </c:pt>
                <c:pt idx="245">
                  <c:v>-3.4255418370000004</c:v>
                </c:pt>
                <c:pt idx="246">
                  <c:v>-4.3272238679999999</c:v>
                </c:pt>
                <c:pt idx="247">
                  <c:v>-5.4220568800000004</c:v>
                </c:pt>
                <c:pt idx="248">
                  <c:v>-4.6406721419999997</c:v>
                </c:pt>
                <c:pt idx="249">
                  <c:v>-3.0013015330000004</c:v>
                </c:pt>
                <c:pt idx="250">
                  <c:v>-2.6068359069999998</c:v>
                </c:pt>
                <c:pt idx="251">
                  <c:v>-3.6998219830000005</c:v>
                </c:pt>
                <c:pt idx="252">
                  <c:v>-3.0651556969999998</c:v>
                </c:pt>
                <c:pt idx="253">
                  <c:v>-3.3617783710000007</c:v>
                </c:pt>
                <c:pt idx="254">
                  <c:v>-5.1002558960000002</c:v>
                </c:pt>
                <c:pt idx="255">
                  <c:v>-3.4899677929999999</c:v>
                </c:pt>
                <c:pt idx="256">
                  <c:v>-0.96398458200000015</c:v>
                </c:pt>
                <c:pt idx="257">
                  <c:v>0.60577294399999992</c:v>
                </c:pt>
                <c:pt idx="258">
                  <c:v>0.27417668000000006</c:v>
                </c:pt>
                <c:pt idx="259">
                  <c:v>-0.9287565709999992</c:v>
                </c:pt>
                <c:pt idx="260">
                  <c:v>-1.0308106170000002</c:v>
                </c:pt>
                <c:pt idx="261">
                  <c:v>-1.1915839269999999</c:v>
                </c:pt>
                <c:pt idx="262">
                  <c:v>-1.9829748600000006</c:v>
                </c:pt>
                <c:pt idx="263">
                  <c:v>-2.3531785719999991</c:v>
                </c:pt>
                <c:pt idx="264">
                  <c:v>-3.1594726279999996</c:v>
                </c:pt>
                <c:pt idx="265">
                  <c:v>-2.0007875409999993</c:v>
                </c:pt>
                <c:pt idx="266">
                  <c:v>1.2535864060000002</c:v>
                </c:pt>
                <c:pt idx="267">
                  <c:v>2.4929682410000007</c:v>
                </c:pt>
                <c:pt idx="268">
                  <c:v>3.6213751939999996</c:v>
                </c:pt>
                <c:pt idx="269">
                  <c:v>4.037324624</c:v>
                </c:pt>
                <c:pt idx="270">
                  <c:v>4.416268893999999</c:v>
                </c:pt>
                <c:pt idx="271">
                  <c:v>4.5206388329999996</c:v>
                </c:pt>
                <c:pt idx="272">
                  <c:v>0.77961546999999953</c:v>
                </c:pt>
                <c:pt idx="273">
                  <c:v>1.8596424050000007</c:v>
                </c:pt>
                <c:pt idx="274">
                  <c:v>3.0197273180000002</c:v>
                </c:pt>
                <c:pt idx="275">
                  <c:v>1.5529224830000006</c:v>
                </c:pt>
                <c:pt idx="276">
                  <c:v>2.1618733609999996</c:v>
                </c:pt>
                <c:pt idx="277">
                  <c:v>1.3202169329999993</c:v>
                </c:pt>
                <c:pt idx="278">
                  <c:v>1.2905571560000002</c:v>
                </c:pt>
                <c:pt idx="279">
                  <c:v>1.318181257</c:v>
                </c:pt>
                <c:pt idx="280">
                  <c:v>-1.1087318140000004</c:v>
                </c:pt>
                <c:pt idx="281">
                  <c:v>-2.2961401740000005</c:v>
                </c:pt>
                <c:pt idx="282">
                  <c:v>-1.0059636139999997</c:v>
                </c:pt>
                <c:pt idx="283">
                  <c:v>-2.0628800619999996</c:v>
                </c:pt>
                <c:pt idx="284">
                  <c:v>-2.5281713570000006</c:v>
                </c:pt>
                <c:pt idx="285">
                  <c:v>-1.041715698</c:v>
                </c:pt>
                <c:pt idx="286">
                  <c:v>-2.638616399</c:v>
                </c:pt>
                <c:pt idx="287">
                  <c:v>-3.961976865</c:v>
                </c:pt>
                <c:pt idx="288">
                  <c:v>-1.8185106390000003</c:v>
                </c:pt>
                <c:pt idx="289">
                  <c:v>-2.759864114</c:v>
                </c:pt>
                <c:pt idx="290">
                  <c:v>-2.6148798200000001</c:v>
                </c:pt>
                <c:pt idx="291">
                  <c:v>-2.9758277899999999</c:v>
                </c:pt>
                <c:pt idx="292">
                  <c:v>-3.0530205469999996</c:v>
                </c:pt>
                <c:pt idx="293">
                  <c:v>-4.3793134909999996</c:v>
                </c:pt>
                <c:pt idx="294">
                  <c:v>-6.2332940209999999</c:v>
                </c:pt>
                <c:pt idx="295">
                  <c:v>-7.2546424780000001</c:v>
                </c:pt>
                <c:pt idx="296">
                  <c:v>-6.6606155749999996</c:v>
                </c:pt>
                <c:pt idx="297">
                  <c:v>-4.4767911310000006</c:v>
                </c:pt>
                <c:pt idx="298">
                  <c:v>-2.4701258639999994</c:v>
                </c:pt>
                <c:pt idx="299">
                  <c:v>-1.8426680679999998</c:v>
                </c:pt>
                <c:pt idx="300">
                  <c:v>-1.8395075929999996</c:v>
                </c:pt>
                <c:pt idx="301">
                  <c:v>-1.9151223659999999</c:v>
                </c:pt>
                <c:pt idx="302">
                  <c:v>-1.7800560870000002</c:v>
                </c:pt>
                <c:pt idx="303">
                  <c:v>-1.6782575969999995</c:v>
                </c:pt>
                <c:pt idx="304">
                  <c:v>-2.3818806979999998</c:v>
                </c:pt>
                <c:pt idx="305">
                  <c:v>-2.4172287310000002</c:v>
                </c:pt>
                <c:pt idx="306">
                  <c:v>-0.33849224299999925</c:v>
                </c:pt>
                <c:pt idx="307">
                  <c:v>0.59860710500000014</c:v>
                </c:pt>
                <c:pt idx="308">
                  <c:v>3.1664283760000003</c:v>
                </c:pt>
                <c:pt idx="309">
                  <c:v>2.9846471910000001</c:v>
                </c:pt>
                <c:pt idx="310">
                  <c:v>3.0728972519999997</c:v>
                </c:pt>
                <c:pt idx="311">
                  <c:v>1.7442005389999999</c:v>
                </c:pt>
                <c:pt idx="312">
                  <c:v>1.8792597980000001</c:v>
                </c:pt>
                <c:pt idx="313">
                  <c:v>3.5786913810000001</c:v>
                </c:pt>
                <c:pt idx="314">
                  <c:v>2.65201318</c:v>
                </c:pt>
                <c:pt idx="315">
                  <c:v>1.3570782870000002</c:v>
                </c:pt>
                <c:pt idx="316">
                  <c:v>5.0894073019999997</c:v>
                </c:pt>
                <c:pt idx="317">
                  <c:v>5.7197628629999997</c:v>
                </c:pt>
                <c:pt idx="318">
                  <c:v>4.6833824340000003</c:v>
                </c:pt>
                <c:pt idx="319">
                  <c:v>2.3785284329999996</c:v>
                </c:pt>
                <c:pt idx="320">
                  <c:v>0.49215791700000011</c:v>
                </c:pt>
                <c:pt idx="321">
                  <c:v>0.82598131900000027</c:v>
                </c:pt>
                <c:pt idx="322">
                  <c:v>1.1423288039999999</c:v>
                </c:pt>
                <c:pt idx="323">
                  <c:v>3.773200439</c:v>
                </c:pt>
                <c:pt idx="324">
                  <c:v>4.1595597780000002</c:v>
                </c:pt>
                <c:pt idx="325">
                  <c:v>3.4958701749999999</c:v>
                </c:pt>
                <c:pt idx="326">
                  <c:v>6.560689771999999</c:v>
                </c:pt>
                <c:pt idx="327">
                  <c:v>7.222085990000001</c:v>
                </c:pt>
                <c:pt idx="328">
                  <c:v>6.6474586729999992</c:v>
                </c:pt>
                <c:pt idx="329">
                  <c:v>6.2771873579999999</c:v>
                </c:pt>
              </c:numCache>
            </c:numRef>
          </c:val>
          <c:smooth val="0"/>
          <c:extLst>
            <c:ext xmlns:c16="http://schemas.microsoft.com/office/drawing/2014/chart" uri="{C3380CC4-5D6E-409C-BE32-E72D297353CC}">
              <c16:uniqueId val="{00000000-BFEA-4F2A-9622-746228F1D5A8}"/>
            </c:ext>
          </c:extLst>
        </c:ser>
        <c:dLbls>
          <c:showLegendKey val="0"/>
          <c:showVal val="0"/>
          <c:showCatName val="0"/>
          <c:showSerName val="0"/>
          <c:showPercent val="0"/>
          <c:showBubbleSize val="0"/>
        </c:dLbls>
        <c:smooth val="0"/>
        <c:axId val="596234416"/>
        <c:axId val="1292859792"/>
      </c:lineChart>
      <c:catAx>
        <c:axId val="596234416"/>
        <c:scaling>
          <c:orientation val="minMax"/>
        </c:scaling>
        <c:delete val="0"/>
        <c:axPos val="b"/>
        <c:numFmt formatCode="dd-mmm-yy"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292859792"/>
        <c:crosses val="autoZero"/>
        <c:auto val="1"/>
        <c:lblAlgn val="ctr"/>
        <c:lblOffset val="100"/>
        <c:noMultiLvlLbl val="0"/>
      </c:catAx>
      <c:valAx>
        <c:axId val="1292859792"/>
        <c:scaling>
          <c:orientation val="minMax"/>
        </c:scaling>
        <c:delete val="0"/>
        <c:axPos val="l"/>
        <c:majorGridlines>
          <c:spPr>
            <a:ln w="9525" cap="flat" cmpd="sng" algn="ctr">
              <a:solidFill>
                <a:schemeClr val="tx2">
                  <a:lumMod val="15000"/>
                  <a:lumOff val="85000"/>
                </a:schemeClr>
              </a:solidFill>
              <a:round/>
            </a:ln>
            <a:effectLst/>
          </c:spPr>
        </c:majorGridlines>
        <c:minorGridlines>
          <c:spPr>
            <a:ln>
              <a:solidFill>
                <a:schemeClr val="tx2">
                  <a:lumMod val="5000"/>
                  <a:lumOff val="95000"/>
                </a:schemeClr>
              </a:solidFill>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596234416"/>
        <c:crosses val="autoZero"/>
        <c:crossBetween val="between"/>
      </c:valAx>
      <c:spPr>
        <a:noFill/>
        <a:ln>
          <a:noFill/>
        </a:ln>
        <a:effectLst/>
      </c:spPr>
    </c:plotArea>
    <c:plotVisOnly val="1"/>
    <c:dispBlanksAs val="zero"/>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Pricing</a:t>
            </a:r>
            <a:r>
              <a:rPr lang="en-US" baseline="0"/>
              <a:t> of GDAX Relative to Btc38</a:t>
            </a:r>
            <a:br>
              <a:rPr lang="en-US" baseline="0"/>
            </a:br>
            <a:r>
              <a:rPr lang="en-US" sz="1100" i="1" baseline="0"/>
              <a:t>(deviation % from parity)</a:t>
            </a:r>
            <a:endParaRPr lang="en-US" i="1"/>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lineChart>
        <c:grouping val="stacked"/>
        <c:varyColors val="0"/>
        <c:ser>
          <c:idx val="0"/>
          <c:order val="0"/>
          <c:spPr>
            <a:ln w="31750" cap="rnd">
              <a:solidFill>
                <a:schemeClr val="accent1"/>
              </a:solidFill>
              <a:round/>
            </a:ln>
            <a:effectLst/>
          </c:spPr>
          <c:marker>
            <c:symbol val="none"/>
          </c:marker>
          <c:val>
            <c:numRef>
              <c:f>Sheet6!$E$2:$E$337</c:f>
              <c:numCache>
                <c:formatCode>General</c:formatCode>
                <c:ptCount val="336"/>
                <c:pt idx="0">
                  <c:v>-10.203787999999999</c:v>
                </c:pt>
                <c:pt idx="1">
                  <c:v>-8.3186539999999987</c:v>
                </c:pt>
                <c:pt idx="2">
                  <c:v>-6.6962820000000001</c:v>
                </c:pt>
                <c:pt idx="3">
                  <c:v>-5.3723010000000011</c:v>
                </c:pt>
                <c:pt idx="4">
                  <c:v>-7.287859000000001</c:v>
                </c:pt>
                <c:pt idx="5">
                  <c:v>-8.0759609999999995</c:v>
                </c:pt>
                <c:pt idx="6">
                  <c:v>-7.5216589999999997</c:v>
                </c:pt>
                <c:pt idx="7">
                  <c:v>-8.5537580000000002</c:v>
                </c:pt>
                <c:pt idx="8">
                  <c:v>-9.7438120000000001</c:v>
                </c:pt>
                <c:pt idx="9">
                  <c:v>-9.4198409999999999</c:v>
                </c:pt>
                <c:pt idx="10">
                  <c:v>-10.961317000000001</c:v>
                </c:pt>
                <c:pt idx="11">
                  <c:v>-10.239664999999999</c:v>
                </c:pt>
                <c:pt idx="12">
                  <c:v>-9.3801269999999999</c:v>
                </c:pt>
                <c:pt idx="13">
                  <c:v>-6.6939579999999994</c:v>
                </c:pt>
                <c:pt idx="14">
                  <c:v>-5.7423539999999997</c:v>
                </c:pt>
                <c:pt idx="15">
                  <c:v>-7.4334449999999999</c:v>
                </c:pt>
                <c:pt idx="16">
                  <c:v>-8.2724479999999989</c:v>
                </c:pt>
                <c:pt idx="17">
                  <c:v>-10.988595</c:v>
                </c:pt>
                <c:pt idx="18">
                  <c:v>-13.368688000000001</c:v>
                </c:pt>
                <c:pt idx="19">
                  <c:v>-14.070099000000001</c:v>
                </c:pt>
                <c:pt idx="20">
                  <c:v>-13.684322</c:v>
                </c:pt>
                <c:pt idx="21">
                  <c:v>-15.390656</c:v>
                </c:pt>
                <c:pt idx="22">
                  <c:v>-15.78275</c:v>
                </c:pt>
                <c:pt idx="23">
                  <c:v>-15.428032999999999</c:v>
                </c:pt>
                <c:pt idx="24">
                  <c:v>-13.698655</c:v>
                </c:pt>
                <c:pt idx="25">
                  <c:v>-13.313179000000002</c:v>
                </c:pt>
                <c:pt idx="26">
                  <c:v>-14.427036999999999</c:v>
                </c:pt>
                <c:pt idx="27">
                  <c:v>-14.060334000000001</c:v>
                </c:pt>
                <c:pt idx="28">
                  <c:v>-14.696350000000001</c:v>
                </c:pt>
                <c:pt idx="29">
                  <c:v>-14.688908</c:v>
                </c:pt>
                <c:pt idx="30">
                  <c:v>-17.028209999999998</c:v>
                </c:pt>
                <c:pt idx="31">
                  <c:v>-16.583538000000001</c:v>
                </c:pt>
                <c:pt idx="32">
                  <c:v>-16.783629000000001</c:v>
                </c:pt>
                <c:pt idx="33">
                  <c:v>-16.831399999999999</c:v>
                </c:pt>
                <c:pt idx="34">
                  <c:v>-17.732606000000001</c:v>
                </c:pt>
                <c:pt idx="35">
                  <c:v>-16.784159000000002</c:v>
                </c:pt>
                <c:pt idx="36">
                  <c:v>-18.512936</c:v>
                </c:pt>
                <c:pt idx="37">
                  <c:v>-18.764202999999998</c:v>
                </c:pt>
                <c:pt idx="38">
                  <c:v>-19.219954000000001</c:v>
                </c:pt>
                <c:pt idx="39">
                  <c:v>-19.374642000000001</c:v>
                </c:pt>
                <c:pt idx="40">
                  <c:v>-18.896322999999999</c:v>
                </c:pt>
                <c:pt idx="41">
                  <c:v>-18.440163000000002</c:v>
                </c:pt>
                <c:pt idx="42">
                  <c:v>-17.991970999999999</c:v>
                </c:pt>
                <c:pt idx="43">
                  <c:v>-20.233947000000001</c:v>
                </c:pt>
                <c:pt idx="44">
                  <c:v>-21.424401000000003</c:v>
                </c:pt>
                <c:pt idx="45">
                  <c:v>-19.176167</c:v>
                </c:pt>
                <c:pt idx="46">
                  <c:v>-21.105702000000001</c:v>
                </c:pt>
                <c:pt idx="47">
                  <c:v>-20.335232999999999</c:v>
                </c:pt>
                <c:pt idx="48">
                  <c:v>-23.081534000000001</c:v>
                </c:pt>
                <c:pt idx="49">
                  <c:v>-25.723140000000001</c:v>
                </c:pt>
                <c:pt idx="50">
                  <c:v>-25.318113999999998</c:v>
                </c:pt>
                <c:pt idx="51">
                  <c:v>-24.865428000000001</c:v>
                </c:pt>
                <c:pt idx="52">
                  <c:v>-23.664835</c:v>
                </c:pt>
                <c:pt idx="53">
                  <c:v>-24.898191000000001</c:v>
                </c:pt>
                <c:pt idx="54">
                  <c:v>-27.969125000000002</c:v>
                </c:pt>
                <c:pt idx="55">
                  <c:v>-27.496734999999997</c:v>
                </c:pt>
                <c:pt idx="56">
                  <c:v>-26.618969</c:v>
                </c:pt>
                <c:pt idx="57">
                  <c:v>-28.125509999999998</c:v>
                </c:pt>
                <c:pt idx="58">
                  <c:v>-27.790046</c:v>
                </c:pt>
                <c:pt idx="59">
                  <c:v>-29.291428</c:v>
                </c:pt>
                <c:pt idx="60">
                  <c:v>-30.344048000000001</c:v>
                </c:pt>
                <c:pt idx="61">
                  <c:v>-28.504197999999999</c:v>
                </c:pt>
                <c:pt idx="62">
                  <c:v>-30.750323999999999</c:v>
                </c:pt>
                <c:pt idx="63">
                  <c:v>-31.436536</c:v>
                </c:pt>
                <c:pt idx="64">
                  <c:v>-32.885194999999996</c:v>
                </c:pt>
                <c:pt idx="65">
                  <c:v>-34.125239000000001</c:v>
                </c:pt>
                <c:pt idx="66">
                  <c:v>-37.090858999999995</c:v>
                </c:pt>
                <c:pt idx="67">
                  <c:v>-36.411405999999999</c:v>
                </c:pt>
                <c:pt idx="68">
                  <c:v>-37.742826000000001</c:v>
                </c:pt>
                <c:pt idx="69">
                  <c:v>-37.567795000000004</c:v>
                </c:pt>
                <c:pt idx="70">
                  <c:v>-37.629110000000004</c:v>
                </c:pt>
                <c:pt idx="71">
                  <c:v>-36.692101999999998</c:v>
                </c:pt>
                <c:pt idx="72">
                  <c:v>-36.479582999999998</c:v>
                </c:pt>
                <c:pt idx="73">
                  <c:v>-37.718912000000003</c:v>
                </c:pt>
                <c:pt idx="74">
                  <c:v>-37.601839999999996</c:v>
                </c:pt>
                <c:pt idx="75">
                  <c:v>-35.828285999999999</c:v>
                </c:pt>
                <c:pt idx="76">
                  <c:v>-33.874279000000001</c:v>
                </c:pt>
                <c:pt idx="77">
                  <c:v>-34.220091000000004</c:v>
                </c:pt>
                <c:pt idx="78">
                  <c:v>-33.540315999999997</c:v>
                </c:pt>
                <c:pt idx="79">
                  <c:v>-33.446145999999999</c:v>
                </c:pt>
                <c:pt idx="80">
                  <c:v>-34.700749999999999</c:v>
                </c:pt>
                <c:pt idx="81">
                  <c:v>-32.998200000000004</c:v>
                </c:pt>
                <c:pt idx="82">
                  <c:v>-35.468156999999998</c:v>
                </c:pt>
                <c:pt idx="83">
                  <c:v>-34.518062</c:v>
                </c:pt>
                <c:pt idx="84">
                  <c:v>-36.069885999999997</c:v>
                </c:pt>
                <c:pt idx="85">
                  <c:v>-32.880459999999999</c:v>
                </c:pt>
                <c:pt idx="86">
                  <c:v>-33.477450000000005</c:v>
                </c:pt>
                <c:pt idx="87">
                  <c:v>-35.136434000000001</c:v>
                </c:pt>
                <c:pt idx="88">
                  <c:v>-32.827363999999996</c:v>
                </c:pt>
                <c:pt idx="89">
                  <c:v>-32.949864000000005</c:v>
                </c:pt>
                <c:pt idx="90">
                  <c:v>-33.951898</c:v>
                </c:pt>
                <c:pt idx="91">
                  <c:v>-34.889026000000001</c:v>
                </c:pt>
                <c:pt idx="92">
                  <c:v>-34.056691000000001</c:v>
                </c:pt>
                <c:pt idx="93">
                  <c:v>-35.594130999999997</c:v>
                </c:pt>
                <c:pt idx="94">
                  <c:v>-32.954028000000001</c:v>
                </c:pt>
                <c:pt idx="95">
                  <c:v>-33.759011000000001</c:v>
                </c:pt>
                <c:pt idx="96">
                  <c:v>-32.256653999999997</c:v>
                </c:pt>
                <c:pt idx="97">
                  <c:v>-30.835992999999998</c:v>
                </c:pt>
                <c:pt idx="98">
                  <c:v>-31.951129999999999</c:v>
                </c:pt>
                <c:pt idx="99">
                  <c:v>-31.514022999999998</c:v>
                </c:pt>
                <c:pt idx="100">
                  <c:v>-31.445142000000004</c:v>
                </c:pt>
                <c:pt idx="101">
                  <c:v>-29.874639999999999</c:v>
                </c:pt>
                <c:pt idx="102">
                  <c:v>-29.701062</c:v>
                </c:pt>
                <c:pt idx="103">
                  <c:v>-29.098621000000001</c:v>
                </c:pt>
                <c:pt idx="104">
                  <c:v>-28.167376000000001</c:v>
                </c:pt>
                <c:pt idx="105">
                  <c:v>-29.024938000000002</c:v>
                </c:pt>
                <c:pt idx="106">
                  <c:v>-27.631767999999997</c:v>
                </c:pt>
                <c:pt idx="107">
                  <c:v>-26.967773000000001</c:v>
                </c:pt>
                <c:pt idx="108">
                  <c:v>-27.806011999999999</c:v>
                </c:pt>
                <c:pt idx="109">
                  <c:v>-28.236535</c:v>
                </c:pt>
                <c:pt idx="110">
                  <c:v>-29.157889999999998</c:v>
                </c:pt>
                <c:pt idx="111">
                  <c:v>-29.018508000000001</c:v>
                </c:pt>
                <c:pt idx="112">
                  <c:v>-26.990072999999999</c:v>
                </c:pt>
                <c:pt idx="113">
                  <c:v>-25.839043</c:v>
                </c:pt>
                <c:pt idx="114">
                  <c:v>-26.076687</c:v>
                </c:pt>
                <c:pt idx="115">
                  <c:v>-25.429969</c:v>
                </c:pt>
                <c:pt idx="116">
                  <c:v>-27.404716000000001</c:v>
                </c:pt>
                <c:pt idx="117">
                  <c:v>-27.658223</c:v>
                </c:pt>
                <c:pt idx="118">
                  <c:v>-26.746451</c:v>
                </c:pt>
                <c:pt idx="119">
                  <c:v>-28.774810000000002</c:v>
                </c:pt>
                <c:pt idx="120">
                  <c:v>-32.325105999999998</c:v>
                </c:pt>
                <c:pt idx="121">
                  <c:v>-30.866209999999995</c:v>
                </c:pt>
                <c:pt idx="122">
                  <c:v>-32.104500999999999</c:v>
                </c:pt>
                <c:pt idx="123">
                  <c:v>-32.949054000000004</c:v>
                </c:pt>
                <c:pt idx="124">
                  <c:v>-30.768650000000001</c:v>
                </c:pt>
                <c:pt idx="125">
                  <c:v>-28.963906999999999</c:v>
                </c:pt>
                <c:pt idx="126">
                  <c:v>-28.883901999999999</c:v>
                </c:pt>
                <c:pt idx="127">
                  <c:v>-29.610517999999999</c:v>
                </c:pt>
                <c:pt idx="128">
                  <c:v>-28.301514000000001</c:v>
                </c:pt>
                <c:pt idx="129">
                  <c:v>-28.423038000000002</c:v>
                </c:pt>
                <c:pt idx="130">
                  <c:v>-29.235242000000003</c:v>
                </c:pt>
                <c:pt idx="131">
                  <c:v>-30.565407999999998</c:v>
                </c:pt>
                <c:pt idx="132">
                  <c:v>-33.510356999999999</c:v>
                </c:pt>
                <c:pt idx="133">
                  <c:v>-34.953396999999995</c:v>
                </c:pt>
                <c:pt idx="134">
                  <c:v>-33.508645999999999</c:v>
                </c:pt>
                <c:pt idx="135">
                  <c:v>-30.871916000000002</c:v>
                </c:pt>
                <c:pt idx="136">
                  <c:v>-31.037575</c:v>
                </c:pt>
                <c:pt idx="137">
                  <c:v>-32.745783000000003</c:v>
                </c:pt>
                <c:pt idx="138">
                  <c:v>-34.495609000000002</c:v>
                </c:pt>
                <c:pt idx="139">
                  <c:v>-36.965556999999997</c:v>
                </c:pt>
                <c:pt idx="140">
                  <c:v>-38.381943</c:v>
                </c:pt>
                <c:pt idx="141">
                  <c:v>-38.040773999999999</c:v>
                </c:pt>
                <c:pt idx="142">
                  <c:v>-40.626125999999999</c:v>
                </c:pt>
                <c:pt idx="143">
                  <c:v>-38.655702999999995</c:v>
                </c:pt>
                <c:pt idx="144">
                  <c:v>-40.280538999999997</c:v>
                </c:pt>
                <c:pt idx="145">
                  <c:v>-40.875661999999998</c:v>
                </c:pt>
                <c:pt idx="146">
                  <c:v>-42.427312999999998</c:v>
                </c:pt>
                <c:pt idx="147">
                  <c:v>-42.236128999999998</c:v>
                </c:pt>
                <c:pt idx="148">
                  <c:v>-44.936964000000003</c:v>
                </c:pt>
                <c:pt idx="149">
                  <c:v>-44.050019999999996</c:v>
                </c:pt>
                <c:pt idx="150">
                  <c:v>-44.335493</c:v>
                </c:pt>
                <c:pt idx="151">
                  <c:v>-44.289076999999999</c:v>
                </c:pt>
                <c:pt idx="152">
                  <c:v>-44.166377000000004</c:v>
                </c:pt>
                <c:pt idx="153">
                  <c:v>-43.719599000000002</c:v>
                </c:pt>
                <c:pt idx="154">
                  <c:v>-41.245400000000004</c:v>
                </c:pt>
                <c:pt idx="155">
                  <c:v>-42.133092000000005</c:v>
                </c:pt>
                <c:pt idx="156">
                  <c:v>-43.513748</c:v>
                </c:pt>
                <c:pt idx="157">
                  <c:v>-43.29871</c:v>
                </c:pt>
                <c:pt idx="158">
                  <c:v>-45.400421999999999</c:v>
                </c:pt>
                <c:pt idx="159">
                  <c:v>-45.497213000000002</c:v>
                </c:pt>
                <c:pt idx="160">
                  <c:v>-45.016892999999996</c:v>
                </c:pt>
                <c:pt idx="161">
                  <c:v>-45.392502999999998</c:v>
                </c:pt>
                <c:pt idx="162">
                  <c:v>-44.801794000000001</c:v>
                </c:pt>
                <c:pt idx="163">
                  <c:v>-44.458892000000006</c:v>
                </c:pt>
                <c:pt idx="164">
                  <c:v>-42.622718000000006</c:v>
                </c:pt>
                <c:pt idx="165">
                  <c:v>-45.09572</c:v>
                </c:pt>
                <c:pt idx="166">
                  <c:v>-45.673514000000004</c:v>
                </c:pt>
                <c:pt idx="167">
                  <c:v>-45.215842000000002</c:v>
                </c:pt>
                <c:pt idx="168">
                  <c:v>-43.095272000000001</c:v>
                </c:pt>
                <c:pt idx="169">
                  <c:v>-42.944366000000002</c:v>
                </c:pt>
                <c:pt idx="170">
                  <c:v>-43.268348000000003</c:v>
                </c:pt>
                <c:pt idx="171">
                  <c:v>-42.932045000000002</c:v>
                </c:pt>
                <c:pt idx="172">
                  <c:v>-41.052298999999998</c:v>
                </c:pt>
                <c:pt idx="173">
                  <c:v>-40.046298</c:v>
                </c:pt>
                <c:pt idx="174">
                  <c:v>-39.714764000000002</c:v>
                </c:pt>
                <c:pt idx="175">
                  <c:v>-41.115591000000002</c:v>
                </c:pt>
                <c:pt idx="176">
                  <c:v>-41.005229</c:v>
                </c:pt>
                <c:pt idx="177">
                  <c:v>-41.863692</c:v>
                </c:pt>
                <c:pt idx="178">
                  <c:v>-42.23357</c:v>
                </c:pt>
                <c:pt idx="179">
                  <c:v>-41.709744000000001</c:v>
                </c:pt>
                <c:pt idx="180">
                  <c:v>-45.698900999999999</c:v>
                </c:pt>
                <c:pt idx="181">
                  <c:v>-49.316107000000002</c:v>
                </c:pt>
                <c:pt idx="182">
                  <c:v>-49.163043000000002</c:v>
                </c:pt>
                <c:pt idx="183">
                  <c:v>-50.323718999999997</c:v>
                </c:pt>
                <c:pt idx="184">
                  <c:v>-49.918855999999998</c:v>
                </c:pt>
                <c:pt idx="185">
                  <c:v>-49.275131000000002</c:v>
                </c:pt>
                <c:pt idx="186">
                  <c:v>-50.098539000000002</c:v>
                </c:pt>
                <c:pt idx="187">
                  <c:v>-49.875534999999999</c:v>
                </c:pt>
                <c:pt idx="188">
                  <c:v>-51.222982000000002</c:v>
                </c:pt>
                <c:pt idx="189">
                  <c:v>-50.570101000000001</c:v>
                </c:pt>
                <c:pt idx="190">
                  <c:v>-51.133798999999996</c:v>
                </c:pt>
                <c:pt idx="191">
                  <c:v>-52.762657000000004</c:v>
                </c:pt>
                <c:pt idx="192">
                  <c:v>-51.059783000000003</c:v>
                </c:pt>
                <c:pt idx="193">
                  <c:v>-50.897669999999998</c:v>
                </c:pt>
                <c:pt idx="194">
                  <c:v>-48.003397</c:v>
                </c:pt>
                <c:pt idx="195">
                  <c:v>-48.372333000000005</c:v>
                </c:pt>
                <c:pt idx="196">
                  <c:v>-50.261685999999997</c:v>
                </c:pt>
                <c:pt idx="197">
                  <c:v>-50.556896000000002</c:v>
                </c:pt>
                <c:pt idx="198">
                  <c:v>-50.781762999999998</c:v>
                </c:pt>
                <c:pt idx="199">
                  <c:v>-52.323042999999998</c:v>
                </c:pt>
                <c:pt idx="200">
                  <c:v>-51.971175000000002</c:v>
                </c:pt>
                <c:pt idx="201">
                  <c:v>-51.974350000000001</c:v>
                </c:pt>
                <c:pt idx="202">
                  <c:v>-48.530333000000006</c:v>
                </c:pt>
                <c:pt idx="203">
                  <c:v>-46.563251999999999</c:v>
                </c:pt>
                <c:pt idx="204">
                  <c:v>-46.793333999999994</c:v>
                </c:pt>
                <c:pt idx="205">
                  <c:v>-47.758379000000005</c:v>
                </c:pt>
                <c:pt idx="206">
                  <c:v>-47.562240000000003</c:v>
                </c:pt>
                <c:pt idx="207">
                  <c:v>-49.344425000000001</c:v>
                </c:pt>
                <c:pt idx="208">
                  <c:v>-49.504466000000001</c:v>
                </c:pt>
                <c:pt idx="209">
                  <c:v>-48.319898999999999</c:v>
                </c:pt>
                <c:pt idx="210">
                  <c:v>-48.863652000000002</c:v>
                </c:pt>
                <c:pt idx="211">
                  <c:v>-50.946265000000004</c:v>
                </c:pt>
                <c:pt idx="212">
                  <c:v>-51.14781</c:v>
                </c:pt>
                <c:pt idx="213">
                  <c:v>-49.761858000000004</c:v>
                </c:pt>
                <c:pt idx="214">
                  <c:v>-48.488561999999995</c:v>
                </c:pt>
                <c:pt idx="215">
                  <c:v>-48.927745000000002</c:v>
                </c:pt>
                <c:pt idx="216">
                  <c:v>-49.659393000000001</c:v>
                </c:pt>
                <c:pt idx="217">
                  <c:v>-47.722296</c:v>
                </c:pt>
                <c:pt idx="218">
                  <c:v>-47.239831000000002</c:v>
                </c:pt>
                <c:pt idx="219">
                  <c:v>-46.674325000000003</c:v>
                </c:pt>
                <c:pt idx="220">
                  <c:v>-42.989294000000001</c:v>
                </c:pt>
                <c:pt idx="221">
                  <c:v>-42.420262999999998</c:v>
                </c:pt>
                <c:pt idx="222">
                  <c:v>-44.943575000000003</c:v>
                </c:pt>
                <c:pt idx="223">
                  <c:v>-43.421358999999995</c:v>
                </c:pt>
                <c:pt idx="224">
                  <c:v>-42.345135999999997</c:v>
                </c:pt>
                <c:pt idx="225">
                  <c:v>-41.718150000000001</c:v>
                </c:pt>
                <c:pt idx="226">
                  <c:v>-42.885494000000001</c:v>
                </c:pt>
                <c:pt idx="227">
                  <c:v>-38.447294999999997</c:v>
                </c:pt>
                <c:pt idx="228">
                  <c:v>-37.272225999999996</c:v>
                </c:pt>
                <c:pt idx="229">
                  <c:v>-37.690219999999997</c:v>
                </c:pt>
                <c:pt idx="230">
                  <c:v>-38.106278000000003</c:v>
                </c:pt>
                <c:pt idx="231">
                  <c:v>-38.024926999999998</c:v>
                </c:pt>
                <c:pt idx="232">
                  <c:v>-37.229885000000003</c:v>
                </c:pt>
                <c:pt idx="233">
                  <c:v>-36.301530999999997</c:v>
                </c:pt>
                <c:pt idx="234">
                  <c:v>-35.593007999999998</c:v>
                </c:pt>
                <c:pt idx="235">
                  <c:v>-38.597515000000001</c:v>
                </c:pt>
                <c:pt idx="236">
                  <c:v>-39.390087999999999</c:v>
                </c:pt>
                <c:pt idx="237">
                  <c:v>-39.361998</c:v>
                </c:pt>
                <c:pt idx="238">
                  <c:v>-38.168536000000003</c:v>
                </c:pt>
                <c:pt idx="239">
                  <c:v>-39.14228</c:v>
                </c:pt>
                <c:pt idx="240">
                  <c:v>-36.598804000000001</c:v>
                </c:pt>
                <c:pt idx="241">
                  <c:v>-35.084088999999999</c:v>
                </c:pt>
                <c:pt idx="242">
                  <c:v>-34.239993999999996</c:v>
                </c:pt>
                <c:pt idx="243">
                  <c:v>-34.765849000000003</c:v>
                </c:pt>
                <c:pt idx="244">
                  <c:v>-34.449603000000003</c:v>
                </c:pt>
                <c:pt idx="245">
                  <c:v>-35.807122999999997</c:v>
                </c:pt>
                <c:pt idx="246">
                  <c:v>-37.325825999999999</c:v>
                </c:pt>
                <c:pt idx="247">
                  <c:v>-38.385421999999998</c:v>
                </c:pt>
                <c:pt idx="248">
                  <c:v>-37.150419999999997</c:v>
                </c:pt>
                <c:pt idx="249">
                  <c:v>-36.819559999999996</c:v>
                </c:pt>
                <c:pt idx="250">
                  <c:v>-36.904654000000001</c:v>
                </c:pt>
                <c:pt idx="251">
                  <c:v>-35.980019999999996</c:v>
                </c:pt>
                <c:pt idx="252">
                  <c:v>-36.199868000000002</c:v>
                </c:pt>
                <c:pt idx="253">
                  <c:v>-36.611174000000005</c:v>
                </c:pt>
                <c:pt idx="254">
                  <c:v>-36.469859</c:v>
                </c:pt>
                <c:pt idx="255">
                  <c:v>-39.298290000000001</c:v>
                </c:pt>
                <c:pt idx="256">
                  <c:v>-41.778453999999996</c:v>
                </c:pt>
                <c:pt idx="257">
                  <c:v>-43.228808000000001</c:v>
                </c:pt>
                <c:pt idx="258">
                  <c:v>-41.831785000000004</c:v>
                </c:pt>
                <c:pt idx="259">
                  <c:v>-40.104177</c:v>
                </c:pt>
                <c:pt idx="260">
                  <c:v>-39.322326000000004</c:v>
                </c:pt>
                <c:pt idx="261">
                  <c:v>-38.102466000000007</c:v>
                </c:pt>
                <c:pt idx="262">
                  <c:v>-38.584654</c:v>
                </c:pt>
                <c:pt idx="263">
                  <c:v>-40.169223000000002</c:v>
                </c:pt>
                <c:pt idx="264">
                  <c:v>-40.610645999999996</c:v>
                </c:pt>
                <c:pt idx="265">
                  <c:v>-40.863555999999996</c:v>
                </c:pt>
                <c:pt idx="266">
                  <c:v>-39.762383999999997</c:v>
                </c:pt>
                <c:pt idx="267">
                  <c:v>-38.646888000000004</c:v>
                </c:pt>
                <c:pt idx="268">
                  <c:v>-39.494717000000001</c:v>
                </c:pt>
                <c:pt idx="269">
                  <c:v>-39.72184</c:v>
                </c:pt>
                <c:pt idx="270">
                  <c:v>-40.572247000000004</c:v>
                </c:pt>
                <c:pt idx="271">
                  <c:v>-42.781714000000001</c:v>
                </c:pt>
                <c:pt idx="272">
                  <c:v>-43.292130999999998</c:v>
                </c:pt>
                <c:pt idx="273">
                  <c:v>-43.074184000000002</c:v>
                </c:pt>
                <c:pt idx="274">
                  <c:v>-43.455386000000004</c:v>
                </c:pt>
                <c:pt idx="275">
                  <c:v>-44.038609999999998</c:v>
                </c:pt>
                <c:pt idx="276">
                  <c:v>-43.076091999999996</c:v>
                </c:pt>
                <c:pt idx="277">
                  <c:v>-40.889102999999999</c:v>
                </c:pt>
                <c:pt idx="278">
                  <c:v>-40.244512</c:v>
                </c:pt>
                <c:pt idx="279">
                  <c:v>-41.668036000000001</c:v>
                </c:pt>
                <c:pt idx="280">
                  <c:v>-42.241230000000002</c:v>
                </c:pt>
                <c:pt idx="281">
                  <c:v>-40.584486000000005</c:v>
                </c:pt>
                <c:pt idx="282">
                  <c:v>-37.071562</c:v>
                </c:pt>
                <c:pt idx="283">
                  <c:v>-37.056063000000002</c:v>
                </c:pt>
                <c:pt idx="284">
                  <c:v>-35.398340000000005</c:v>
                </c:pt>
                <c:pt idx="285">
                  <c:v>-34.785432999999998</c:v>
                </c:pt>
                <c:pt idx="286">
                  <c:v>-32.352775000000001</c:v>
                </c:pt>
                <c:pt idx="287">
                  <c:v>-33.772745</c:v>
                </c:pt>
                <c:pt idx="288">
                  <c:v>-32.678066000000001</c:v>
                </c:pt>
                <c:pt idx="289">
                  <c:v>-33.669559</c:v>
                </c:pt>
                <c:pt idx="290">
                  <c:v>-33.781244000000001</c:v>
                </c:pt>
                <c:pt idx="291">
                  <c:v>-37.184266999999998</c:v>
                </c:pt>
                <c:pt idx="292">
                  <c:v>-35.700668</c:v>
                </c:pt>
                <c:pt idx="293">
                  <c:v>-37.377473999999999</c:v>
                </c:pt>
                <c:pt idx="294">
                  <c:v>-36.537689</c:v>
                </c:pt>
                <c:pt idx="295">
                  <c:v>-33.657245000000003</c:v>
                </c:pt>
                <c:pt idx="296">
                  <c:v>-34.857364000000004</c:v>
                </c:pt>
                <c:pt idx="297">
                  <c:v>-33.750337999999999</c:v>
                </c:pt>
                <c:pt idx="298">
                  <c:v>-35.887526000000001</c:v>
                </c:pt>
                <c:pt idx="299">
                  <c:v>-34.527641000000003</c:v>
                </c:pt>
                <c:pt idx="300">
                  <c:v>-33.757117000000001</c:v>
                </c:pt>
                <c:pt idx="301">
                  <c:v>-32.714413999999998</c:v>
                </c:pt>
                <c:pt idx="302">
                  <c:v>-29.513776999999997</c:v>
                </c:pt>
                <c:pt idx="303">
                  <c:v>-29.429074999999997</c:v>
                </c:pt>
                <c:pt idx="304">
                  <c:v>-30.537946000000002</c:v>
                </c:pt>
                <c:pt idx="305">
                  <c:v>-30.293714000000001</c:v>
                </c:pt>
                <c:pt idx="306">
                  <c:v>-30.534217000000005</c:v>
                </c:pt>
                <c:pt idx="307">
                  <c:v>-31.843887000000002</c:v>
                </c:pt>
                <c:pt idx="308">
                  <c:v>-33.992101000000005</c:v>
                </c:pt>
                <c:pt idx="309">
                  <c:v>-32.256358999999996</c:v>
                </c:pt>
                <c:pt idx="310">
                  <c:v>-33.642299000000001</c:v>
                </c:pt>
                <c:pt idx="311">
                  <c:v>-29.932988999999999</c:v>
                </c:pt>
                <c:pt idx="312">
                  <c:v>-28.985465000000005</c:v>
                </c:pt>
                <c:pt idx="313">
                  <c:v>-29.671903</c:v>
                </c:pt>
                <c:pt idx="314">
                  <c:v>-26.305788000000003</c:v>
                </c:pt>
                <c:pt idx="315">
                  <c:v>-27.556124000000004</c:v>
                </c:pt>
                <c:pt idx="316">
                  <c:v>-28.152806999999996</c:v>
                </c:pt>
                <c:pt idx="317">
                  <c:v>-28.081784999999996</c:v>
                </c:pt>
                <c:pt idx="318">
                  <c:v>-28.129269000000001</c:v>
                </c:pt>
                <c:pt idx="319">
                  <c:v>-26.047394999999995</c:v>
                </c:pt>
                <c:pt idx="320">
                  <c:v>-25.372732999999997</c:v>
                </c:pt>
                <c:pt idx="321">
                  <c:v>-24.298759999999998</c:v>
                </c:pt>
                <c:pt idx="322">
                  <c:v>-24.313773000000001</c:v>
                </c:pt>
                <c:pt idx="323">
                  <c:v>-25.461608999999996</c:v>
                </c:pt>
                <c:pt idx="324">
                  <c:v>-26.854385999999998</c:v>
                </c:pt>
                <c:pt idx="325">
                  <c:v>-24.798984999999998</c:v>
                </c:pt>
                <c:pt idx="326">
                  <c:v>-23.887141</c:v>
                </c:pt>
                <c:pt idx="327">
                  <c:v>-21.191147999999998</c:v>
                </c:pt>
                <c:pt idx="328">
                  <c:v>-21.822051000000002</c:v>
                </c:pt>
                <c:pt idx="329">
                  <c:v>-18.826408999999998</c:v>
                </c:pt>
                <c:pt idx="330">
                  <c:v>-20.074667999999999</c:v>
                </c:pt>
                <c:pt idx="331">
                  <c:v>-19.648819</c:v>
                </c:pt>
                <c:pt idx="332">
                  <c:v>-20.312040000000003</c:v>
                </c:pt>
                <c:pt idx="333">
                  <c:v>-21.131075000000003</c:v>
                </c:pt>
                <c:pt idx="334">
                  <c:v>-19.473287000000003</c:v>
                </c:pt>
                <c:pt idx="335">
                  <c:v>-19.125753000000003</c:v>
                </c:pt>
              </c:numCache>
            </c:numRef>
          </c:val>
          <c:smooth val="0"/>
          <c:extLst>
            <c:ext xmlns:c16="http://schemas.microsoft.com/office/drawing/2014/chart" uri="{C3380CC4-5D6E-409C-BE32-E72D297353CC}">
              <c16:uniqueId val="{00000000-EBCB-421E-99FA-EA892C0497BF}"/>
            </c:ext>
          </c:extLst>
        </c:ser>
        <c:dLbls>
          <c:showLegendKey val="0"/>
          <c:showVal val="0"/>
          <c:showCatName val="0"/>
          <c:showSerName val="0"/>
          <c:showPercent val="0"/>
          <c:showBubbleSize val="0"/>
        </c:dLbls>
        <c:smooth val="0"/>
        <c:axId val="596234416"/>
        <c:axId val="1292859792"/>
      </c:lineChart>
      <c:catAx>
        <c:axId val="596234416"/>
        <c:scaling>
          <c:orientation val="minMax"/>
        </c:scaling>
        <c:delete val="0"/>
        <c:axPos val="b"/>
        <c:numFmt formatCode="dd-mmm-yy"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292859792"/>
        <c:crosses val="autoZero"/>
        <c:auto val="1"/>
        <c:lblAlgn val="ctr"/>
        <c:lblOffset val="100"/>
        <c:noMultiLvlLbl val="0"/>
      </c:catAx>
      <c:valAx>
        <c:axId val="1292859792"/>
        <c:scaling>
          <c:orientation val="minMax"/>
        </c:scaling>
        <c:delete val="0"/>
        <c:axPos val="l"/>
        <c:majorGridlines>
          <c:spPr>
            <a:ln w="9525" cap="flat" cmpd="sng" algn="ctr">
              <a:solidFill>
                <a:schemeClr val="tx2">
                  <a:lumMod val="15000"/>
                  <a:lumOff val="85000"/>
                </a:schemeClr>
              </a:solidFill>
              <a:round/>
            </a:ln>
            <a:effectLst/>
          </c:spPr>
        </c:majorGridlines>
        <c:minorGridlines>
          <c:spPr>
            <a:ln>
              <a:solidFill>
                <a:schemeClr val="tx2">
                  <a:lumMod val="5000"/>
                  <a:lumOff val="95000"/>
                </a:schemeClr>
              </a:solidFill>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596234416"/>
        <c:crosses val="autoZero"/>
        <c:crossBetween val="between"/>
      </c:valAx>
      <c:spPr>
        <a:noFill/>
        <a:ln>
          <a:noFill/>
        </a:ln>
        <a:effectLst/>
      </c:spPr>
    </c:plotArea>
    <c:plotVisOnly val="1"/>
    <c:dispBlanksAs val="zero"/>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Pricing</a:t>
            </a:r>
            <a:r>
              <a:rPr lang="en-US" baseline="0"/>
              <a:t> of GDAX Relative to BitStamp</a:t>
            </a:r>
            <a:br>
              <a:rPr lang="en-US" baseline="0"/>
            </a:br>
            <a:r>
              <a:rPr lang="en-US" sz="1100" i="1" baseline="0"/>
              <a:t>(deviation % from parity)</a:t>
            </a:r>
            <a:endParaRPr lang="en-US" i="1"/>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lineChart>
        <c:grouping val="stacked"/>
        <c:varyColors val="0"/>
        <c:ser>
          <c:idx val="0"/>
          <c:order val="0"/>
          <c:spPr>
            <a:ln w="31750" cap="rnd">
              <a:solidFill>
                <a:schemeClr val="accent1"/>
              </a:solidFill>
              <a:round/>
            </a:ln>
            <a:effectLst/>
          </c:spPr>
          <c:marker>
            <c:symbol val="none"/>
          </c:marker>
          <c:val>
            <c:numRef>
              <c:f>here!$E$2:$E$339</c:f>
              <c:numCache>
                <c:formatCode>General</c:formatCode>
                <c:ptCount val="338"/>
                <c:pt idx="0">
                  <c:v>-0.14430529000000003</c:v>
                </c:pt>
                <c:pt idx="1">
                  <c:v>-1.2953311899999997</c:v>
                </c:pt>
                <c:pt idx="2">
                  <c:v>-1.8660826100000001</c:v>
                </c:pt>
                <c:pt idx="3">
                  <c:v>-0.31732015999999996</c:v>
                </c:pt>
                <c:pt idx="4">
                  <c:v>-0.1757023900000001</c:v>
                </c:pt>
                <c:pt idx="5">
                  <c:v>1.5116332000000003</c:v>
                </c:pt>
                <c:pt idx="6">
                  <c:v>0.54524819000000013</c:v>
                </c:pt>
                <c:pt idx="7">
                  <c:v>1.9223209099999994</c:v>
                </c:pt>
                <c:pt idx="8">
                  <c:v>1.5289145799999999</c:v>
                </c:pt>
                <c:pt idx="9">
                  <c:v>1.75537835</c:v>
                </c:pt>
                <c:pt idx="10">
                  <c:v>1.3503507099999998</c:v>
                </c:pt>
                <c:pt idx="11">
                  <c:v>0.51427845999999988</c:v>
                </c:pt>
                <c:pt idx="12">
                  <c:v>-1.1461923500000006</c:v>
                </c:pt>
                <c:pt idx="13">
                  <c:v>-3.6109099599999999</c:v>
                </c:pt>
                <c:pt idx="14">
                  <c:v>-5.47725711</c:v>
                </c:pt>
                <c:pt idx="15">
                  <c:v>-5.1561009200000001</c:v>
                </c:pt>
                <c:pt idx="16">
                  <c:v>-5.6424819899999994</c:v>
                </c:pt>
                <c:pt idx="17">
                  <c:v>-4.9263909200000002</c:v>
                </c:pt>
                <c:pt idx="18">
                  <c:v>-5.18687231</c:v>
                </c:pt>
                <c:pt idx="19">
                  <c:v>-6.884673059999999</c:v>
                </c:pt>
                <c:pt idx="20">
                  <c:v>-6.1541986600000005</c:v>
                </c:pt>
                <c:pt idx="21">
                  <c:v>-5.1567691699999996</c:v>
                </c:pt>
                <c:pt idx="22">
                  <c:v>-6.2301892799999994</c:v>
                </c:pt>
                <c:pt idx="23">
                  <c:v>-7.5684325700000006</c:v>
                </c:pt>
                <c:pt idx="24">
                  <c:v>-8.1768056799999993</c:v>
                </c:pt>
                <c:pt idx="25">
                  <c:v>-10.12815544</c:v>
                </c:pt>
                <c:pt idx="26">
                  <c:v>-9.6469185599999996</c:v>
                </c:pt>
                <c:pt idx="27">
                  <c:v>-8.2166428400000004</c:v>
                </c:pt>
                <c:pt idx="28">
                  <c:v>-7.5187709699999994</c:v>
                </c:pt>
                <c:pt idx="29">
                  <c:v>-5.0428839200000013</c:v>
                </c:pt>
                <c:pt idx="30">
                  <c:v>-4.3753575500000004</c:v>
                </c:pt>
                <c:pt idx="31">
                  <c:v>-3.6478699700000004</c:v>
                </c:pt>
                <c:pt idx="32">
                  <c:v>-4.0630485400000005</c:v>
                </c:pt>
                <c:pt idx="33">
                  <c:v>-5.2472281499999998</c:v>
                </c:pt>
                <c:pt idx="34">
                  <c:v>-2.3936287800000002</c:v>
                </c:pt>
                <c:pt idx="35">
                  <c:v>-0.21227558000000002</c:v>
                </c:pt>
                <c:pt idx="36">
                  <c:v>-3.9034790000000541E-2</c:v>
                </c:pt>
                <c:pt idx="37">
                  <c:v>-0.36269300000000015</c:v>
                </c:pt>
                <c:pt idx="38">
                  <c:v>0.60841283999999973</c:v>
                </c:pt>
                <c:pt idx="39">
                  <c:v>-0.59213474000000055</c:v>
                </c:pt>
                <c:pt idx="40">
                  <c:v>-1.9618749199999996</c:v>
                </c:pt>
                <c:pt idx="41">
                  <c:v>-2.3149104699999992</c:v>
                </c:pt>
                <c:pt idx="42">
                  <c:v>-2.9573786399999999</c:v>
                </c:pt>
                <c:pt idx="43">
                  <c:v>0.62194597000000051</c:v>
                </c:pt>
                <c:pt idx="44">
                  <c:v>2.3802565700000002</c:v>
                </c:pt>
                <c:pt idx="45">
                  <c:v>5.3440145799999996</c:v>
                </c:pt>
                <c:pt idx="46">
                  <c:v>5.2401824999999995</c:v>
                </c:pt>
                <c:pt idx="47">
                  <c:v>5.7783863999999996</c:v>
                </c:pt>
                <c:pt idx="48">
                  <c:v>4.0067208799999996</c:v>
                </c:pt>
                <c:pt idx="49">
                  <c:v>4.3553301900000001</c:v>
                </c:pt>
                <c:pt idx="50">
                  <c:v>5.9363454999999998</c:v>
                </c:pt>
                <c:pt idx="51">
                  <c:v>6.8119099399999996</c:v>
                </c:pt>
                <c:pt idx="52">
                  <c:v>7.4472291999999998</c:v>
                </c:pt>
                <c:pt idx="53">
                  <c:v>6.7119427199999997</c:v>
                </c:pt>
                <c:pt idx="54">
                  <c:v>6.3587164600000001</c:v>
                </c:pt>
                <c:pt idx="55">
                  <c:v>8.0336600400000009</c:v>
                </c:pt>
                <c:pt idx="56">
                  <c:v>8.6630599000000004</c:v>
                </c:pt>
                <c:pt idx="57">
                  <c:v>10.723566959999999</c:v>
                </c:pt>
                <c:pt idx="58">
                  <c:v>11.592106830000001</c:v>
                </c:pt>
                <c:pt idx="59">
                  <c:v>11.54308977</c:v>
                </c:pt>
                <c:pt idx="60">
                  <c:v>12.365658100000001</c:v>
                </c:pt>
                <c:pt idx="61">
                  <c:v>10.76188033</c:v>
                </c:pt>
                <c:pt idx="62">
                  <c:v>10.170761629999999</c:v>
                </c:pt>
                <c:pt idx="63">
                  <c:v>9.6384335700000001</c:v>
                </c:pt>
                <c:pt idx="64">
                  <c:v>10.97929793</c:v>
                </c:pt>
                <c:pt idx="65">
                  <c:v>9.8232151199999986</c:v>
                </c:pt>
                <c:pt idx="66">
                  <c:v>10.783439270000002</c:v>
                </c:pt>
                <c:pt idx="67">
                  <c:v>10.9312054</c:v>
                </c:pt>
                <c:pt idx="68">
                  <c:v>10.688551270000001</c:v>
                </c:pt>
                <c:pt idx="69">
                  <c:v>8.1585332299999997</c:v>
                </c:pt>
                <c:pt idx="70">
                  <c:v>8.6722171400000008</c:v>
                </c:pt>
                <c:pt idx="71">
                  <c:v>7.5003792900000006</c:v>
                </c:pt>
                <c:pt idx="72">
                  <c:v>5.8501341899999995</c:v>
                </c:pt>
                <c:pt idx="73">
                  <c:v>1.9528002900000008</c:v>
                </c:pt>
                <c:pt idx="74">
                  <c:v>-0.1238367199999999</c:v>
                </c:pt>
                <c:pt idx="75">
                  <c:v>-0.14403441999999878</c:v>
                </c:pt>
                <c:pt idx="76">
                  <c:v>-4.7202347000000007</c:v>
                </c:pt>
                <c:pt idx="77">
                  <c:v>-3.0120470400000006</c:v>
                </c:pt>
                <c:pt idx="78">
                  <c:v>-2.119670300000001</c:v>
                </c:pt>
                <c:pt idx="79">
                  <c:v>4.7065239999999342E-2</c:v>
                </c:pt>
                <c:pt idx="80">
                  <c:v>-1.1929439400000001</c:v>
                </c:pt>
                <c:pt idx="81">
                  <c:v>-2.2488980600000001</c:v>
                </c:pt>
                <c:pt idx="82">
                  <c:v>-5.0861945199999994</c:v>
                </c:pt>
                <c:pt idx="83">
                  <c:v>-5.1696164400000004</c:v>
                </c:pt>
                <c:pt idx="84">
                  <c:v>-3.7550764899999995</c:v>
                </c:pt>
                <c:pt idx="85">
                  <c:v>-4.5803637200000002</c:v>
                </c:pt>
                <c:pt idx="86">
                  <c:v>-3.27698774</c:v>
                </c:pt>
                <c:pt idx="87">
                  <c:v>-3.1923556499999997</c:v>
                </c:pt>
                <c:pt idx="88">
                  <c:v>-3.4227621500000001</c:v>
                </c:pt>
                <c:pt idx="89">
                  <c:v>-2.9268920400000003</c:v>
                </c:pt>
                <c:pt idx="90">
                  <c:v>-3.0330439399999998</c:v>
                </c:pt>
                <c:pt idx="91">
                  <c:v>-1.2159968000000001</c:v>
                </c:pt>
                <c:pt idx="92">
                  <c:v>-4.8468482699999997</c:v>
                </c:pt>
                <c:pt idx="93">
                  <c:v>-5.1406442200000004</c:v>
                </c:pt>
                <c:pt idx="94">
                  <c:v>-2.0002099600000003</c:v>
                </c:pt>
                <c:pt idx="95">
                  <c:v>-4.1491381900000004</c:v>
                </c:pt>
                <c:pt idx="96">
                  <c:v>-3.8851563499999999</c:v>
                </c:pt>
                <c:pt idx="97">
                  <c:v>-2.79865553</c:v>
                </c:pt>
                <c:pt idx="98">
                  <c:v>-1.1665149700000002</c:v>
                </c:pt>
                <c:pt idx="99">
                  <c:v>-0.77210552000000021</c:v>
                </c:pt>
                <c:pt idx="100">
                  <c:v>-1.6691510800000002</c:v>
                </c:pt>
                <c:pt idx="101">
                  <c:v>-2.0036985600000001</c:v>
                </c:pt>
                <c:pt idx="102">
                  <c:v>-1.5724980999999998</c:v>
                </c:pt>
                <c:pt idx="103">
                  <c:v>-2.89365841</c:v>
                </c:pt>
                <c:pt idx="104">
                  <c:v>-1.2392316400000001</c:v>
                </c:pt>
                <c:pt idx="105">
                  <c:v>0.59742952999999999</c:v>
                </c:pt>
                <c:pt idx="106">
                  <c:v>-0.35198594000000005</c:v>
                </c:pt>
                <c:pt idx="107">
                  <c:v>2.6810023300000001</c:v>
                </c:pt>
                <c:pt idx="108">
                  <c:v>1.0105169999999999</c:v>
                </c:pt>
                <c:pt idx="109">
                  <c:v>3.0259310299999997</c:v>
                </c:pt>
                <c:pt idx="110">
                  <c:v>6.3885562600000005</c:v>
                </c:pt>
                <c:pt idx="111">
                  <c:v>6.5603539800000004</c:v>
                </c:pt>
                <c:pt idx="112">
                  <c:v>6.2744245900000006</c:v>
                </c:pt>
                <c:pt idx="113">
                  <c:v>6.8670140999999996</c:v>
                </c:pt>
                <c:pt idx="114">
                  <c:v>6.4572530700000002</c:v>
                </c:pt>
                <c:pt idx="115">
                  <c:v>8.1467830400000008</c:v>
                </c:pt>
                <c:pt idx="116">
                  <c:v>6.3317023399999997</c:v>
                </c:pt>
                <c:pt idx="117">
                  <c:v>5.2480058600000001</c:v>
                </c:pt>
                <c:pt idx="118">
                  <c:v>6.4797576900000005</c:v>
                </c:pt>
                <c:pt idx="119">
                  <c:v>6.1260730500000005</c:v>
                </c:pt>
                <c:pt idx="120">
                  <c:v>4.7800460100000004</c:v>
                </c:pt>
                <c:pt idx="121">
                  <c:v>3.4594140200000005</c:v>
                </c:pt>
                <c:pt idx="122">
                  <c:v>3.1946247200000002</c:v>
                </c:pt>
                <c:pt idx="123">
                  <c:v>2.0725030200000001</c:v>
                </c:pt>
                <c:pt idx="124">
                  <c:v>5.4493220299999994</c:v>
                </c:pt>
                <c:pt idx="125">
                  <c:v>5.0614465100000006</c:v>
                </c:pt>
                <c:pt idx="126">
                  <c:v>3.2902882800000004</c:v>
                </c:pt>
                <c:pt idx="127">
                  <c:v>2.1075022100000003</c:v>
                </c:pt>
                <c:pt idx="128">
                  <c:v>0.43712671000000025</c:v>
                </c:pt>
                <c:pt idx="129">
                  <c:v>-1.4785255599999998</c:v>
                </c:pt>
                <c:pt idx="130">
                  <c:v>-2.0595673300000001</c:v>
                </c:pt>
                <c:pt idx="131">
                  <c:v>0.55694295000000027</c:v>
                </c:pt>
                <c:pt idx="132">
                  <c:v>-1.6132185900000002</c:v>
                </c:pt>
                <c:pt idx="133">
                  <c:v>-2.7875827800000001</c:v>
                </c:pt>
                <c:pt idx="134">
                  <c:v>-3.1906130999999998</c:v>
                </c:pt>
                <c:pt idx="135">
                  <c:v>-3.7081848500000003</c:v>
                </c:pt>
                <c:pt idx="136">
                  <c:v>-3.2068792200000003</c:v>
                </c:pt>
                <c:pt idx="137">
                  <c:v>-3.6670242599999998</c:v>
                </c:pt>
                <c:pt idx="138">
                  <c:v>-3.2521882999999998</c:v>
                </c:pt>
                <c:pt idx="139">
                  <c:v>-3.3947975600000002</c:v>
                </c:pt>
                <c:pt idx="140">
                  <c:v>-3.7994442300000006</c:v>
                </c:pt>
                <c:pt idx="141">
                  <c:v>-1.8406267699999999</c:v>
                </c:pt>
                <c:pt idx="142">
                  <c:v>-2.9993229699999997</c:v>
                </c:pt>
                <c:pt idx="143">
                  <c:v>-6.6712035300000005</c:v>
                </c:pt>
                <c:pt idx="144">
                  <c:v>-6.2274173600000005</c:v>
                </c:pt>
                <c:pt idx="145">
                  <c:v>-4.8443999800000004</c:v>
                </c:pt>
                <c:pt idx="146">
                  <c:v>-4.7962926500000007</c:v>
                </c:pt>
                <c:pt idx="147">
                  <c:v>-4.2611959500000003</c:v>
                </c:pt>
                <c:pt idx="148">
                  <c:v>-2.9050114200000001</c:v>
                </c:pt>
                <c:pt idx="149">
                  <c:v>-2.6436955600000003</c:v>
                </c:pt>
                <c:pt idx="150">
                  <c:v>-0.60271195999999971</c:v>
                </c:pt>
                <c:pt idx="151">
                  <c:v>1.8690434800000002</c:v>
                </c:pt>
                <c:pt idx="152">
                  <c:v>1.6505020100000003</c:v>
                </c:pt>
                <c:pt idx="153">
                  <c:v>2.0567580000000003</c:v>
                </c:pt>
                <c:pt idx="154">
                  <c:v>0.77854110999999993</c:v>
                </c:pt>
                <c:pt idx="155">
                  <c:v>-1.71923124</c:v>
                </c:pt>
                <c:pt idx="156">
                  <c:v>-2.9780768999999996</c:v>
                </c:pt>
                <c:pt idx="157">
                  <c:v>-2.5861030200000004</c:v>
                </c:pt>
                <c:pt idx="158">
                  <c:v>-4.6715809899999989</c:v>
                </c:pt>
                <c:pt idx="159">
                  <c:v>-2.0244320099999999</c:v>
                </c:pt>
                <c:pt idx="160">
                  <c:v>-1.6516633000000009</c:v>
                </c:pt>
                <c:pt idx="161">
                  <c:v>-2.7022007499999994</c:v>
                </c:pt>
                <c:pt idx="162">
                  <c:v>-2.0038136899999994</c:v>
                </c:pt>
                <c:pt idx="163">
                  <c:v>0.8513151299999997</c:v>
                </c:pt>
                <c:pt idx="164">
                  <c:v>1.1402910600000009</c:v>
                </c:pt>
                <c:pt idx="165">
                  <c:v>2.5953691699999997</c:v>
                </c:pt>
                <c:pt idx="166">
                  <c:v>1.8125333900000005</c:v>
                </c:pt>
                <c:pt idx="167">
                  <c:v>1.5902466300000011</c:v>
                </c:pt>
                <c:pt idx="168">
                  <c:v>3.656744960000001</c:v>
                </c:pt>
                <c:pt idx="169">
                  <c:v>4.8587860900000006</c:v>
                </c:pt>
                <c:pt idx="170">
                  <c:v>3.914028899999999</c:v>
                </c:pt>
                <c:pt idx="171">
                  <c:v>5.02899808</c:v>
                </c:pt>
                <c:pt idx="172">
                  <c:v>3.3661682900000001</c:v>
                </c:pt>
                <c:pt idx="173">
                  <c:v>4.4391039599999997</c:v>
                </c:pt>
                <c:pt idx="174">
                  <c:v>2.4574577400000006</c:v>
                </c:pt>
                <c:pt idx="175">
                  <c:v>2.9007366099999992</c:v>
                </c:pt>
                <c:pt idx="176">
                  <c:v>-6.729434999999917E-2</c:v>
                </c:pt>
                <c:pt idx="177">
                  <c:v>-0.86498774999999917</c:v>
                </c:pt>
                <c:pt idx="178">
                  <c:v>-0.96336460000000024</c:v>
                </c:pt>
                <c:pt idx="179">
                  <c:v>-1.5208600499999996</c:v>
                </c:pt>
                <c:pt idx="180">
                  <c:v>-8.592392000000082E-2</c:v>
                </c:pt>
                <c:pt idx="181">
                  <c:v>-0.33979246999999901</c:v>
                </c:pt>
                <c:pt idx="182">
                  <c:v>-0.79690723999999946</c:v>
                </c:pt>
                <c:pt idx="183">
                  <c:v>0.16784241999999949</c:v>
                </c:pt>
                <c:pt idx="184">
                  <c:v>0.59576638000000059</c:v>
                </c:pt>
                <c:pt idx="185">
                  <c:v>0.64000390999999901</c:v>
                </c:pt>
                <c:pt idx="186">
                  <c:v>1.1958642699999995</c:v>
                </c:pt>
                <c:pt idx="187">
                  <c:v>2.0846209999999994</c:v>
                </c:pt>
                <c:pt idx="188">
                  <c:v>2.3129035600000005</c:v>
                </c:pt>
                <c:pt idx="189">
                  <c:v>2.9784125100000001</c:v>
                </c:pt>
                <c:pt idx="190">
                  <c:v>3.5699915200000003</c:v>
                </c:pt>
                <c:pt idx="191">
                  <c:v>3.0615709199999994</c:v>
                </c:pt>
                <c:pt idx="192">
                  <c:v>-8.6982700000000079E-2</c:v>
                </c:pt>
                <c:pt idx="193">
                  <c:v>1.9317809499999994</c:v>
                </c:pt>
                <c:pt idx="194">
                  <c:v>0.85934555000000046</c:v>
                </c:pt>
                <c:pt idx="195">
                  <c:v>2.6646325300000004</c:v>
                </c:pt>
                <c:pt idx="196">
                  <c:v>2.7192834900000005</c:v>
                </c:pt>
                <c:pt idx="197">
                  <c:v>2.9156834299999987</c:v>
                </c:pt>
                <c:pt idx="198">
                  <c:v>2.0260248000000001</c:v>
                </c:pt>
                <c:pt idx="199">
                  <c:v>2.6120087999999999</c:v>
                </c:pt>
                <c:pt idx="200">
                  <c:v>3.0733707100000007</c:v>
                </c:pt>
                <c:pt idx="201">
                  <c:v>2.6318487099999999</c:v>
                </c:pt>
                <c:pt idx="202">
                  <c:v>2.00631497</c:v>
                </c:pt>
                <c:pt idx="203">
                  <c:v>0.81740411000000002</c:v>
                </c:pt>
                <c:pt idx="204">
                  <c:v>1.4380664000000003</c:v>
                </c:pt>
                <c:pt idx="205">
                  <c:v>1.3507616100000002</c:v>
                </c:pt>
                <c:pt idx="206">
                  <c:v>-0.25500721000000048</c:v>
                </c:pt>
                <c:pt idx="207">
                  <c:v>-0.27700423000000018</c:v>
                </c:pt>
                <c:pt idx="208">
                  <c:v>-1.2984830899999995</c:v>
                </c:pt>
                <c:pt idx="209">
                  <c:v>-0.56967718000000023</c:v>
                </c:pt>
                <c:pt idx="210">
                  <c:v>0.16789385999999951</c:v>
                </c:pt>
                <c:pt idx="211">
                  <c:v>0.15889289000000062</c:v>
                </c:pt>
                <c:pt idx="212">
                  <c:v>-2.0305307599999995</c:v>
                </c:pt>
                <c:pt idx="213">
                  <c:v>-0.53929730999999936</c:v>
                </c:pt>
                <c:pt idx="214">
                  <c:v>-0.8309505399999999</c:v>
                </c:pt>
                <c:pt idx="215">
                  <c:v>0.41773015000000058</c:v>
                </c:pt>
                <c:pt idx="216">
                  <c:v>2.8629176300000005</c:v>
                </c:pt>
                <c:pt idx="217">
                  <c:v>3.3917045699999999</c:v>
                </c:pt>
                <c:pt idx="218">
                  <c:v>2.0810888599999999</c:v>
                </c:pt>
                <c:pt idx="219">
                  <c:v>0.5195488199999998</c:v>
                </c:pt>
                <c:pt idx="220">
                  <c:v>-1.3455759299999999</c:v>
                </c:pt>
                <c:pt idx="221">
                  <c:v>1.5497142300000002</c:v>
                </c:pt>
                <c:pt idx="222">
                  <c:v>1.2163038500000001</c:v>
                </c:pt>
                <c:pt idx="223">
                  <c:v>1.34526258</c:v>
                </c:pt>
                <c:pt idx="224">
                  <c:v>1.3212377599999998</c:v>
                </c:pt>
                <c:pt idx="225">
                  <c:v>0.85337347999999968</c:v>
                </c:pt>
                <c:pt idx="226">
                  <c:v>8.0284200000000361E-3</c:v>
                </c:pt>
                <c:pt idx="227">
                  <c:v>0.70476651999999973</c:v>
                </c:pt>
                <c:pt idx="228">
                  <c:v>-2.9162620000000139E-2</c:v>
                </c:pt>
                <c:pt idx="229">
                  <c:v>-0.69627740000000005</c:v>
                </c:pt>
                <c:pt idx="230">
                  <c:v>-0.44744735000000002</c:v>
                </c:pt>
                <c:pt idx="231">
                  <c:v>0.57613732999999989</c:v>
                </c:pt>
                <c:pt idx="232">
                  <c:v>0.41211636000000018</c:v>
                </c:pt>
                <c:pt idx="233">
                  <c:v>0.44313817000000011</c:v>
                </c:pt>
                <c:pt idx="234">
                  <c:v>0.26918682000000027</c:v>
                </c:pt>
                <c:pt idx="235">
                  <c:v>-0.93440119999999993</c:v>
                </c:pt>
                <c:pt idx="236">
                  <c:v>-3.2325153900000001</c:v>
                </c:pt>
                <c:pt idx="237">
                  <c:v>-2.7754258500000004</c:v>
                </c:pt>
                <c:pt idx="238">
                  <c:v>-5.0660442200000002</c:v>
                </c:pt>
                <c:pt idx="239">
                  <c:v>-4.9123289000000003</c:v>
                </c:pt>
                <c:pt idx="240">
                  <c:v>-4.3418605700000006</c:v>
                </c:pt>
                <c:pt idx="241">
                  <c:v>-6.1074648700000012</c:v>
                </c:pt>
                <c:pt idx="242">
                  <c:v>-4.9096390200000002</c:v>
                </c:pt>
                <c:pt idx="243">
                  <c:v>-3.5359568399999999</c:v>
                </c:pt>
                <c:pt idx="244">
                  <c:v>-4.2203626600000002</c:v>
                </c:pt>
                <c:pt idx="245">
                  <c:v>-5.4897060399999997</c:v>
                </c:pt>
                <c:pt idx="246">
                  <c:v>-5.3518218599999994</c:v>
                </c:pt>
                <c:pt idx="247">
                  <c:v>-4.1814264100000003</c:v>
                </c:pt>
                <c:pt idx="248">
                  <c:v>-3.8003079700000004</c:v>
                </c:pt>
                <c:pt idx="249">
                  <c:v>-4.6811574499999988</c:v>
                </c:pt>
                <c:pt idx="250">
                  <c:v>-3.9225752500000004</c:v>
                </c:pt>
                <c:pt idx="251">
                  <c:v>-3.4778096399999994</c:v>
                </c:pt>
                <c:pt idx="252">
                  <c:v>-5.4981512499999994</c:v>
                </c:pt>
                <c:pt idx="253">
                  <c:v>-5.0200118800000002</c:v>
                </c:pt>
                <c:pt idx="254">
                  <c:v>-4.3027431099999998</c:v>
                </c:pt>
                <c:pt idx="255">
                  <c:v>-6.1640881900000011</c:v>
                </c:pt>
                <c:pt idx="256">
                  <c:v>-7.7841195900000004</c:v>
                </c:pt>
                <c:pt idx="257">
                  <c:v>-10.154629829999999</c:v>
                </c:pt>
                <c:pt idx="258">
                  <c:v>-9.50582511</c:v>
                </c:pt>
                <c:pt idx="259">
                  <c:v>-10.02656101</c:v>
                </c:pt>
                <c:pt idx="260">
                  <c:v>-8.4957163999999992</c:v>
                </c:pt>
                <c:pt idx="261">
                  <c:v>-9.6741481100000009</c:v>
                </c:pt>
                <c:pt idx="262">
                  <c:v>-10.590022039999999</c:v>
                </c:pt>
                <c:pt idx="263">
                  <c:v>-9.5230880399999993</c:v>
                </c:pt>
                <c:pt idx="264">
                  <c:v>-10.26854807</c:v>
                </c:pt>
                <c:pt idx="265">
                  <c:v>-8.2257783299999989</c:v>
                </c:pt>
                <c:pt idx="266">
                  <c:v>-9.7370922000000011</c:v>
                </c:pt>
                <c:pt idx="267">
                  <c:v>-8.06637439</c:v>
                </c:pt>
                <c:pt idx="268">
                  <c:v>-7.3046530999999995</c:v>
                </c:pt>
                <c:pt idx="269">
                  <c:v>-7.9449016000000006</c:v>
                </c:pt>
                <c:pt idx="270">
                  <c:v>-6.2563171900000007</c:v>
                </c:pt>
                <c:pt idx="271">
                  <c:v>-9.144865170000001</c:v>
                </c:pt>
                <c:pt idx="272">
                  <c:v>-8.9685760800000001</c:v>
                </c:pt>
                <c:pt idx="273">
                  <c:v>-11.18005206</c:v>
                </c:pt>
                <c:pt idx="274">
                  <c:v>-10.255649099999999</c:v>
                </c:pt>
                <c:pt idx="275">
                  <c:v>-10.991918219999999</c:v>
                </c:pt>
                <c:pt idx="276">
                  <c:v>-11.056339530000001</c:v>
                </c:pt>
                <c:pt idx="277">
                  <c:v>-10.63050423</c:v>
                </c:pt>
                <c:pt idx="278">
                  <c:v>-9.3522209099999998</c:v>
                </c:pt>
                <c:pt idx="279">
                  <c:v>-8.5757233900000003</c:v>
                </c:pt>
                <c:pt idx="280">
                  <c:v>-8.8108019099999986</c:v>
                </c:pt>
                <c:pt idx="281">
                  <c:v>-3.8963118300000001</c:v>
                </c:pt>
                <c:pt idx="282">
                  <c:v>-4.2107672899999997</c:v>
                </c:pt>
                <c:pt idx="283">
                  <c:v>-4.6479182100000003</c:v>
                </c:pt>
                <c:pt idx="284">
                  <c:v>-5.91009238</c:v>
                </c:pt>
                <c:pt idx="285">
                  <c:v>-4.8806459899999997</c:v>
                </c:pt>
                <c:pt idx="286">
                  <c:v>-6.7467487999999998</c:v>
                </c:pt>
                <c:pt idx="287">
                  <c:v>-6.8267585199999994</c:v>
                </c:pt>
                <c:pt idx="288">
                  <c:v>-7.0315279399999993</c:v>
                </c:pt>
                <c:pt idx="289">
                  <c:v>-7.4323123300000002</c:v>
                </c:pt>
                <c:pt idx="290">
                  <c:v>-5.8108712100000002</c:v>
                </c:pt>
                <c:pt idx="291">
                  <c:v>-6.1268803199999997</c:v>
                </c:pt>
                <c:pt idx="292">
                  <c:v>-6.28650251</c:v>
                </c:pt>
                <c:pt idx="293">
                  <c:v>-8.6737289000000004</c:v>
                </c:pt>
                <c:pt idx="294">
                  <c:v>-9.98507605</c:v>
                </c:pt>
                <c:pt idx="295">
                  <c:v>-10.46960477</c:v>
                </c:pt>
                <c:pt idx="296">
                  <c:v>-12.417412559999999</c:v>
                </c:pt>
                <c:pt idx="297">
                  <c:v>-10.176812</c:v>
                </c:pt>
                <c:pt idx="298">
                  <c:v>-11.68396796</c:v>
                </c:pt>
                <c:pt idx="299">
                  <c:v>-13.451245149999998</c:v>
                </c:pt>
                <c:pt idx="300">
                  <c:v>-15.654758029999998</c:v>
                </c:pt>
                <c:pt idx="301">
                  <c:v>-12.392249880000001</c:v>
                </c:pt>
                <c:pt idx="302">
                  <c:v>-11.569458820000001</c:v>
                </c:pt>
                <c:pt idx="303">
                  <c:v>-11.26831288</c:v>
                </c:pt>
                <c:pt idx="304">
                  <c:v>-11.699150690000002</c:v>
                </c:pt>
                <c:pt idx="305">
                  <c:v>-12.70208008</c:v>
                </c:pt>
                <c:pt idx="306">
                  <c:v>-11.590030439999998</c:v>
                </c:pt>
                <c:pt idx="307">
                  <c:v>-11.317460539999999</c:v>
                </c:pt>
                <c:pt idx="308">
                  <c:v>-11.824268010000003</c:v>
                </c:pt>
                <c:pt idx="309">
                  <c:v>-12.12317062</c:v>
                </c:pt>
                <c:pt idx="310">
                  <c:v>-11.785454380000001</c:v>
                </c:pt>
                <c:pt idx="311">
                  <c:v>-12.129465380000001</c:v>
                </c:pt>
                <c:pt idx="312">
                  <c:v>-10.89652774</c:v>
                </c:pt>
                <c:pt idx="313">
                  <c:v>-9.139837309999999</c:v>
                </c:pt>
                <c:pt idx="314">
                  <c:v>-10.352621110000001</c:v>
                </c:pt>
                <c:pt idx="315">
                  <c:v>-10.990313919999998</c:v>
                </c:pt>
                <c:pt idx="316">
                  <c:v>-10.858535930000002</c:v>
                </c:pt>
                <c:pt idx="317">
                  <c:v>-10.033856840000002</c:v>
                </c:pt>
                <c:pt idx="318">
                  <c:v>-7.39143492</c:v>
                </c:pt>
                <c:pt idx="319">
                  <c:v>-7.4158641000000003</c:v>
                </c:pt>
                <c:pt idx="320">
                  <c:v>-8.3566036100000005</c:v>
                </c:pt>
                <c:pt idx="321">
                  <c:v>-9.2275701699999999</c:v>
                </c:pt>
                <c:pt idx="322">
                  <c:v>-8.1494876199999986</c:v>
                </c:pt>
                <c:pt idx="323">
                  <c:v>-10.18903989</c:v>
                </c:pt>
                <c:pt idx="324">
                  <c:v>-9.6343255900000013</c:v>
                </c:pt>
                <c:pt idx="325">
                  <c:v>-11.133439469999999</c:v>
                </c:pt>
                <c:pt idx="326">
                  <c:v>-11.740499740000001</c:v>
                </c:pt>
                <c:pt idx="327">
                  <c:v>-9.8464608500000015</c:v>
                </c:pt>
                <c:pt idx="328">
                  <c:v>-9.5680486400000007</c:v>
                </c:pt>
                <c:pt idx="329">
                  <c:v>-9.1060849499999996</c:v>
                </c:pt>
                <c:pt idx="330">
                  <c:v>-12.233832059999999</c:v>
                </c:pt>
                <c:pt idx="331">
                  <c:v>-11.078776639999997</c:v>
                </c:pt>
                <c:pt idx="332">
                  <c:v>-10.8946024</c:v>
                </c:pt>
                <c:pt idx="333">
                  <c:v>-11.82730973</c:v>
                </c:pt>
                <c:pt idx="334">
                  <c:v>-12.233832059999999</c:v>
                </c:pt>
                <c:pt idx="335">
                  <c:v>-11.078776639999997</c:v>
                </c:pt>
                <c:pt idx="336">
                  <c:v>-10.8946024</c:v>
                </c:pt>
                <c:pt idx="337">
                  <c:v>-11.82730973</c:v>
                </c:pt>
              </c:numCache>
            </c:numRef>
          </c:val>
          <c:smooth val="0"/>
          <c:extLst>
            <c:ext xmlns:c16="http://schemas.microsoft.com/office/drawing/2014/chart" uri="{C3380CC4-5D6E-409C-BE32-E72D297353CC}">
              <c16:uniqueId val="{00000000-2537-487F-A5F0-8CE4AB81382B}"/>
            </c:ext>
          </c:extLst>
        </c:ser>
        <c:dLbls>
          <c:showLegendKey val="0"/>
          <c:showVal val="0"/>
          <c:showCatName val="0"/>
          <c:showSerName val="0"/>
          <c:showPercent val="0"/>
          <c:showBubbleSize val="0"/>
        </c:dLbls>
        <c:smooth val="0"/>
        <c:axId val="596234416"/>
        <c:axId val="1292859792"/>
      </c:lineChart>
      <c:catAx>
        <c:axId val="596234416"/>
        <c:scaling>
          <c:orientation val="minMax"/>
        </c:scaling>
        <c:delete val="0"/>
        <c:axPos val="b"/>
        <c:numFmt formatCode="dd-mmm-yy"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292859792"/>
        <c:crosses val="autoZero"/>
        <c:auto val="1"/>
        <c:lblAlgn val="ctr"/>
        <c:lblOffset val="100"/>
        <c:noMultiLvlLbl val="0"/>
      </c:catAx>
      <c:valAx>
        <c:axId val="1292859792"/>
        <c:scaling>
          <c:orientation val="minMax"/>
        </c:scaling>
        <c:delete val="0"/>
        <c:axPos val="l"/>
        <c:majorGridlines>
          <c:spPr>
            <a:ln w="9525" cap="flat" cmpd="sng" algn="ctr">
              <a:solidFill>
                <a:schemeClr val="tx2">
                  <a:lumMod val="15000"/>
                  <a:lumOff val="85000"/>
                </a:schemeClr>
              </a:solidFill>
              <a:round/>
            </a:ln>
            <a:effectLst/>
          </c:spPr>
        </c:majorGridlines>
        <c:minorGridlines>
          <c:spPr>
            <a:ln>
              <a:solidFill>
                <a:schemeClr val="tx2">
                  <a:lumMod val="5000"/>
                  <a:lumOff val="95000"/>
                </a:schemeClr>
              </a:solidFill>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596234416"/>
        <c:crosses val="autoZero"/>
        <c:crossBetween val="between"/>
      </c:valAx>
      <c:spPr>
        <a:noFill/>
        <a:ln>
          <a:noFill/>
        </a:ln>
        <a:effectLst/>
      </c:spPr>
    </c:plotArea>
    <c:plotVisOnly val="1"/>
    <c:dispBlanksAs val="zero"/>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Pricing</a:t>
            </a:r>
            <a:r>
              <a:rPr lang="en-US" baseline="0"/>
              <a:t> of GDAX Relative to BitStamp</a:t>
            </a:r>
            <a:br>
              <a:rPr lang="en-US" baseline="0"/>
            </a:br>
            <a:r>
              <a:rPr lang="en-US" sz="1100" i="1" baseline="0"/>
              <a:t>(deviation % from parity)</a:t>
            </a:r>
            <a:endParaRPr lang="en-US" i="1"/>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lineChart>
        <c:grouping val="stacked"/>
        <c:varyColors val="0"/>
        <c:ser>
          <c:idx val="0"/>
          <c:order val="0"/>
          <c:spPr>
            <a:ln w="31750" cap="rnd">
              <a:solidFill>
                <a:schemeClr val="accent1"/>
              </a:solidFill>
              <a:round/>
            </a:ln>
            <a:effectLst/>
          </c:spPr>
          <c:marker>
            <c:symbol val="none"/>
          </c:marker>
          <c:cat>
            <c:numRef>
              <c:f>'Sheet2 (2)'!$F$2:$F$360</c:f>
              <c:numCache>
                <c:formatCode>dd-mmm-yy</c:formatCode>
                <c:ptCount val="359"/>
                <c:pt idx="0">
                  <c:v>42659</c:v>
                </c:pt>
                <c:pt idx="1">
                  <c:v>42660</c:v>
                </c:pt>
                <c:pt idx="2">
                  <c:v>42661</c:v>
                </c:pt>
                <c:pt idx="3">
                  <c:v>42662</c:v>
                </c:pt>
                <c:pt idx="4">
                  <c:v>42663</c:v>
                </c:pt>
                <c:pt idx="5">
                  <c:v>42664</c:v>
                </c:pt>
                <c:pt idx="6">
                  <c:v>42665</c:v>
                </c:pt>
                <c:pt idx="7">
                  <c:v>42666</c:v>
                </c:pt>
                <c:pt idx="8">
                  <c:v>42667</c:v>
                </c:pt>
                <c:pt idx="9">
                  <c:v>42668</c:v>
                </c:pt>
                <c:pt idx="10">
                  <c:v>42669</c:v>
                </c:pt>
                <c:pt idx="11">
                  <c:v>42670</c:v>
                </c:pt>
                <c:pt idx="12">
                  <c:v>42671</c:v>
                </c:pt>
                <c:pt idx="13">
                  <c:v>42672</c:v>
                </c:pt>
                <c:pt idx="14">
                  <c:v>42669</c:v>
                </c:pt>
                <c:pt idx="15">
                  <c:v>42670</c:v>
                </c:pt>
                <c:pt idx="16">
                  <c:v>42671</c:v>
                </c:pt>
                <c:pt idx="17">
                  <c:v>42672</c:v>
                </c:pt>
                <c:pt idx="18">
                  <c:v>42673</c:v>
                </c:pt>
                <c:pt idx="19">
                  <c:v>42674</c:v>
                </c:pt>
                <c:pt idx="20">
                  <c:v>42675</c:v>
                </c:pt>
                <c:pt idx="21">
                  <c:v>42676</c:v>
                </c:pt>
                <c:pt idx="22">
                  <c:v>42677</c:v>
                </c:pt>
                <c:pt idx="23">
                  <c:v>42678</c:v>
                </c:pt>
                <c:pt idx="24">
                  <c:v>42679</c:v>
                </c:pt>
                <c:pt idx="25">
                  <c:v>42680</c:v>
                </c:pt>
                <c:pt idx="26">
                  <c:v>42681</c:v>
                </c:pt>
                <c:pt idx="27">
                  <c:v>42682</c:v>
                </c:pt>
                <c:pt idx="28">
                  <c:v>42683</c:v>
                </c:pt>
                <c:pt idx="29">
                  <c:v>42684</c:v>
                </c:pt>
                <c:pt idx="30">
                  <c:v>42685</c:v>
                </c:pt>
                <c:pt idx="31">
                  <c:v>42686</c:v>
                </c:pt>
                <c:pt idx="32">
                  <c:v>42687</c:v>
                </c:pt>
                <c:pt idx="33">
                  <c:v>42688</c:v>
                </c:pt>
                <c:pt idx="34">
                  <c:v>42689</c:v>
                </c:pt>
                <c:pt idx="35">
                  <c:v>42690</c:v>
                </c:pt>
                <c:pt idx="36">
                  <c:v>42691</c:v>
                </c:pt>
                <c:pt idx="37">
                  <c:v>42692</c:v>
                </c:pt>
                <c:pt idx="38">
                  <c:v>42693</c:v>
                </c:pt>
                <c:pt idx="39">
                  <c:v>42694</c:v>
                </c:pt>
                <c:pt idx="40">
                  <c:v>42695</c:v>
                </c:pt>
                <c:pt idx="41">
                  <c:v>42696</c:v>
                </c:pt>
                <c:pt idx="42">
                  <c:v>42697</c:v>
                </c:pt>
                <c:pt idx="43">
                  <c:v>42698</c:v>
                </c:pt>
                <c:pt idx="44">
                  <c:v>42699</c:v>
                </c:pt>
                <c:pt idx="45">
                  <c:v>42700</c:v>
                </c:pt>
                <c:pt idx="46">
                  <c:v>42701</c:v>
                </c:pt>
                <c:pt idx="47">
                  <c:v>42702</c:v>
                </c:pt>
                <c:pt idx="48">
                  <c:v>42703</c:v>
                </c:pt>
                <c:pt idx="49">
                  <c:v>42704</c:v>
                </c:pt>
                <c:pt idx="50">
                  <c:v>42705</c:v>
                </c:pt>
                <c:pt idx="51">
                  <c:v>42706</c:v>
                </c:pt>
                <c:pt idx="52">
                  <c:v>42707</c:v>
                </c:pt>
                <c:pt idx="53">
                  <c:v>42708</c:v>
                </c:pt>
                <c:pt idx="54">
                  <c:v>42709</c:v>
                </c:pt>
                <c:pt idx="55">
                  <c:v>42710</c:v>
                </c:pt>
                <c:pt idx="56">
                  <c:v>42711</c:v>
                </c:pt>
                <c:pt idx="57">
                  <c:v>42712</c:v>
                </c:pt>
                <c:pt idx="58">
                  <c:v>42713</c:v>
                </c:pt>
                <c:pt idx="59">
                  <c:v>42714</c:v>
                </c:pt>
                <c:pt idx="60">
                  <c:v>42715</c:v>
                </c:pt>
                <c:pt idx="61">
                  <c:v>42716</c:v>
                </c:pt>
                <c:pt idx="62">
                  <c:v>42717</c:v>
                </c:pt>
                <c:pt idx="63">
                  <c:v>42718</c:v>
                </c:pt>
                <c:pt idx="64">
                  <c:v>42719</c:v>
                </c:pt>
                <c:pt idx="65">
                  <c:v>42720</c:v>
                </c:pt>
                <c:pt idx="66">
                  <c:v>42721</c:v>
                </c:pt>
                <c:pt idx="67">
                  <c:v>42722</c:v>
                </c:pt>
                <c:pt idx="68">
                  <c:v>42723</c:v>
                </c:pt>
                <c:pt idx="69">
                  <c:v>42724</c:v>
                </c:pt>
                <c:pt idx="70">
                  <c:v>42725</c:v>
                </c:pt>
                <c:pt idx="71">
                  <c:v>42726</c:v>
                </c:pt>
                <c:pt idx="72">
                  <c:v>42727</c:v>
                </c:pt>
                <c:pt idx="73">
                  <c:v>42728</c:v>
                </c:pt>
                <c:pt idx="74">
                  <c:v>42729</c:v>
                </c:pt>
                <c:pt idx="75">
                  <c:v>42730</c:v>
                </c:pt>
                <c:pt idx="76">
                  <c:v>42731</c:v>
                </c:pt>
                <c:pt idx="77">
                  <c:v>42732</c:v>
                </c:pt>
                <c:pt idx="78">
                  <c:v>42733</c:v>
                </c:pt>
                <c:pt idx="79">
                  <c:v>42734</c:v>
                </c:pt>
                <c:pt idx="80">
                  <c:v>42735</c:v>
                </c:pt>
                <c:pt idx="81">
                  <c:v>42736</c:v>
                </c:pt>
                <c:pt idx="82">
                  <c:v>42737</c:v>
                </c:pt>
                <c:pt idx="83">
                  <c:v>42738</c:v>
                </c:pt>
                <c:pt idx="84">
                  <c:v>42739</c:v>
                </c:pt>
                <c:pt idx="85">
                  <c:v>42740</c:v>
                </c:pt>
                <c:pt idx="86">
                  <c:v>42741</c:v>
                </c:pt>
                <c:pt idx="87">
                  <c:v>42742</c:v>
                </c:pt>
                <c:pt idx="88">
                  <c:v>42743</c:v>
                </c:pt>
                <c:pt idx="89">
                  <c:v>42744</c:v>
                </c:pt>
                <c:pt idx="90">
                  <c:v>42745</c:v>
                </c:pt>
                <c:pt idx="91">
                  <c:v>42746</c:v>
                </c:pt>
                <c:pt idx="92">
                  <c:v>42747</c:v>
                </c:pt>
                <c:pt idx="93">
                  <c:v>42748</c:v>
                </c:pt>
                <c:pt idx="94">
                  <c:v>42749</c:v>
                </c:pt>
                <c:pt idx="95">
                  <c:v>42750</c:v>
                </c:pt>
                <c:pt idx="96">
                  <c:v>42751</c:v>
                </c:pt>
                <c:pt idx="97">
                  <c:v>42752</c:v>
                </c:pt>
                <c:pt idx="98">
                  <c:v>42753</c:v>
                </c:pt>
                <c:pt idx="99">
                  <c:v>42754</c:v>
                </c:pt>
                <c:pt idx="100">
                  <c:v>42755</c:v>
                </c:pt>
                <c:pt idx="101">
                  <c:v>42756</c:v>
                </c:pt>
                <c:pt idx="102">
                  <c:v>42757</c:v>
                </c:pt>
                <c:pt idx="103">
                  <c:v>42758</c:v>
                </c:pt>
                <c:pt idx="104">
                  <c:v>42759</c:v>
                </c:pt>
                <c:pt idx="105">
                  <c:v>42760</c:v>
                </c:pt>
                <c:pt idx="106">
                  <c:v>42761</c:v>
                </c:pt>
                <c:pt idx="107">
                  <c:v>42762</c:v>
                </c:pt>
                <c:pt idx="108">
                  <c:v>42763</c:v>
                </c:pt>
                <c:pt idx="109">
                  <c:v>42764</c:v>
                </c:pt>
                <c:pt idx="110">
                  <c:v>42765</c:v>
                </c:pt>
                <c:pt idx="111">
                  <c:v>42766</c:v>
                </c:pt>
                <c:pt idx="112">
                  <c:v>42767</c:v>
                </c:pt>
                <c:pt idx="113">
                  <c:v>42768</c:v>
                </c:pt>
                <c:pt idx="114">
                  <c:v>42769</c:v>
                </c:pt>
                <c:pt idx="115">
                  <c:v>42770</c:v>
                </c:pt>
                <c:pt idx="116">
                  <c:v>42771</c:v>
                </c:pt>
                <c:pt idx="117">
                  <c:v>42772</c:v>
                </c:pt>
                <c:pt idx="118">
                  <c:v>42773</c:v>
                </c:pt>
                <c:pt idx="119">
                  <c:v>42774</c:v>
                </c:pt>
                <c:pt idx="120">
                  <c:v>42775</c:v>
                </c:pt>
                <c:pt idx="121">
                  <c:v>42776</c:v>
                </c:pt>
                <c:pt idx="122">
                  <c:v>42777</c:v>
                </c:pt>
                <c:pt idx="123">
                  <c:v>42778</c:v>
                </c:pt>
                <c:pt idx="124">
                  <c:v>42779</c:v>
                </c:pt>
                <c:pt idx="125">
                  <c:v>42780</c:v>
                </c:pt>
                <c:pt idx="126">
                  <c:v>42781</c:v>
                </c:pt>
                <c:pt idx="127">
                  <c:v>42782</c:v>
                </c:pt>
                <c:pt idx="128">
                  <c:v>42783</c:v>
                </c:pt>
                <c:pt idx="129">
                  <c:v>42784</c:v>
                </c:pt>
                <c:pt idx="130">
                  <c:v>42785</c:v>
                </c:pt>
                <c:pt idx="131">
                  <c:v>42786</c:v>
                </c:pt>
                <c:pt idx="132">
                  <c:v>42787</c:v>
                </c:pt>
                <c:pt idx="133">
                  <c:v>42788</c:v>
                </c:pt>
                <c:pt idx="134">
                  <c:v>42789</c:v>
                </c:pt>
                <c:pt idx="135">
                  <c:v>42790</c:v>
                </c:pt>
                <c:pt idx="136">
                  <c:v>42791</c:v>
                </c:pt>
                <c:pt idx="137">
                  <c:v>42792</c:v>
                </c:pt>
                <c:pt idx="138">
                  <c:v>42793</c:v>
                </c:pt>
                <c:pt idx="139">
                  <c:v>42794</c:v>
                </c:pt>
                <c:pt idx="140">
                  <c:v>42795</c:v>
                </c:pt>
                <c:pt idx="141">
                  <c:v>42796</c:v>
                </c:pt>
                <c:pt idx="142">
                  <c:v>42797</c:v>
                </c:pt>
                <c:pt idx="143">
                  <c:v>42798</c:v>
                </c:pt>
                <c:pt idx="144">
                  <c:v>42799</c:v>
                </c:pt>
                <c:pt idx="145">
                  <c:v>42800</c:v>
                </c:pt>
                <c:pt idx="146">
                  <c:v>42801</c:v>
                </c:pt>
                <c:pt idx="147">
                  <c:v>42802</c:v>
                </c:pt>
                <c:pt idx="148">
                  <c:v>42803</c:v>
                </c:pt>
                <c:pt idx="149">
                  <c:v>42804</c:v>
                </c:pt>
                <c:pt idx="150">
                  <c:v>42805</c:v>
                </c:pt>
                <c:pt idx="151">
                  <c:v>42806</c:v>
                </c:pt>
                <c:pt idx="152">
                  <c:v>42807</c:v>
                </c:pt>
                <c:pt idx="153">
                  <c:v>42808</c:v>
                </c:pt>
                <c:pt idx="154">
                  <c:v>42809</c:v>
                </c:pt>
                <c:pt idx="155">
                  <c:v>42810</c:v>
                </c:pt>
                <c:pt idx="156">
                  <c:v>42811</c:v>
                </c:pt>
                <c:pt idx="157">
                  <c:v>42812</c:v>
                </c:pt>
                <c:pt idx="158">
                  <c:v>42813</c:v>
                </c:pt>
                <c:pt idx="159">
                  <c:v>42814</c:v>
                </c:pt>
                <c:pt idx="160">
                  <c:v>42815</c:v>
                </c:pt>
                <c:pt idx="161">
                  <c:v>42816</c:v>
                </c:pt>
                <c:pt idx="162">
                  <c:v>42817</c:v>
                </c:pt>
                <c:pt idx="163">
                  <c:v>42818</c:v>
                </c:pt>
                <c:pt idx="164">
                  <c:v>42819</c:v>
                </c:pt>
                <c:pt idx="165">
                  <c:v>42820</c:v>
                </c:pt>
                <c:pt idx="166">
                  <c:v>42821</c:v>
                </c:pt>
                <c:pt idx="167">
                  <c:v>42822</c:v>
                </c:pt>
                <c:pt idx="168">
                  <c:v>42823</c:v>
                </c:pt>
                <c:pt idx="169">
                  <c:v>42824</c:v>
                </c:pt>
                <c:pt idx="170">
                  <c:v>42825</c:v>
                </c:pt>
                <c:pt idx="171">
                  <c:v>42826</c:v>
                </c:pt>
                <c:pt idx="172">
                  <c:v>42827</c:v>
                </c:pt>
                <c:pt idx="173">
                  <c:v>42828</c:v>
                </c:pt>
                <c:pt idx="174">
                  <c:v>42829</c:v>
                </c:pt>
                <c:pt idx="175">
                  <c:v>42830</c:v>
                </c:pt>
                <c:pt idx="176">
                  <c:v>42831</c:v>
                </c:pt>
                <c:pt idx="177">
                  <c:v>42832</c:v>
                </c:pt>
                <c:pt idx="178">
                  <c:v>42833</c:v>
                </c:pt>
                <c:pt idx="179">
                  <c:v>42834</c:v>
                </c:pt>
                <c:pt idx="180">
                  <c:v>42835</c:v>
                </c:pt>
                <c:pt idx="181">
                  <c:v>42836</c:v>
                </c:pt>
                <c:pt idx="182">
                  <c:v>42837</c:v>
                </c:pt>
                <c:pt idx="183">
                  <c:v>42838</c:v>
                </c:pt>
                <c:pt idx="184">
                  <c:v>42839</c:v>
                </c:pt>
                <c:pt idx="185">
                  <c:v>42840</c:v>
                </c:pt>
                <c:pt idx="186">
                  <c:v>42841</c:v>
                </c:pt>
                <c:pt idx="187">
                  <c:v>42842</c:v>
                </c:pt>
                <c:pt idx="188">
                  <c:v>42843</c:v>
                </c:pt>
                <c:pt idx="189">
                  <c:v>42844</c:v>
                </c:pt>
                <c:pt idx="190">
                  <c:v>42845</c:v>
                </c:pt>
                <c:pt idx="191">
                  <c:v>42846</c:v>
                </c:pt>
                <c:pt idx="192">
                  <c:v>42847</c:v>
                </c:pt>
                <c:pt idx="193">
                  <c:v>42848</c:v>
                </c:pt>
                <c:pt idx="194">
                  <c:v>42849</c:v>
                </c:pt>
                <c:pt idx="195">
                  <c:v>42850</c:v>
                </c:pt>
                <c:pt idx="196">
                  <c:v>42851</c:v>
                </c:pt>
                <c:pt idx="197">
                  <c:v>42852</c:v>
                </c:pt>
                <c:pt idx="198">
                  <c:v>42853</c:v>
                </c:pt>
                <c:pt idx="199">
                  <c:v>42854</c:v>
                </c:pt>
                <c:pt idx="200">
                  <c:v>42855</c:v>
                </c:pt>
                <c:pt idx="201">
                  <c:v>42856</c:v>
                </c:pt>
                <c:pt idx="202">
                  <c:v>42857</c:v>
                </c:pt>
                <c:pt idx="203">
                  <c:v>42858</c:v>
                </c:pt>
                <c:pt idx="204">
                  <c:v>42859</c:v>
                </c:pt>
                <c:pt idx="205">
                  <c:v>42860</c:v>
                </c:pt>
                <c:pt idx="206">
                  <c:v>42861</c:v>
                </c:pt>
                <c:pt idx="207">
                  <c:v>42862</c:v>
                </c:pt>
                <c:pt idx="208">
                  <c:v>42863</c:v>
                </c:pt>
                <c:pt idx="209">
                  <c:v>42864</c:v>
                </c:pt>
                <c:pt idx="210">
                  <c:v>42865</c:v>
                </c:pt>
                <c:pt idx="211">
                  <c:v>42866</c:v>
                </c:pt>
                <c:pt idx="212">
                  <c:v>42867</c:v>
                </c:pt>
                <c:pt idx="213">
                  <c:v>42868</c:v>
                </c:pt>
                <c:pt idx="214">
                  <c:v>42869</c:v>
                </c:pt>
                <c:pt idx="215">
                  <c:v>42870</c:v>
                </c:pt>
                <c:pt idx="216">
                  <c:v>42871</c:v>
                </c:pt>
                <c:pt idx="217">
                  <c:v>42872</c:v>
                </c:pt>
                <c:pt idx="218">
                  <c:v>42873</c:v>
                </c:pt>
                <c:pt idx="219">
                  <c:v>42874</c:v>
                </c:pt>
                <c:pt idx="220">
                  <c:v>42875</c:v>
                </c:pt>
                <c:pt idx="221">
                  <c:v>42876</c:v>
                </c:pt>
                <c:pt idx="222">
                  <c:v>42877</c:v>
                </c:pt>
                <c:pt idx="223">
                  <c:v>42878</c:v>
                </c:pt>
                <c:pt idx="224">
                  <c:v>42879</c:v>
                </c:pt>
                <c:pt idx="225">
                  <c:v>42880</c:v>
                </c:pt>
                <c:pt idx="226">
                  <c:v>42881</c:v>
                </c:pt>
                <c:pt idx="227">
                  <c:v>42882</c:v>
                </c:pt>
                <c:pt idx="228">
                  <c:v>42883</c:v>
                </c:pt>
                <c:pt idx="229">
                  <c:v>42884</c:v>
                </c:pt>
                <c:pt idx="230">
                  <c:v>42885</c:v>
                </c:pt>
                <c:pt idx="231">
                  <c:v>42886</c:v>
                </c:pt>
                <c:pt idx="232">
                  <c:v>42887</c:v>
                </c:pt>
                <c:pt idx="233">
                  <c:v>42888</c:v>
                </c:pt>
                <c:pt idx="234">
                  <c:v>42889</c:v>
                </c:pt>
                <c:pt idx="235">
                  <c:v>42890</c:v>
                </c:pt>
                <c:pt idx="236">
                  <c:v>42891</c:v>
                </c:pt>
                <c:pt idx="237">
                  <c:v>42892</c:v>
                </c:pt>
                <c:pt idx="238">
                  <c:v>42893</c:v>
                </c:pt>
                <c:pt idx="239">
                  <c:v>42894</c:v>
                </c:pt>
                <c:pt idx="240">
                  <c:v>42895</c:v>
                </c:pt>
                <c:pt idx="241">
                  <c:v>42896</c:v>
                </c:pt>
                <c:pt idx="242">
                  <c:v>42897</c:v>
                </c:pt>
                <c:pt idx="243">
                  <c:v>42898</c:v>
                </c:pt>
                <c:pt idx="244">
                  <c:v>42899</c:v>
                </c:pt>
                <c:pt idx="245">
                  <c:v>42900</c:v>
                </c:pt>
                <c:pt idx="246">
                  <c:v>42901</c:v>
                </c:pt>
                <c:pt idx="247">
                  <c:v>42902</c:v>
                </c:pt>
                <c:pt idx="248">
                  <c:v>42903</c:v>
                </c:pt>
                <c:pt idx="249">
                  <c:v>42904</c:v>
                </c:pt>
                <c:pt idx="250">
                  <c:v>42905</c:v>
                </c:pt>
                <c:pt idx="251">
                  <c:v>42906</c:v>
                </c:pt>
                <c:pt idx="252">
                  <c:v>42907</c:v>
                </c:pt>
                <c:pt idx="253">
                  <c:v>42908</c:v>
                </c:pt>
                <c:pt idx="254">
                  <c:v>42909</c:v>
                </c:pt>
                <c:pt idx="255">
                  <c:v>42910</c:v>
                </c:pt>
                <c:pt idx="256">
                  <c:v>42911</c:v>
                </c:pt>
                <c:pt idx="257">
                  <c:v>42912</c:v>
                </c:pt>
                <c:pt idx="258">
                  <c:v>42913</c:v>
                </c:pt>
                <c:pt idx="259">
                  <c:v>42914</c:v>
                </c:pt>
                <c:pt idx="260">
                  <c:v>42915</c:v>
                </c:pt>
                <c:pt idx="261">
                  <c:v>42916</c:v>
                </c:pt>
                <c:pt idx="262">
                  <c:v>42917</c:v>
                </c:pt>
                <c:pt idx="263">
                  <c:v>42918</c:v>
                </c:pt>
                <c:pt idx="264">
                  <c:v>42919</c:v>
                </c:pt>
                <c:pt idx="265">
                  <c:v>42920</c:v>
                </c:pt>
                <c:pt idx="266">
                  <c:v>42921</c:v>
                </c:pt>
                <c:pt idx="267">
                  <c:v>42922</c:v>
                </c:pt>
                <c:pt idx="268">
                  <c:v>42923</c:v>
                </c:pt>
                <c:pt idx="269">
                  <c:v>42924</c:v>
                </c:pt>
                <c:pt idx="270">
                  <c:v>42925</c:v>
                </c:pt>
                <c:pt idx="271">
                  <c:v>42926</c:v>
                </c:pt>
                <c:pt idx="272">
                  <c:v>42927</c:v>
                </c:pt>
                <c:pt idx="273">
                  <c:v>42928</c:v>
                </c:pt>
                <c:pt idx="274">
                  <c:v>42929</c:v>
                </c:pt>
                <c:pt idx="275">
                  <c:v>42930</c:v>
                </c:pt>
                <c:pt idx="276">
                  <c:v>42931</c:v>
                </c:pt>
                <c:pt idx="277">
                  <c:v>42932</c:v>
                </c:pt>
                <c:pt idx="278">
                  <c:v>42933</c:v>
                </c:pt>
                <c:pt idx="279">
                  <c:v>42934</c:v>
                </c:pt>
                <c:pt idx="280">
                  <c:v>42935</c:v>
                </c:pt>
                <c:pt idx="281">
                  <c:v>42936</c:v>
                </c:pt>
                <c:pt idx="282">
                  <c:v>42937</c:v>
                </c:pt>
                <c:pt idx="283">
                  <c:v>42938</c:v>
                </c:pt>
                <c:pt idx="284">
                  <c:v>42939</c:v>
                </c:pt>
                <c:pt idx="285">
                  <c:v>42940</c:v>
                </c:pt>
                <c:pt idx="286">
                  <c:v>42941</c:v>
                </c:pt>
                <c:pt idx="287">
                  <c:v>42942</c:v>
                </c:pt>
                <c:pt idx="288">
                  <c:v>42943</c:v>
                </c:pt>
                <c:pt idx="289">
                  <c:v>42944</c:v>
                </c:pt>
                <c:pt idx="290">
                  <c:v>42945</c:v>
                </c:pt>
                <c:pt idx="291">
                  <c:v>42946</c:v>
                </c:pt>
                <c:pt idx="292">
                  <c:v>42947</c:v>
                </c:pt>
                <c:pt idx="293">
                  <c:v>42948</c:v>
                </c:pt>
                <c:pt idx="294">
                  <c:v>42949</c:v>
                </c:pt>
                <c:pt idx="295">
                  <c:v>42950</c:v>
                </c:pt>
                <c:pt idx="296">
                  <c:v>42951</c:v>
                </c:pt>
                <c:pt idx="297">
                  <c:v>42952</c:v>
                </c:pt>
                <c:pt idx="298">
                  <c:v>42953</c:v>
                </c:pt>
                <c:pt idx="299">
                  <c:v>42954</c:v>
                </c:pt>
                <c:pt idx="300">
                  <c:v>42955</c:v>
                </c:pt>
                <c:pt idx="301">
                  <c:v>42956</c:v>
                </c:pt>
                <c:pt idx="302">
                  <c:v>42957</c:v>
                </c:pt>
                <c:pt idx="303">
                  <c:v>42958</c:v>
                </c:pt>
                <c:pt idx="304">
                  <c:v>42959</c:v>
                </c:pt>
                <c:pt idx="305">
                  <c:v>42960</c:v>
                </c:pt>
                <c:pt idx="306">
                  <c:v>42961</c:v>
                </c:pt>
                <c:pt idx="307">
                  <c:v>42962</c:v>
                </c:pt>
                <c:pt idx="308">
                  <c:v>42963</c:v>
                </c:pt>
                <c:pt idx="309">
                  <c:v>42964</c:v>
                </c:pt>
                <c:pt idx="310">
                  <c:v>42965</c:v>
                </c:pt>
                <c:pt idx="311">
                  <c:v>42966</c:v>
                </c:pt>
                <c:pt idx="312">
                  <c:v>42967</c:v>
                </c:pt>
                <c:pt idx="313">
                  <c:v>42968</c:v>
                </c:pt>
                <c:pt idx="314">
                  <c:v>42969</c:v>
                </c:pt>
                <c:pt idx="315">
                  <c:v>42970</c:v>
                </c:pt>
                <c:pt idx="316">
                  <c:v>42971</c:v>
                </c:pt>
                <c:pt idx="317">
                  <c:v>42972</c:v>
                </c:pt>
                <c:pt idx="318">
                  <c:v>42973</c:v>
                </c:pt>
                <c:pt idx="319">
                  <c:v>42974</c:v>
                </c:pt>
              </c:numCache>
            </c:numRef>
          </c:cat>
          <c:val>
            <c:numRef>
              <c:f>'Sheet2 (2)'!$E$2:$E$360</c:f>
              <c:numCache>
                <c:formatCode>General</c:formatCode>
                <c:ptCount val="359"/>
                <c:pt idx="0">
                  <c:v>-7.5103828000000004</c:v>
                </c:pt>
                <c:pt idx="1">
                  <c:v>-6.9246719999999993</c:v>
                </c:pt>
                <c:pt idx="2">
                  <c:v>-6.2184466</c:v>
                </c:pt>
                <c:pt idx="3">
                  <c:v>-4.3106175000000002</c:v>
                </c:pt>
                <c:pt idx="4">
                  <c:v>-7.2506781</c:v>
                </c:pt>
                <c:pt idx="5">
                  <c:v>-6.5649726999999993</c:v>
                </c:pt>
                <c:pt idx="6">
                  <c:v>-6.3593350000000006</c:v>
                </c:pt>
                <c:pt idx="7">
                  <c:v>-7.8298650000000007</c:v>
                </c:pt>
                <c:pt idx="8">
                  <c:v>-8.7889850000000003</c:v>
                </c:pt>
                <c:pt idx="9">
                  <c:v>-9.1150513000000011</c:v>
                </c:pt>
                <c:pt idx="10">
                  <c:v>-10.028338</c:v>
                </c:pt>
                <c:pt idx="11">
                  <c:v>-12.516771199999999</c:v>
                </c:pt>
                <c:pt idx="12">
                  <c:v>-10.295691100000001</c:v>
                </c:pt>
                <c:pt idx="13">
                  <c:v>-9.7127083999999986</c:v>
                </c:pt>
                <c:pt idx="14">
                  <c:v>-10.7199974</c:v>
                </c:pt>
                <c:pt idx="15">
                  <c:v>-11.7365371</c:v>
                </c:pt>
                <c:pt idx="16">
                  <c:v>-11.090352800000002</c:v>
                </c:pt>
                <c:pt idx="17">
                  <c:v>-13.3826315</c:v>
                </c:pt>
                <c:pt idx="18">
                  <c:v>-11.238479100000001</c:v>
                </c:pt>
                <c:pt idx="19">
                  <c:v>-8.696700400000001</c:v>
                </c:pt>
                <c:pt idx="20">
                  <c:v>-10.241896300000001</c:v>
                </c:pt>
                <c:pt idx="21">
                  <c:v>-11.2184819</c:v>
                </c:pt>
                <c:pt idx="22">
                  <c:v>-12.2887351</c:v>
                </c:pt>
                <c:pt idx="23">
                  <c:v>-13.3623352</c:v>
                </c:pt>
                <c:pt idx="24">
                  <c:v>-13.054884499999998</c:v>
                </c:pt>
                <c:pt idx="25">
                  <c:v>-13.1832271</c:v>
                </c:pt>
                <c:pt idx="26">
                  <c:v>-16.2636933</c:v>
                </c:pt>
                <c:pt idx="27">
                  <c:v>-16.914867400000002</c:v>
                </c:pt>
                <c:pt idx="28">
                  <c:v>-18.1017121</c:v>
                </c:pt>
                <c:pt idx="29">
                  <c:v>-16.061967299999999</c:v>
                </c:pt>
                <c:pt idx="30">
                  <c:v>-19.175030000000003</c:v>
                </c:pt>
                <c:pt idx="31">
                  <c:v>-21.035778000000001</c:v>
                </c:pt>
                <c:pt idx="32">
                  <c:v>-20.747538400000003</c:v>
                </c:pt>
                <c:pt idx="33">
                  <c:v>-20.773241600000002</c:v>
                </c:pt>
                <c:pt idx="34">
                  <c:v>-21.4193821</c:v>
                </c:pt>
                <c:pt idx="35">
                  <c:v>-20.9736209</c:v>
                </c:pt>
                <c:pt idx="36">
                  <c:v>-20.785674899999997</c:v>
                </c:pt>
                <c:pt idx="37">
                  <c:v>-19.044098899999998</c:v>
                </c:pt>
                <c:pt idx="38">
                  <c:v>-20.250511200000002</c:v>
                </c:pt>
                <c:pt idx="39">
                  <c:v>-19.0033086</c:v>
                </c:pt>
                <c:pt idx="40">
                  <c:v>-18.431038399999998</c:v>
                </c:pt>
                <c:pt idx="41">
                  <c:v>-19.371633299999999</c:v>
                </c:pt>
                <c:pt idx="42">
                  <c:v>-19.175094000000001</c:v>
                </c:pt>
                <c:pt idx="43">
                  <c:v>-17.821529099999999</c:v>
                </c:pt>
                <c:pt idx="44">
                  <c:v>-18.554060800000002</c:v>
                </c:pt>
                <c:pt idx="45">
                  <c:v>-17.466439000000001</c:v>
                </c:pt>
                <c:pt idx="46">
                  <c:v>-18.890705700000002</c:v>
                </c:pt>
                <c:pt idx="47">
                  <c:v>-14.929862100000001</c:v>
                </c:pt>
                <c:pt idx="48">
                  <c:v>-15.616604300000001</c:v>
                </c:pt>
                <c:pt idx="49">
                  <c:v>-17.598231600000002</c:v>
                </c:pt>
                <c:pt idx="50">
                  <c:v>-17.4479899</c:v>
                </c:pt>
                <c:pt idx="51">
                  <c:v>-19.482439800000002</c:v>
                </c:pt>
                <c:pt idx="52">
                  <c:v>-19.269543800000001</c:v>
                </c:pt>
                <c:pt idx="53">
                  <c:v>-21.812589800000001</c:v>
                </c:pt>
                <c:pt idx="54">
                  <c:v>-21.086976100000001</c:v>
                </c:pt>
                <c:pt idx="55">
                  <c:v>-19.869329499999999</c:v>
                </c:pt>
                <c:pt idx="56">
                  <c:v>-19.3032717</c:v>
                </c:pt>
                <c:pt idx="57">
                  <c:v>-22.064409099999999</c:v>
                </c:pt>
                <c:pt idx="58">
                  <c:v>-23.179131099999999</c:v>
                </c:pt>
                <c:pt idx="59">
                  <c:v>-24.940775500000001</c:v>
                </c:pt>
                <c:pt idx="60">
                  <c:v>-25.584106300000002</c:v>
                </c:pt>
                <c:pt idx="61">
                  <c:v>-26.689307400000001</c:v>
                </c:pt>
                <c:pt idx="62">
                  <c:v>-28.404358799999997</c:v>
                </c:pt>
                <c:pt idx="63">
                  <c:v>-25.864700599999999</c:v>
                </c:pt>
                <c:pt idx="64">
                  <c:v>-26.9181618</c:v>
                </c:pt>
                <c:pt idx="65">
                  <c:v>-26.073396299999999</c:v>
                </c:pt>
                <c:pt idx="66">
                  <c:v>-26.5473316</c:v>
                </c:pt>
                <c:pt idx="67">
                  <c:v>-27.871683699999998</c:v>
                </c:pt>
                <c:pt idx="68">
                  <c:v>-25.526661099999998</c:v>
                </c:pt>
                <c:pt idx="69">
                  <c:v>-25.886877800000001</c:v>
                </c:pt>
                <c:pt idx="70">
                  <c:v>-26.238143100000002</c:v>
                </c:pt>
                <c:pt idx="71">
                  <c:v>-27.052041899999999</c:v>
                </c:pt>
                <c:pt idx="72">
                  <c:v>-26.061377400000001</c:v>
                </c:pt>
                <c:pt idx="73">
                  <c:v>-26.225065699999998</c:v>
                </c:pt>
                <c:pt idx="74">
                  <c:v>-26.653326200000002</c:v>
                </c:pt>
                <c:pt idx="75">
                  <c:v>-28.056143500000001</c:v>
                </c:pt>
                <c:pt idx="76">
                  <c:v>-27.9438964</c:v>
                </c:pt>
                <c:pt idx="77">
                  <c:v>-28.790391499999998</c:v>
                </c:pt>
                <c:pt idx="78">
                  <c:v>-29.719539099999999</c:v>
                </c:pt>
                <c:pt idx="79">
                  <c:v>-27.335442399999998</c:v>
                </c:pt>
                <c:pt idx="80">
                  <c:v>-29.197398399999997</c:v>
                </c:pt>
                <c:pt idx="81">
                  <c:v>-31.703217800000001</c:v>
                </c:pt>
                <c:pt idx="82">
                  <c:v>-31.373157299999999</c:v>
                </c:pt>
                <c:pt idx="83">
                  <c:v>-29.777721400000001</c:v>
                </c:pt>
                <c:pt idx="84">
                  <c:v>-28.037382700000002</c:v>
                </c:pt>
                <c:pt idx="85">
                  <c:v>-28.580931200000002</c:v>
                </c:pt>
                <c:pt idx="86">
                  <c:v>-30.608134800000002</c:v>
                </c:pt>
                <c:pt idx="87">
                  <c:v>-29.837520400000002</c:v>
                </c:pt>
                <c:pt idx="88">
                  <c:v>-28.066696399999998</c:v>
                </c:pt>
                <c:pt idx="89">
                  <c:v>-29.363338400000004</c:v>
                </c:pt>
                <c:pt idx="90">
                  <c:v>-31.376678099999999</c:v>
                </c:pt>
                <c:pt idx="91">
                  <c:v>-31.712177199999999</c:v>
                </c:pt>
                <c:pt idx="92">
                  <c:v>-32.123581299999998</c:v>
                </c:pt>
                <c:pt idx="93">
                  <c:v>-31.005432499999998</c:v>
                </c:pt>
                <c:pt idx="94">
                  <c:v>-30.480499000000002</c:v>
                </c:pt>
                <c:pt idx="95">
                  <c:v>-27.898245599999999</c:v>
                </c:pt>
                <c:pt idx="96">
                  <c:v>-28.149431700000001</c:v>
                </c:pt>
                <c:pt idx="97">
                  <c:v>-26.700625600000002</c:v>
                </c:pt>
                <c:pt idx="98">
                  <c:v>-25.299718499999997</c:v>
                </c:pt>
                <c:pt idx="99">
                  <c:v>-24.089833599999999</c:v>
                </c:pt>
                <c:pt idx="100">
                  <c:v>-21.6397166</c:v>
                </c:pt>
                <c:pt idx="101">
                  <c:v>-21.995159900000001</c:v>
                </c:pt>
                <c:pt idx="102">
                  <c:v>-25.341744200000001</c:v>
                </c:pt>
                <c:pt idx="103">
                  <c:v>-25.569636299999999</c:v>
                </c:pt>
                <c:pt idx="104">
                  <c:v>-26.344131600000001</c:v>
                </c:pt>
                <c:pt idx="105">
                  <c:v>-27.023974299999999</c:v>
                </c:pt>
                <c:pt idx="106">
                  <c:v>-29.221459500000002</c:v>
                </c:pt>
                <c:pt idx="107">
                  <c:v>-28.280876900000003</c:v>
                </c:pt>
                <c:pt idx="108">
                  <c:v>-28.415509800000002</c:v>
                </c:pt>
                <c:pt idx="109">
                  <c:v>-28.3747501</c:v>
                </c:pt>
                <c:pt idx="110">
                  <c:v>-27.750875300000001</c:v>
                </c:pt>
                <c:pt idx="111">
                  <c:v>-30.093467700000001</c:v>
                </c:pt>
                <c:pt idx="112">
                  <c:v>-29.1772606</c:v>
                </c:pt>
                <c:pt idx="113">
                  <c:v>-29.496647899999999</c:v>
                </c:pt>
                <c:pt idx="114">
                  <c:v>-30.1389596</c:v>
                </c:pt>
                <c:pt idx="115">
                  <c:v>-29.1467867</c:v>
                </c:pt>
                <c:pt idx="116">
                  <c:v>-28.709721800000001</c:v>
                </c:pt>
                <c:pt idx="117">
                  <c:v>-29.280298299999998</c:v>
                </c:pt>
                <c:pt idx="118">
                  <c:v>-29.869515399999997</c:v>
                </c:pt>
                <c:pt idx="119">
                  <c:v>-29.753940100000001</c:v>
                </c:pt>
                <c:pt idx="120">
                  <c:v>-30.565963700000001</c:v>
                </c:pt>
                <c:pt idx="121">
                  <c:v>-31.761601400000004</c:v>
                </c:pt>
                <c:pt idx="122">
                  <c:v>-30.1581571</c:v>
                </c:pt>
                <c:pt idx="123">
                  <c:v>-32.070060699999999</c:v>
                </c:pt>
                <c:pt idx="124">
                  <c:v>-33.286208100000003</c:v>
                </c:pt>
                <c:pt idx="125">
                  <c:v>-34.412281499999999</c:v>
                </c:pt>
                <c:pt idx="126">
                  <c:v>-33.035709600000004</c:v>
                </c:pt>
                <c:pt idx="127">
                  <c:v>-33.229869299999997</c:v>
                </c:pt>
                <c:pt idx="128">
                  <c:v>-35.345154299999997</c:v>
                </c:pt>
                <c:pt idx="129">
                  <c:v>-34.188125499999998</c:v>
                </c:pt>
                <c:pt idx="130">
                  <c:v>-33.628645400000003</c:v>
                </c:pt>
                <c:pt idx="131">
                  <c:v>-34.405020199999996</c:v>
                </c:pt>
                <c:pt idx="132">
                  <c:v>-31.846443600000001</c:v>
                </c:pt>
                <c:pt idx="133">
                  <c:v>-33.244317699999996</c:v>
                </c:pt>
                <c:pt idx="134">
                  <c:v>-32.9338549</c:v>
                </c:pt>
                <c:pt idx="135">
                  <c:v>-34.5983509</c:v>
                </c:pt>
                <c:pt idx="136">
                  <c:v>-34.415605400000004</c:v>
                </c:pt>
                <c:pt idx="137">
                  <c:v>-32.559683300000003</c:v>
                </c:pt>
                <c:pt idx="138">
                  <c:v>-33.575108499999999</c:v>
                </c:pt>
                <c:pt idx="139">
                  <c:v>-34.944546900000006</c:v>
                </c:pt>
                <c:pt idx="140">
                  <c:v>-36.323290200000002</c:v>
                </c:pt>
                <c:pt idx="141">
                  <c:v>-36.982220499999997</c:v>
                </c:pt>
                <c:pt idx="142">
                  <c:v>-36.207162000000004</c:v>
                </c:pt>
                <c:pt idx="143">
                  <c:v>-34.965473899999999</c:v>
                </c:pt>
                <c:pt idx="144">
                  <c:v>-36.831104799999999</c:v>
                </c:pt>
                <c:pt idx="145">
                  <c:v>-37.075405199999999</c:v>
                </c:pt>
                <c:pt idx="146">
                  <c:v>-38.1316731</c:v>
                </c:pt>
                <c:pt idx="147">
                  <c:v>-39.351638300000005</c:v>
                </c:pt>
                <c:pt idx="148">
                  <c:v>-39.3344588</c:v>
                </c:pt>
                <c:pt idx="149">
                  <c:v>-38.0404056</c:v>
                </c:pt>
                <c:pt idx="150">
                  <c:v>-39.270815999999996</c:v>
                </c:pt>
                <c:pt idx="151">
                  <c:v>-39.232232699999997</c:v>
                </c:pt>
                <c:pt idx="152">
                  <c:v>-39.1675416</c:v>
                </c:pt>
                <c:pt idx="153">
                  <c:v>-37.505535799999997</c:v>
                </c:pt>
                <c:pt idx="154">
                  <c:v>-36.444000699999997</c:v>
                </c:pt>
                <c:pt idx="155">
                  <c:v>-36.405349000000001</c:v>
                </c:pt>
                <c:pt idx="156">
                  <c:v>-36.505534900000001</c:v>
                </c:pt>
                <c:pt idx="157">
                  <c:v>-34.656844599999999</c:v>
                </c:pt>
                <c:pt idx="158">
                  <c:v>-36.399926700000002</c:v>
                </c:pt>
                <c:pt idx="159">
                  <c:v>-37.9157692</c:v>
                </c:pt>
                <c:pt idx="160">
                  <c:v>-38.257680399999998</c:v>
                </c:pt>
                <c:pt idx="161">
                  <c:v>-36.416907299999998</c:v>
                </c:pt>
                <c:pt idx="162">
                  <c:v>-36.1134524</c:v>
                </c:pt>
                <c:pt idx="163">
                  <c:v>-37.392066800000002</c:v>
                </c:pt>
                <c:pt idx="164">
                  <c:v>-38.462750900000003</c:v>
                </c:pt>
                <c:pt idx="165">
                  <c:v>-40.336395800000005</c:v>
                </c:pt>
                <c:pt idx="166">
                  <c:v>-41.348020099999999</c:v>
                </c:pt>
                <c:pt idx="167">
                  <c:v>-40.438381399999997</c:v>
                </c:pt>
                <c:pt idx="168">
                  <c:v>-41.568493099999998</c:v>
                </c:pt>
                <c:pt idx="169">
                  <c:v>-42.499706500000002</c:v>
                </c:pt>
                <c:pt idx="170">
                  <c:v>-44.205386799999999</c:v>
                </c:pt>
                <c:pt idx="171">
                  <c:v>-44.004428300000001</c:v>
                </c:pt>
                <c:pt idx="172">
                  <c:v>-44.333366400000003</c:v>
                </c:pt>
                <c:pt idx="173">
                  <c:v>-43.652460099999999</c:v>
                </c:pt>
                <c:pt idx="174">
                  <c:v>-44.342051699999999</c:v>
                </c:pt>
                <c:pt idx="175">
                  <c:v>-44.885518699999999</c:v>
                </c:pt>
                <c:pt idx="176">
                  <c:v>-44.117546399999995</c:v>
                </c:pt>
                <c:pt idx="177">
                  <c:v>-43.578581299999996</c:v>
                </c:pt>
                <c:pt idx="178">
                  <c:v>-44.714539099999996</c:v>
                </c:pt>
                <c:pt idx="179">
                  <c:v>-44.916142800000003</c:v>
                </c:pt>
                <c:pt idx="180">
                  <c:v>-46.989842500000002</c:v>
                </c:pt>
                <c:pt idx="181">
                  <c:v>-46.334249200000002</c:v>
                </c:pt>
                <c:pt idx="182">
                  <c:v>-49.03378</c:v>
                </c:pt>
                <c:pt idx="183">
                  <c:v>-50.366395100000005</c:v>
                </c:pt>
                <c:pt idx="184">
                  <c:v>-50.544653499999995</c:v>
                </c:pt>
                <c:pt idx="185">
                  <c:v>-47.831296000000002</c:v>
                </c:pt>
                <c:pt idx="186">
                  <c:v>-46.503309100000003</c:v>
                </c:pt>
                <c:pt idx="187">
                  <c:v>-44.578593400000003</c:v>
                </c:pt>
                <c:pt idx="188">
                  <c:v>-44.7538774</c:v>
                </c:pt>
                <c:pt idx="189">
                  <c:v>-44.128330000000005</c:v>
                </c:pt>
                <c:pt idx="190">
                  <c:v>-44.272917999999997</c:v>
                </c:pt>
                <c:pt idx="191">
                  <c:v>-44.955256800000001</c:v>
                </c:pt>
                <c:pt idx="192">
                  <c:v>-43.638676699999998</c:v>
                </c:pt>
                <c:pt idx="193">
                  <c:v>-42.915441700000002</c:v>
                </c:pt>
                <c:pt idx="194">
                  <c:v>-41.444794299999998</c:v>
                </c:pt>
                <c:pt idx="195">
                  <c:v>-40.460650600000001</c:v>
                </c:pt>
                <c:pt idx="196">
                  <c:v>-43.153934500000005</c:v>
                </c:pt>
                <c:pt idx="197">
                  <c:v>-42.705763500000003</c:v>
                </c:pt>
                <c:pt idx="198">
                  <c:v>-40.165827300000004</c:v>
                </c:pt>
                <c:pt idx="199">
                  <c:v>-41.155886100000004</c:v>
                </c:pt>
                <c:pt idx="200">
                  <c:v>-39.422879800000004</c:v>
                </c:pt>
                <c:pt idx="201">
                  <c:v>-40.130226300000004</c:v>
                </c:pt>
                <c:pt idx="202">
                  <c:v>-40.452788900000002</c:v>
                </c:pt>
                <c:pt idx="203">
                  <c:v>-39.232220600000005</c:v>
                </c:pt>
                <c:pt idx="204">
                  <c:v>-38.1379819</c:v>
                </c:pt>
                <c:pt idx="205">
                  <c:v>-37.578852300000001</c:v>
                </c:pt>
                <c:pt idx="206">
                  <c:v>-36.203802499999995</c:v>
                </c:pt>
                <c:pt idx="207">
                  <c:v>-33.747649799999998</c:v>
                </c:pt>
                <c:pt idx="208">
                  <c:v>-33.958625099999999</c:v>
                </c:pt>
                <c:pt idx="209">
                  <c:v>-36.333480399999999</c:v>
                </c:pt>
                <c:pt idx="210">
                  <c:v>-37.216969300000002</c:v>
                </c:pt>
                <c:pt idx="211">
                  <c:v>-37.9826257</c:v>
                </c:pt>
                <c:pt idx="212">
                  <c:v>-35.941597600000001</c:v>
                </c:pt>
                <c:pt idx="213">
                  <c:v>-35.914242999999999</c:v>
                </c:pt>
                <c:pt idx="214">
                  <c:v>-34.7946849</c:v>
                </c:pt>
                <c:pt idx="215">
                  <c:v>-34.9311352</c:v>
                </c:pt>
                <c:pt idx="216">
                  <c:v>-34.997902800000006</c:v>
                </c:pt>
                <c:pt idx="217">
                  <c:v>-36.078832800000001</c:v>
                </c:pt>
                <c:pt idx="218">
                  <c:v>-34.2332222</c:v>
                </c:pt>
                <c:pt idx="219">
                  <c:v>-32.488579700000003</c:v>
                </c:pt>
                <c:pt idx="220">
                  <c:v>-32.1136129</c:v>
                </c:pt>
                <c:pt idx="221">
                  <c:v>-31.955008899999999</c:v>
                </c:pt>
                <c:pt idx="222">
                  <c:v>-29.120344500000002</c:v>
                </c:pt>
                <c:pt idx="223">
                  <c:v>-28.887701199999999</c:v>
                </c:pt>
                <c:pt idx="224">
                  <c:v>-29.253580299999999</c:v>
                </c:pt>
                <c:pt idx="225">
                  <c:v>-28.657350700000002</c:v>
                </c:pt>
                <c:pt idx="226">
                  <c:v>-28.495956</c:v>
                </c:pt>
                <c:pt idx="227">
                  <c:v>-28.910564600000001</c:v>
                </c:pt>
                <c:pt idx="228">
                  <c:v>-26.207023599999999</c:v>
                </c:pt>
                <c:pt idx="229">
                  <c:v>-25.9783349</c:v>
                </c:pt>
                <c:pt idx="230">
                  <c:v>-28.650015699999997</c:v>
                </c:pt>
                <c:pt idx="231">
                  <c:v>-29.181894499999999</c:v>
                </c:pt>
                <c:pt idx="232">
                  <c:v>-28.3039424</c:v>
                </c:pt>
                <c:pt idx="233">
                  <c:v>-26.473853500000001</c:v>
                </c:pt>
                <c:pt idx="234">
                  <c:v>-27.462317800000001</c:v>
                </c:pt>
                <c:pt idx="235">
                  <c:v>-26.7948941</c:v>
                </c:pt>
                <c:pt idx="236">
                  <c:v>-26.802046999999998</c:v>
                </c:pt>
                <c:pt idx="237">
                  <c:v>-24.9471533</c:v>
                </c:pt>
                <c:pt idx="238">
                  <c:v>-24.560398499999998</c:v>
                </c:pt>
                <c:pt idx="239">
                  <c:v>-21.3918575</c:v>
                </c:pt>
                <c:pt idx="240">
                  <c:v>-20.783158800000002</c:v>
                </c:pt>
                <c:pt idx="241">
                  <c:v>-18.008690000000001</c:v>
                </c:pt>
                <c:pt idx="242">
                  <c:v>-19.774251999999997</c:v>
                </c:pt>
                <c:pt idx="243">
                  <c:v>-21.655721400000001</c:v>
                </c:pt>
                <c:pt idx="244">
                  <c:v>-21.044418200000003</c:v>
                </c:pt>
                <c:pt idx="245">
                  <c:v>-22.781150400000001</c:v>
                </c:pt>
                <c:pt idx="246">
                  <c:v>-25.0369156</c:v>
                </c:pt>
                <c:pt idx="247">
                  <c:v>-24.517286800000001</c:v>
                </c:pt>
                <c:pt idx="248">
                  <c:v>-24.5867036</c:v>
                </c:pt>
                <c:pt idx="249">
                  <c:v>-25.1420827</c:v>
                </c:pt>
                <c:pt idx="250">
                  <c:v>-25.214771300000002</c:v>
                </c:pt>
                <c:pt idx="251">
                  <c:v>-24.4228655</c:v>
                </c:pt>
                <c:pt idx="252">
                  <c:v>-23.016283300000001</c:v>
                </c:pt>
                <c:pt idx="253">
                  <c:v>-24.2190397</c:v>
                </c:pt>
                <c:pt idx="254">
                  <c:v>-25.3339751</c:v>
                </c:pt>
                <c:pt idx="255">
                  <c:v>-26.3572834</c:v>
                </c:pt>
                <c:pt idx="256">
                  <c:v>-26.880608799999997</c:v>
                </c:pt>
                <c:pt idx="257">
                  <c:v>-27.177758599999997</c:v>
                </c:pt>
                <c:pt idx="258">
                  <c:v>-25.480424499999998</c:v>
                </c:pt>
                <c:pt idx="259">
                  <c:v>-24.7358501</c:v>
                </c:pt>
                <c:pt idx="260">
                  <c:v>-23.0470404</c:v>
                </c:pt>
                <c:pt idx="261">
                  <c:v>-25.571079600000001</c:v>
                </c:pt>
                <c:pt idx="262">
                  <c:v>-25.551710700000001</c:v>
                </c:pt>
                <c:pt idx="263">
                  <c:v>-27.841962700000003</c:v>
                </c:pt>
                <c:pt idx="264">
                  <c:v>-29.014654</c:v>
                </c:pt>
                <c:pt idx="265">
                  <c:v>-31.587366200000002</c:v>
                </c:pt>
                <c:pt idx="266">
                  <c:v>-31.713615300000001</c:v>
                </c:pt>
                <c:pt idx="267">
                  <c:v>-30.961759000000001</c:v>
                </c:pt>
                <c:pt idx="268">
                  <c:v>-30.0654471</c:v>
                </c:pt>
                <c:pt idx="269">
                  <c:v>-31.518773799999998</c:v>
                </c:pt>
                <c:pt idx="270">
                  <c:v>-32.013293900000001</c:v>
                </c:pt>
                <c:pt idx="271">
                  <c:v>-31.420341899999997</c:v>
                </c:pt>
                <c:pt idx="272">
                  <c:v>-29.3500336</c:v>
                </c:pt>
                <c:pt idx="273">
                  <c:v>-31.516492300000003</c:v>
                </c:pt>
                <c:pt idx="274">
                  <c:v>-29.902297700000002</c:v>
                </c:pt>
                <c:pt idx="275">
                  <c:v>-28.336435799999997</c:v>
                </c:pt>
                <c:pt idx="276">
                  <c:v>-28.566840900000003</c:v>
                </c:pt>
                <c:pt idx="277">
                  <c:v>-30.031358699999998</c:v>
                </c:pt>
                <c:pt idx="278">
                  <c:v>-28.863482399999999</c:v>
                </c:pt>
                <c:pt idx="279">
                  <c:v>-29.435564399999997</c:v>
                </c:pt>
                <c:pt idx="280">
                  <c:v>-30.946115299999999</c:v>
                </c:pt>
                <c:pt idx="281">
                  <c:v>-32.6094334</c:v>
                </c:pt>
                <c:pt idx="282">
                  <c:v>-34.771058799999999</c:v>
                </c:pt>
                <c:pt idx="283">
                  <c:v>-35.558431200000001</c:v>
                </c:pt>
                <c:pt idx="284">
                  <c:v>-36.187739399999998</c:v>
                </c:pt>
                <c:pt idx="285">
                  <c:v>-33.294947000000001</c:v>
                </c:pt>
                <c:pt idx="286">
                  <c:v>-31.5055817</c:v>
                </c:pt>
                <c:pt idx="287">
                  <c:v>-31.424481</c:v>
                </c:pt>
                <c:pt idx="288">
                  <c:v>-32.060748599999997</c:v>
                </c:pt>
                <c:pt idx="289">
                  <c:v>-34.586223199999999</c:v>
                </c:pt>
                <c:pt idx="290">
                  <c:v>-35.5027112</c:v>
                </c:pt>
                <c:pt idx="291">
                  <c:v>-34.400773399999999</c:v>
                </c:pt>
                <c:pt idx="292">
                  <c:v>-36.689491599999997</c:v>
                </c:pt>
                <c:pt idx="293">
                  <c:v>-36.5698626</c:v>
                </c:pt>
                <c:pt idx="294">
                  <c:v>-35.922781000000001</c:v>
                </c:pt>
                <c:pt idx="295">
                  <c:v>-36.3914993</c:v>
                </c:pt>
                <c:pt idx="296">
                  <c:v>-35.772638299999997</c:v>
                </c:pt>
                <c:pt idx="297">
                  <c:v>-34.951495600000001</c:v>
                </c:pt>
                <c:pt idx="298">
                  <c:v>-35.9333253</c:v>
                </c:pt>
                <c:pt idx="299">
                  <c:v>-37.233394399999995</c:v>
                </c:pt>
                <c:pt idx="300">
                  <c:v>-36.007995800000003</c:v>
                </c:pt>
                <c:pt idx="301">
                  <c:v>-34.504282099999998</c:v>
                </c:pt>
                <c:pt idx="302">
                  <c:v>-33.442390599999996</c:v>
                </c:pt>
                <c:pt idx="303">
                  <c:v>-31.7885566</c:v>
                </c:pt>
                <c:pt idx="304">
                  <c:v>-33.905007699999999</c:v>
                </c:pt>
                <c:pt idx="305">
                  <c:v>-32.654222000000004</c:v>
                </c:pt>
                <c:pt idx="306">
                  <c:v>-32.7197423</c:v>
                </c:pt>
                <c:pt idx="307">
                  <c:v>-33.8755782</c:v>
                </c:pt>
                <c:pt idx="308">
                  <c:v>-33.3242859</c:v>
                </c:pt>
                <c:pt idx="309">
                  <c:v>-32.032108600000001</c:v>
                </c:pt>
                <c:pt idx="310">
                  <c:v>-30.723353700000001</c:v>
                </c:pt>
                <c:pt idx="311">
                  <c:v>-30.698203700000001</c:v>
                </c:pt>
                <c:pt idx="312">
                  <c:v>-31.3086123</c:v>
                </c:pt>
                <c:pt idx="313">
                  <c:v>-34.0341995</c:v>
                </c:pt>
                <c:pt idx="314">
                  <c:v>-33.5374737</c:v>
                </c:pt>
                <c:pt idx="315">
                  <c:v>-34.128799900000004</c:v>
                </c:pt>
                <c:pt idx="316">
                  <c:v>-37.325411700000004</c:v>
                </c:pt>
                <c:pt idx="317">
                  <c:v>-36.124309099999998</c:v>
                </c:pt>
                <c:pt idx="318">
                  <c:v>-35.730073099999998</c:v>
                </c:pt>
                <c:pt idx="319">
                  <c:v>-33.520943500000001</c:v>
                </c:pt>
                <c:pt idx="321">
                  <c:v>9.2233733909322542</c:v>
                </c:pt>
              </c:numCache>
            </c:numRef>
          </c:val>
          <c:smooth val="0"/>
          <c:extLst>
            <c:ext xmlns:c16="http://schemas.microsoft.com/office/drawing/2014/chart" uri="{C3380CC4-5D6E-409C-BE32-E72D297353CC}">
              <c16:uniqueId val="{00000000-2F2F-45B2-9971-54D0B2E0679E}"/>
            </c:ext>
          </c:extLst>
        </c:ser>
        <c:dLbls>
          <c:showLegendKey val="0"/>
          <c:showVal val="0"/>
          <c:showCatName val="0"/>
          <c:showSerName val="0"/>
          <c:showPercent val="0"/>
          <c:showBubbleSize val="0"/>
        </c:dLbls>
        <c:smooth val="0"/>
        <c:axId val="596234416"/>
        <c:axId val="1292859792"/>
      </c:lineChart>
      <c:dateAx>
        <c:axId val="596234416"/>
        <c:scaling>
          <c:orientation val="minMax"/>
        </c:scaling>
        <c:delete val="0"/>
        <c:axPos val="b"/>
        <c:numFmt formatCode="dd-mmm-yy"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292859792"/>
        <c:crosses val="autoZero"/>
        <c:auto val="1"/>
        <c:lblOffset val="100"/>
        <c:baseTimeUnit val="days"/>
      </c:dateAx>
      <c:valAx>
        <c:axId val="1292859792"/>
        <c:scaling>
          <c:orientation val="minMax"/>
        </c:scaling>
        <c:delete val="0"/>
        <c:axPos val="l"/>
        <c:majorGridlines>
          <c:spPr>
            <a:ln w="9525" cap="flat" cmpd="sng" algn="ctr">
              <a:solidFill>
                <a:schemeClr val="tx2">
                  <a:lumMod val="15000"/>
                  <a:lumOff val="85000"/>
                </a:schemeClr>
              </a:solidFill>
              <a:round/>
            </a:ln>
            <a:effectLst/>
          </c:spPr>
        </c:majorGridlines>
        <c:minorGridlines>
          <c:spPr>
            <a:ln>
              <a:solidFill>
                <a:schemeClr val="tx2">
                  <a:lumMod val="5000"/>
                  <a:lumOff val="95000"/>
                </a:schemeClr>
              </a:solidFill>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596234416"/>
        <c:crosses val="autoZero"/>
        <c:crossBetween val="between"/>
      </c:valAx>
      <c:spPr>
        <a:noFill/>
        <a:ln>
          <a:noFill/>
        </a:ln>
        <a:effectLst/>
      </c:spPr>
    </c:plotArea>
    <c:plotVisOnly val="1"/>
    <c:dispBlanksAs val="zero"/>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Pricing</a:t>
            </a:r>
            <a:r>
              <a:rPr lang="en-US" baseline="0"/>
              <a:t> of GDAX Relative to BitStamp</a:t>
            </a:r>
            <a:br>
              <a:rPr lang="en-US" baseline="0"/>
            </a:br>
            <a:r>
              <a:rPr lang="en-US" sz="1100" i="1" baseline="0"/>
              <a:t>(deviation % from parity)</a:t>
            </a:r>
            <a:endParaRPr lang="en-US" i="1"/>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lineChart>
        <c:grouping val="stacked"/>
        <c:varyColors val="0"/>
        <c:ser>
          <c:idx val="0"/>
          <c:order val="0"/>
          <c:spPr>
            <a:ln w="31750" cap="rnd">
              <a:solidFill>
                <a:schemeClr val="accent1"/>
              </a:solidFill>
              <a:round/>
            </a:ln>
            <a:effectLst/>
          </c:spPr>
          <c:marker>
            <c:symbol val="none"/>
          </c:marker>
          <c:cat>
            <c:numRef>
              <c:f>'Sheet2 (3)'!$F$2:$F$356</c:f>
              <c:numCache>
                <c:formatCode>dd-mmm-yy</c:formatCode>
                <c:ptCount val="355"/>
                <c:pt idx="0">
                  <c:v>42659</c:v>
                </c:pt>
                <c:pt idx="1">
                  <c:v>42660</c:v>
                </c:pt>
                <c:pt idx="2">
                  <c:v>42661</c:v>
                </c:pt>
                <c:pt idx="3">
                  <c:v>42662</c:v>
                </c:pt>
                <c:pt idx="4">
                  <c:v>42663</c:v>
                </c:pt>
                <c:pt idx="5">
                  <c:v>42664</c:v>
                </c:pt>
                <c:pt idx="6">
                  <c:v>42665</c:v>
                </c:pt>
                <c:pt idx="7">
                  <c:v>42666</c:v>
                </c:pt>
                <c:pt idx="8">
                  <c:v>42667</c:v>
                </c:pt>
                <c:pt idx="9">
                  <c:v>42668</c:v>
                </c:pt>
                <c:pt idx="10">
                  <c:v>42669</c:v>
                </c:pt>
                <c:pt idx="11">
                  <c:v>42670</c:v>
                </c:pt>
                <c:pt idx="12">
                  <c:v>42671</c:v>
                </c:pt>
                <c:pt idx="13">
                  <c:v>42672</c:v>
                </c:pt>
                <c:pt idx="14">
                  <c:v>42673</c:v>
                </c:pt>
                <c:pt idx="15">
                  <c:v>42674</c:v>
                </c:pt>
                <c:pt idx="16">
                  <c:v>42675</c:v>
                </c:pt>
                <c:pt idx="17">
                  <c:v>42676</c:v>
                </c:pt>
                <c:pt idx="18">
                  <c:v>42677</c:v>
                </c:pt>
                <c:pt idx="19">
                  <c:v>42678</c:v>
                </c:pt>
                <c:pt idx="20">
                  <c:v>42679</c:v>
                </c:pt>
                <c:pt idx="21">
                  <c:v>42680</c:v>
                </c:pt>
                <c:pt idx="22">
                  <c:v>42681</c:v>
                </c:pt>
                <c:pt idx="23">
                  <c:v>42682</c:v>
                </c:pt>
                <c:pt idx="24">
                  <c:v>42683</c:v>
                </c:pt>
                <c:pt idx="25">
                  <c:v>42684</c:v>
                </c:pt>
                <c:pt idx="26">
                  <c:v>42685</c:v>
                </c:pt>
                <c:pt idx="27">
                  <c:v>42686</c:v>
                </c:pt>
                <c:pt idx="28">
                  <c:v>42687</c:v>
                </c:pt>
                <c:pt idx="29">
                  <c:v>42688</c:v>
                </c:pt>
                <c:pt idx="30">
                  <c:v>42689</c:v>
                </c:pt>
                <c:pt idx="31">
                  <c:v>42690</c:v>
                </c:pt>
                <c:pt idx="32">
                  <c:v>42691</c:v>
                </c:pt>
                <c:pt idx="33">
                  <c:v>42692</c:v>
                </c:pt>
                <c:pt idx="34">
                  <c:v>42693</c:v>
                </c:pt>
                <c:pt idx="35">
                  <c:v>42694</c:v>
                </c:pt>
                <c:pt idx="36">
                  <c:v>42695</c:v>
                </c:pt>
                <c:pt idx="37">
                  <c:v>42696</c:v>
                </c:pt>
                <c:pt idx="38">
                  <c:v>42697</c:v>
                </c:pt>
                <c:pt idx="39">
                  <c:v>42698</c:v>
                </c:pt>
                <c:pt idx="40">
                  <c:v>42699</c:v>
                </c:pt>
                <c:pt idx="41">
                  <c:v>42700</c:v>
                </c:pt>
                <c:pt idx="42">
                  <c:v>42701</c:v>
                </c:pt>
                <c:pt idx="43">
                  <c:v>42702</c:v>
                </c:pt>
                <c:pt idx="44">
                  <c:v>42703</c:v>
                </c:pt>
                <c:pt idx="45">
                  <c:v>42704</c:v>
                </c:pt>
                <c:pt idx="46">
                  <c:v>42705</c:v>
                </c:pt>
                <c:pt idx="47">
                  <c:v>42706</c:v>
                </c:pt>
                <c:pt idx="48">
                  <c:v>42707</c:v>
                </c:pt>
                <c:pt idx="49">
                  <c:v>42708</c:v>
                </c:pt>
                <c:pt idx="50">
                  <c:v>42709</c:v>
                </c:pt>
                <c:pt idx="51">
                  <c:v>42710</c:v>
                </c:pt>
                <c:pt idx="52">
                  <c:v>42711</c:v>
                </c:pt>
                <c:pt idx="53">
                  <c:v>42712</c:v>
                </c:pt>
                <c:pt idx="54">
                  <c:v>42713</c:v>
                </c:pt>
                <c:pt idx="55">
                  <c:v>42714</c:v>
                </c:pt>
                <c:pt idx="56">
                  <c:v>42715</c:v>
                </c:pt>
                <c:pt idx="57">
                  <c:v>42716</c:v>
                </c:pt>
                <c:pt idx="58">
                  <c:v>42717</c:v>
                </c:pt>
                <c:pt idx="59">
                  <c:v>42718</c:v>
                </c:pt>
                <c:pt idx="60">
                  <c:v>42719</c:v>
                </c:pt>
                <c:pt idx="61">
                  <c:v>42720</c:v>
                </c:pt>
                <c:pt idx="62">
                  <c:v>42721</c:v>
                </c:pt>
                <c:pt idx="63">
                  <c:v>42722</c:v>
                </c:pt>
                <c:pt idx="64">
                  <c:v>42723</c:v>
                </c:pt>
                <c:pt idx="65">
                  <c:v>42724</c:v>
                </c:pt>
                <c:pt idx="66">
                  <c:v>42725</c:v>
                </c:pt>
                <c:pt idx="67">
                  <c:v>42726</c:v>
                </c:pt>
                <c:pt idx="68">
                  <c:v>42727</c:v>
                </c:pt>
                <c:pt idx="69">
                  <c:v>42728</c:v>
                </c:pt>
                <c:pt idx="70">
                  <c:v>42729</c:v>
                </c:pt>
                <c:pt idx="71">
                  <c:v>42730</c:v>
                </c:pt>
                <c:pt idx="72">
                  <c:v>42731</c:v>
                </c:pt>
                <c:pt idx="73">
                  <c:v>42732</c:v>
                </c:pt>
                <c:pt idx="74">
                  <c:v>42733</c:v>
                </c:pt>
                <c:pt idx="75">
                  <c:v>42734</c:v>
                </c:pt>
                <c:pt idx="76">
                  <c:v>42735</c:v>
                </c:pt>
                <c:pt idx="77">
                  <c:v>42736</c:v>
                </c:pt>
                <c:pt idx="78">
                  <c:v>42737</c:v>
                </c:pt>
                <c:pt idx="79">
                  <c:v>42738</c:v>
                </c:pt>
                <c:pt idx="80">
                  <c:v>42739</c:v>
                </c:pt>
                <c:pt idx="81">
                  <c:v>42740</c:v>
                </c:pt>
                <c:pt idx="82">
                  <c:v>42741</c:v>
                </c:pt>
                <c:pt idx="83">
                  <c:v>42742</c:v>
                </c:pt>
                <c:pt idx="84">
                  <c:v>42743</c:v>
                </c:pt>
                <c:pt idx="85">
                  <c:v>42744</c:v>
                </c:pt>
                <c:pt idx="86">
                  <c:v>42745</c:v>
                </c:pt>
                <c:pt idx="87">
                  <c:v>42746</c:v>
                </c:pt>
                <c:pt idx="88">
                  <c:v>42747</c:v>
                </c:pt>
                <c:pt idx="89">
                  <c:v>42748</c:v>
                </c:pt>
                <c:pt idx="90">
                  <c:v>42749</c:v>
                </c:pt>
                <c:pt idx="91">
                  <c:v>42750</c:v>
                </c:pt>
                <c:pt idx="92">
                  <c:v>42751</c:v>
                </c:pt>
                <c:pt idx="93">
                  <c:v>42752</c:v>
                </c:pt>
                <c:pt idx="94">
                  <c:v>42753</c:v>
                </c:pt>
                <c:pt idx="95">
                  <c:v>42754</c:v>
                </c:pt>
                <c:pt idx="96">
                  <c:v>42755</c:v>
                </c:pt>
                <c:pt idx="97">
                  <c:v>42756</c:v>
                </c:pt>
                <c:pt idx="98">
                  <c:v>42757</c:v>
                </c:pt>
                <c:pt idx="99">
                  <c:v>42758</c:v>
                </c:pt>
                <c:pt idx="100">
                  <c:v>42759</c:v>
                </c:pt>
                <c:pt idx="101">
                  <c:v>42760</c:v>
                </c:pt>
                <c:pt idx="102">
                  <c:v>42761</c:v>
                </c:pt>
                <c:pt idx="103">
                  <c:v>42762</c:v>
                </c:pt>
                <c:pt idx="104">
                  <c:v>42763</c:v>
                </c:pt>
                <c:pt idx="105">
                  <c:v>42764</c:v>
                </c:pt>
                <c:pt idx="106">
                  <c:v>42765</c:v>
                </c:pt>
                <c:pt idx="107">
                  <c:v>42766</c:v>
                </c:pt>
                <c:pt idx="108">
                  <c:v>42767</c:v>
                </c:pt>
                <c:pt idx="109">
                  <c:v>42768</c:v>
                </c:pt>
                <c:pt idx="110">
                  <c:v>42769</c:v>
                </c:pt>
                <c:pt idx="111">
                  <c:v>42770</c:v>
                </c:pt>
                <c:pt idx="112">
                  <c:v>42771</c:v>
                </c:pt>
                <c:pt idx="113">
                  <c:v>42772</c:v>
                </c:pt>
                <c:pt idx="114">
                  <c:v>42773</c:v>
                </c:pt>
                <c:pt idx="115">
                  <c:v>42774</c:v>
                </c:pt>
                <c:pt idx="116">
                  <c:v>42775</c:v>
                </c:pt>
                <c:pt idx="117">
                  <c:v>42776</c:v>
                </c:pt>
                <c:pt idx="118">
                  <c:v>42777</c:v>
                </c:pt>
                <c:pt idx="119">
                  <c:v>42778</c:v>
                </c:pt>
                <c:pt idx="120">
                  <c:v>42779</c:v>
                </c:pt>
                <c:pt idx="121">
                  <c:v>42780</c:v>
                </c:pt>
                <c:pt idx="122">
                  <c:v>42781</c:v>
                </c:pt>
                <c:pt idx="123">
                  <c:v>42782</c:v>
                </c:pt>
                <c:pt idx="124">
                  <c:v>42783</c:v>
                </c:pt>
                <c:pt idx="125">
                  <c:v>42784</c:v>
                </c:pt>
                <c:pt idx="126">
                  <c:v>42785</c:v>
                </c:pt>
                <c:pt idx="127">
                  <c:v>42786</c:v>
                </c:pt>
                <c:pt idx="128">
                  <c:v>42787</c:v>
                </c:pt>
                <c:pt idx="129">
                  <c:v>42788</c:v>
                </c:pt>
                <c:pt idx="130">
                  <c:v>42789</c:v>
                </c:pt>
                <c:pt idx="131">
                  <c:v>42790</c:v>
                </c:pt>
                <c:pt idx="132">
                  <c:v>42791</c:v>
                </c:pt>
                <c:pt idx="133">
                  <c:v>42792</c:v>
                </c:pt>
                <c:pt idx="134">
                  <c:v>42793</c:v>
                </c:pt>
                <c:pt idx="135">
                  <c:v>42794</c:v>
                </c:pt>
                <c:pt idx="136">
                  <c:v>42795</c:v>
                </c:pt>
                <c:pt idx="137">
                  <c:v>42796</c:v>
                </c:pt>
                <c:pt idx="138">
                  <c:v>42797</c:v>
                </c:pt>
                <c:pt idx="139">
                  <c:v>42798</c:v>
                </c:pt>
                <c:pt idx="140">
                  <c:v>42799</c:v>
                </c:pt>
                <c:pt idx="141">
                  <c:v>42800</c:v>
                </c:pt>
                <c:pt idx="142">
                  <c:v>42801</c:v>
                </c:pt>
                <c:pt idx="143">
                  <c:v>42802</c:v>
                </c:pt>
                <c:pt idx="144">
                  <c:v>42803</c:v>
                </c:pt>
                <c:pt idx="145">
                  <c:v>42804</c:v>
                </c:pt>
                <c:pt idx="146">
                  <c:v>42805</c:v>
                </c:pt>
                <c:pt idx="147">
                  <c:v>42806</c:v>
                </c:pt>
                <c:pt idx="148">
                  <c:v>42807</c:v>
                </c:pt>
                <c:pt idx="149">
                  <c:v>42808</c:v>
                </c:pt>
                <c:pt idx="150">
                  <c:v>42809</c:v>
                </c:pt>
                <c:pt idx="151">
                  <c:v>42810</c:v>
                </c:pt>
                <c:pt idx="152">
                  <c:v>42811</c:v>
                </c:pt>
                <c:pt idx="153">
                  <c:v>42812</c:v>
                </c:pt>
                <c:pt idx="154">
                  <c:v>42813</c:v>
                </c:pt>
                <c:pt idx="155">
                  <c:v>42814</c:v>
                </c:pt>
                <c:pt idx="156">
                  <c:v>42815</c:v>
                </c:pt>
                <c:pt idx="157">
                  <c:v>42816</c:v>
                </c:pt>
                <c:pt idx="158">
                  <c:v>42817</c:v>
                </c:pt>
                <c:pt idx="159">
                  <c:v>42818</c:v>
                </c:pt>
                <c:pt idx="160">
                  <c:v>42819</c:v>
                </c:pt>
                <c:pt idx="161">
                  <c:v>42820</c:v>
                </c:pt>
                <c:pt idx="162">
                  <c:v>42821</c:v>
                </c:pt>
                <c:pt idx="163">
                  <c:v>42822</c:v>
                </c:pt>
                <c:pt idx="164">
                  <c:v>42823</c:v>
                </c:pt>
                <c:pt idx="165">
                  <c:v>42824</c:v>
                </c:pt>
                <c:pt idx="166">
                  <c:v>42825</c:v>
                </c:pt>
                <c:pt idx="167">
                  <c:v>42826</c:v>
                </c:pt>
                <c:pt idx="168">
                  <c:v>42827</c:v>
                </c:pt>
                <c:pt idx="169">
                  <c:v>42828</c:v>
                </c:pt>
                <c:pt idx="170">
                  <c:v>42829</c:v>
                </c:pt>
                <c:pt idx="171">
                  <c:v>42830</c:v>
                </c:pt>
                <c:pt idx="172">
                  <c:v>42831</c:v>
                </c:pt>
                <c:pt idx="173">
                  <c:v>42832</c:v>
                </c:pt>
                <c:pt idx="174">
                  <c:v>42833</c:v>
                </c:pt>
                <c:pt idx="175">
                  <c:v>42834</c:v>
                </c:pt>
                <c:pt idx="176">
                  <c:v>42835</c:v>
                </c:pt>
                <c:pt idx="177">
                  <c:v>42836</c:v>
                </c:pt>
                <c:pt idx="178">
                  <c:v>42837</c:v>
                </c:pt>
                <c:pt idx="179">
                  <c:v>42838</c:v>
                </c:pt>
                <c:pt idx="180">
                  <c:v>42839</c:v>
                </c:pt>
                <c:pt idx="181">
                  <c:v>42840</c:v>
                </c:pt>
                <c:pt idx="182">
                  <c:v>42841</c:v>
                </c:pt>
                <c:pt idx="183">
                  <c:v>42842</c:v>
                </c:pt>
                <c:pt idx="184">
                  <c:v>42843</c:v>
                </c:pt>
                <c:pt idx="185">
                  <c:v>42844</c:v>
                </c:pt>
                <c:pt idx="186">
                  <c:v>42845</c:v>
                </c:pt>
                <c:pt idx="187">
                  <c:v>42846</c:v>
                </c:pt>
                <c:pt idx="188">
                  <c:v>42847</c:v>
                </c:pt>
                <c:pt idx="189">
                  <c:v>42848</c:v>
                </c:pt>
                <c:pt idx="190">
                  <c:v>42849</c:v>
                </c:pt>
                <c:pt idx="191">
                  <c:v>42850</c:v>
                </c:pt>
                <c:pt idx="192">
                  <c:v>42851</c:v>
                </c:pt>
                <c:pt idx="193">
                  <c:v>42852</c:v>
                </c:pt>
                <c:pt idx="194">
                  <c:v>42853</c:v>
                </c:pt>
                <c:pt idx="195">
                  <c:v>42854</c:v>
                </c:pt>
                <c:pt idx="196">
                  <c:v>42855</c:v>
                </c:pt>
                <c:pt idx="197">
                  <c:v>42856</c:v>
                </c:pt>
                <c:pt idx="198">
                  <c:v>42857</c:v>
                </c:pt>
                <c:pt idx="199">
                  <c:v>42858</c:v>
                </c:pt>
                <c:pt idx="200">
                  <c:v>42859</c:v>
                </c:pt>
                <c:pt idx="201">
                  <c:v>42860</c:v>
                </c:pt>
                <c:pt idx="202">
                  <c:v>42861</c:v>
                </c:pt>
                <c:pt idx="203">
                  <c:v>42862</c:v>
                </c:pt>
                <c:pt idx="204">
                  <c:v>42863</c:v>
                </c:pt>
                <c:pt idx="205">
                  <c:v>42864</c:v>
                </c:pt>
                <c:pt idx="206">
                  <c:v>42865</c:v>
                </c:pt>
                <c:pt idx="207">
                  <c:v>42866</c:v>
                </c:pt>
                <c:pt idx="208">
                  <c:v>42867</c:v>
                </c:pt>
                <c:pt idx="209">
                  <c:v>42868</c:v>
                </c:pt>
                <c:pt idx="210">
                  <c:v>42869</c:v>
                </c:pt>
                <c:pt idx="211">
                  <c:v>42870</c:v>
                </c:pt>
                <c:pt idx="212">
                  <c:v>42871</c:v>
                </c:pt>
                <c:pt idx="213">
                  <c:v>42872</c:v>
                </c:pt>
                <c:pt idx="214">
                  <c:v>42873</c:v>
                </c:pt>
                <c:pt idx="215">
                  <c:v>42874</c:v>
                </c:pt>
                <c:pt idx="216">
                  <c:v>42875</c:v>
                </c:pt>
                <c:pt idx="217">
                  <c:v>42876</c:v>
                </c:pt>
                <c:pt idx="218">
                  <c:v>42877</c:v>
                </c:pt>
                <c:pt idx="219">
                  <c:v>42878</c:v>
                </c:pt>
                <c:pt idx="220">
                  <c:v>42879</c:v>
                </c:pt>
                <c:pt idx="221">
                  <c:v>42880</c:v>
                </c:pt>
                <c:pt idx="222">
                  <c:v>42881</c:v>
                </c:pt>
                <c:pt idx="223">
                  <c:v>42882</c:v>
                </c:pt>
                <c:pt idx="224">
                  <c:v>42883</c:v>
                </c:pt>
                <c:pt idx="225">
                  <c:v>42884</c:v>
                </c:pt>
                <c:pt idx="226">
                  <c:v>42885</c:v>
                </c:pt>
                <c:pt idx="227">
                  <c:v>42886</c:v>
                </c:pt>
                <c:pt idx="228">
                  <c:v>42887</c:v>
                </c:pt>
                <c:pt idx="229">
                  <c:v>42888</c:v>
                </c:pt>
                <c:pt idx="230">
                  <c:v>42889</c:v>
                </c:pt>
                <c:pt idx="231">
                  <c:v>42890</c:v>
                </c:pt>
                <c:pt idx="232">
                  <c:v>42891</c:v>
                </c:pt>
                <c:pt idx="233">
                  <c:v>42892</c:v>
                </c:pt>
                <c:pt idx="234">
                  <c:v>42893</c:v>
                </c:pt>
                <c:pt idx="235">
                  <c:v>42894</c:v>
                </c:pt>
                <c:pt idx="236">
                  <c:v>42895</c:v>
                </c:pt>
                <c:pt idx="237">
                  <c:v>42896</c:v>
                </c:pt>
                <c:pt idx="238">
                  <c:v>42897</c:v>
                </c:pt>
                <c:pt idx="239">
                  <c:v>42898</c:v>
                </c:pt>
                <c:pt idx="240">
                  <c:v>42899</c:v>
                </c:pt>
                <c:pt idx="241">
                  <c:v>42900</c:v>
                </c:pt>
                <c:pt idx="242">
                  <c:v>42901</c:v>
                </c:pt>
                <c:pt idx="243">
                  <c:v>42902</c:v>
                </c:pt>
                <c:pt idx="244">
                  <c:v>42903</c:v>
                </c:pt>
                <c:pt idx="245">
                  <c:v>42904</c:v>
                </c:pt>
                <c:pt idx="246">
                  <c:v>42905</c:v>
                </c:pt>
                <c:pt idx="247">
                  <c:v>42906</c:v>
                </c:pt>
                <c:pt idx="248">
                  <c:v>42907</c:v>
                </c:pt>
                <c:pt idx="249">
                  <c:v>42908</c:v>
                </c:pt>
                <c:pt idx="250">
                  <c:v>42909</c:v>
                </c:pt>
                <c:pt idx="251">
                  <c:v>42910</c:v>
                </c:pt>
                <c:pt idx="252">
                  <c:v>42911</c:v>
                </c:pt>
                <c:pt idx="253">
                  <c:v>42912</c:v>
                </c:pt>
                <c:pt idx="254">
                  <c:v>42913</c:v>
                </c:pt>
                <c:pt idx="255">
                  <c:v>42914</c:v>
                </c:pt>
                <c:pt idx="256">
                  <c:v>42915</c:v>
                </c:pt>
                <c:pt idx="257">
                  <c:v>42916</c:v>
                </c:pt>
                <c:pt idx="258">
                  <c:v>42917</c:v>
                </c:pt>
                <c:pt idx="259">
                  <c:v>42918</c:v>
                </c:pt>
                <c:pt idx="260">
                  <c:v>42919</c:v>
                </c:pt>
                <c:pt idx="261">
                  <c:v>42920</c:v>
                </c:pt>
                <c:pt idx="262">
                  <c:v>42921</c:v>
                </c:pt>
                <c:pt idx="263">
                  <c:v>42922</c:v>
                </c:pt>
                <c:pt idx="264">
                  <c:v>42923</c:v>
                </c:pt>
                <c:pt idx="265">
                  <c:v>42924</c:v>
                </c:pt>
                <c:pt idx="266">
                  <c:v>42925</c:v>
                </c:pt>
                <c:pt idx="267">
                  <c:v>42926</c:v>
                </c:pt>
                <c:pt idx="268">
                  <c:v>42927</c:v>
                </c:pt>
                <c:pt idx="269">
                  <c:v>42928</c:v>
                </c:pt>
                <c:pt idx="270">
                  <c:v>42929</c:v>
                </c:pt>
                <c:pt idx="271">
                  <c:v>42930</c:v>
                </c:pt>
                <c:pt idx="272">
                  <c:v>42931</c:v>
                </c:pt>
                <c:pt idx="273">
                  <c:v>42932</c:v>
                </c:pt>
                <c:pt idx="274">
                  <c:v>42933</c:v>
                </c:pt>
                <c:pt idx="275">
                  <c:v>42934</c:v>
                </c:pt>
                <c:pt idx="276">
                  <c:v>42935</c:v>
                </c:pt>
                <c:pt idx="277">
                  <c:v>42936</c:v>
                </c:pt>
                <c:pt idx="278">
                  <c:v>42937</c:v>
                </c:pt>
                <c:pt idx="279">
                  <c:v>42938</c:v>
                </c:pt>
                <c:pt idx="280">
                  <c:v>42939</c:v>
                </c:pt>
                <c:pt idx="281">
                  <c:v>42940</c:v>
                </c:pt>
                <c:pt idx="282">
                  <c:v>42941</c:v>
                </c:pt>
                <c:pt idx="283">
                  <c:v>42942</c:v>
                </c:pt>
                <c:pt idx="284">
                  <c:v>42943</c:v>
                </c:pt>
                <c:pt idx="285">
                  <c:v>42944</c:v>
                </c:pt>
                <c:pt idx="286">
                  <c:v>42945</c:v>
                </c:pt>
                <c:pt idx="287">
                  <c:v>42946</c:v>
                </c:pt>
                <c:pt idx="288">
                  <c:v>42947</c:v>
                </c:pt>
                <c:pt idx="289">
                  <c:v>42948</c:v>
                </c:pt>
                <c:pt idx="290">
                  <c:v>42949</c:v>
                </c:pt>
                <c:pt idx="291">
                  <c:v>42950</c:v>
                </c:pt>
                <c:pt idx="292">
                  <c:v>42951</c:v>
                </c:pt>
                <c:pt idx="293">
                  <c:v>42952</c:v>
                </c:pt>
                <c:pt idx="294">
                  <c:v>42953</c:v>
                </c:pt>
                <c:pt idx="295">
                  <c:v>42954</c:v>
                </c:pt>
                <c:pt idx="296">
                  <c:v>42955</c:v>
                </c:pt>
                <c:pt idx="297">
                  <c:v>42956</c:v>
                </c:pt>
                <c:pt idx="298">
                  <c:v>42957</c:v>
                </c:pt>
                <c:pt idx="299">
                  <c:v>42958</c:v>
                </c:pt>
                <c:pt idx="300">
                  <c:v>42959</c:v>
                </c:pt>
                <c:pt idx="301">
                  <c:v>42960</c:v>
                </c:pt>
                <c:pt idx="302">
                  <c:v>42961</c:v>
                </c:pt>
                <c:pt idx="303">
                  <c:v>42962</c:v>
                </c:pt>
                <c:pt idx="304">
                  <c:v>42963</c:v>
                </c:pt>
                <c:pt idx="305">
                  <c:v>42964</c:v>
                </c:pt>
                <c:pt idx="306">
                  <c:v>42965</c:v>
                </c:pt>
                <c:pt idx="307">
                  <c:v>42966</c:v>
                </c:pt>
                <c:pt idx="308">
                  <c:v>42967</c:v>
                </c:pt>
                <c:pt idx="309">
                  <c:v>42968</c:v>
                </c:pt>
                <c:pt idx="310">
                  <c:v>42969</c:v>
                </c:pt>
                <c:pt idx="311">
                  <c:v>42970</c:v>
                </c:pt>
                <c:pt idx="312">
                  <c:v>42971</c:v>
                </c:pt>
                <c:pt idx="313">
                  <c:v>42972</c:v>
                </c:pt>
                <c:pt idx="314">
                  <c:v>42973</c:v>
                </c:pt>
                <c:pt idx="315">
                  <c:v>42974</c:v>
                </c:pt>
                <c:pt idx="316">
                  <c:v>42975</c:v>
                </c:pt>
                <c:pt idx="317">
                  <c:v>42976</c:v>
                </c:pt>
                <c:pt idx="318">
                  <c:v>42977</c:v>
                </c:pt>
                <c:pt idx="319">
                  <c:v>42978</c:v>
                </c:pt>
                <c:pt idx="320">
                  <c:v>42979</c:v>
                </c:pt>
                <c:pt idx="321">
                  <c:v>42980</c:v>
                </c:pt>
                <c:pt idx="322">
                  <c:v>42981</c:v>
                </c:pt>
                <c:pt idx="323">
                  <c:v>42982</c:v>
                </c:pt>
                <c:pt idx="324">
                  <c:v>42983</c:v>
                </c:pt>
                <c:pt idx="325">
                  <c:v>42984</c:v>
                </c:pt>
                <c:pt idx="326">
                  <c:v>42985</c:v>
                </c:pt>
                <c:pt idx="327">
                  <c:v>42986</c:v>
                </c:pt>
                <c:pt idx="328">
                  <c:v>42987</c:v>
                </c:pt>
                <c:pt idx="329">
                  <c:v>42988</c:v>
                </c:pt>
                <c:pt idx="330">
                  <c:v>42989</c:v>
                </c:pt>
                <c:pt idx="331">
                  <c:v>42990</c:v>
                </c:pt>
                <c:pt idx="332">
                  <c:v>42991</c:v>
                </c:pt>
              </c:numCache>
            </c:numRef>
          </c:cat>
          <c:val>
            <c:numRef>
              <c:f>'Sheet2 (3)'!$E$2:$E$356</c:f>
              <c:numCache>
                <c:formatCode>General</c:formatCode>
                <c:ptCount val="355"/>
                <c:pt idx="0">
                  <c:v>-3.3982199899999994</c:v>
                </c:pt>
                <c:pt idx="1">
                  <c:v>-6.0764268899999996</c:v>
                </c:pt>
                <c:pt idx="2">
                  <c:v>-7.2543779700000002</c:v>
                </c:pt>
                <c:pt idx="3">
                  <c:v>-8.8485467500000006</c:v>
                </c:pt>
                <c:pt idx="4">
                  <c:v>-9.0682442000000005</c:v>
                </c:pt>
                <c:pt idx="5">
                  <c:v>-11.511297710000001</c:v>
                </c:pt>
                <c:pt idx="6">
                  <c:v>-9.8750060799999986</c:v>
                </c:pt>
                <c:pt idx="7">
                  <c:v>-10.914774200000002</c:v>
                </c:pt>
                <c:pt idx="8">
                  <c:v>-11.403650949999999</c:v>
                </c:pt>
                <c:pt idx="9">
                  <c:v>-10.952703870000001</c:v>
                </c:pt>
                <c:pt idx="10">
                  <c:v>-9.8949313599999993</c:v>
                </c:pt>
                <c:pt idx="11">
                  <c:v>-8.7702347599999992</c:v>
                </c:pt>
                <c:pt idx="12">
                  <c:v>-6.9409197199999983</c:v>
                </c:pt>
                <c:pt idx="13">
                  <c:v>-8.2211789599999996</c:v>
                </c:pt>
                <c:pt idx="14">
                  <c:v>-4.8936263400000009</c:v>
                </c:pt>
                <c:pt idx="15">
                  <c:v>-3.5125893800000014</c:v>
                </c:pt>
                <c:pt idx="16">
                  <c:v>-6.4871158099999988</c:v>
                </c:pt>
                <c:pt idx="17">
                  <c:v>-7.8559444700000007</c:v>
                </c:pt>
                <c:pt idx="18">
                  <c:v>-8.0625978599999986</c:v>
                </c:pt>
                <c:pt idx="19">
                  <c:v>-6.4826216599999995</c:v>
                </c:pt>
                <c:pt idx="20">
                  <c:v>-6.5741248499999987</c:v>
                </c:pt>
                <c:pt idx="21">
                  <c:v>-9.1147700699999987</c:v>
                </c:pt>
                <c:pt idx="22">
                  <c:v>-7.2676604099999995</c:v>
                </c:pt>
                <c:pt idx="23">
                  <c:v>-7.8843519099999977</c:v>
                </c:pt>
                <c:pt idx="24">
                  <c:v>-4.548662740000001</c:v>
                </c:pt>
                <c:pt idx="25">
                  <c:v>-4.9418917199999992</c:v>
                </c:pt>
                <c:pt idx="26">
                  <c:v>-3.4339748899999982</c:v>
                </c:pt>
                <c:pt idx="27">
                  <c:v>-2.3858240599999991</c:v>
                </c:pt>
                <c:pt idx="28">
                  <c:v>-3.8317545099999979</c:v>
                </c:pt>
                <c:pt idx="29">
                  <c:v>-2.7699258300000018</c:v>
                </c:pt>
                <c:pt idx="30">
                  <c:v>-2.2291187000000026</c:v>
                </c:pt>
                <c:pt idx="31">
                  <c:v>-1.6314171999999978</c:v>
                </c:pt>
                <c:pt idx="32">
                  <c:v>1.1557970699999984</c:v>
                </c:pt>
                <c:pt idx="33">
                  <c:v>-0.1547247899999995</c:v>
                </c:pt>
                <c:pt idx="34">
                  <c:v>-0.18470622000000247</c:v>
                </c:pt>
                <c:pt idx="35">
                  <c:v>-1.5323692499999986</c:v>
                </c:pt>
                <c:pt idx="36">
                  <c:v>-0.15401583999999957</c:v>
                </c:pt>
                <c:pt idx="37">
                  <c:v>-0.8596615700000001</c:v>
                </c:pt>
                <c:pt idx="38">
                  <c:v>-1.5676321599999987</c:v>
                </c:pt>
                <c:pt idx="39">
                  <c:v>-2.6467425900000023</c:v>
                </c:pt>
                <c:pt idx="40">
                  <c:v>-3.31500445</c:v>
                </c:pt>
                <c:pt idx="41">
                  <c:v>-4.5516738199999978</c:v>
                </c:pt>
                <c:pt idx="42">
                  <c:v>-3.5122577499999998</c:v>
                </c:pt>
                <c:pt idx="43">
                  <c:v>-4.1320442899999996</c:v>
                </c:pt>
                <c:pt idx="44">
                  <c:v>-6.0968509299999987</c:v>
                </c:pt>
                <c:pt idx="45">
                  <c:v>-5.7795675699999993</c:v>
                </c:pt>
                <c:pt idx="46">
                  <c:v>-3.4212263599999986</c:v>
                </c:pt>
                <c:pt idx="47">
                  <c:v>-2.9383636099999997</c:v>
                </c:pt>
                <c:pt idx="48">
                  <c:v>-2.2169965900000008</c:v>
                </c:pt>
                <c:pt idx="49">
                  <c:v>-1.0743022799999995</c:v>
                </c:pt>
                <c:pt idx="50">
                  <c:v>-3.3814944600000008</c:v>
                </c:pt>
                <c:pt idx="51">
                  <c:v>-2.6967503099999988</c:v>
                </c:pt>
                <c:pt idx="52">
                  <c:v>-3.5212497900000006</c:v>
                </c:pt>
                <c:pt idx="53">
                  <c:v>-5.4086487399999985</c:v>
                </c:pt>
                <c:pt idx="54">
                  <c:v>-5.7059312799999997</c:v>
                </c:pt>
                <c:pt idx="55">
                  <c:v>-5.6495901600000007</c:v>
                </c:pt>
                <c:pt idx="56">
                  <c:v>-8.0589297000000002</c:v>
                </c:pt>
                <c:pt idx="57">
                  <c:v>-7.6049381700000023</c:v>
                </c:pt>
                <c:pt idx="58">
                  <c:v>-5.4837457500000006</c:v>
                </c:pt>
                <c:pt idx="59">
                  <c:v>-5.6290022499999992</c:v>
                </c:pt>
                <c:pt idx="60">
                  <c:v>-5.8356283800000011</c:v>
                </c:pt>
                <c:pt idx="61">
                  <c:v>-4.4984075399999988</c:v>
                </c:pt>
                <c:pt idx="62">
                  <c:v>-2.9788498499999996</c:v>
                </c:pt>
                <c:pt idx="63">
                  <c:v>-0.67778054000000054</c:v>
                </c:pt>
                <c:pt idx="64">
                  <c:v>-1.1616416399999991</c:v>
                </c:pt>
                <c:pt idx="65">
                  <c:v>-5.9365790000001084E-2</c:v>
                </c:pt>
                <c:pt idx="66">
                  <c:v>0.45132659000000075</c:v>
                </c:pt>
                <c:pt idx="67">
                  <c:v>2.0895558699999981</c:v>
                </c:pt>
                <c:pt idx="68">
                  <c:v>5.9799384800000013</c:v>
                </c:pt>
                <c:pt idx="69">
                  <c:v>5.787116730000001</c:v>
                </c:pt>
                <c:pt idx="70">
                  <c:v>6.8606537899999989</c:v>
                </c:pt>
                <c:pt idx="71">
                  <c:v>4.5663032000000001</c:v>
                </c:pt>
                <c:pt idx="72">
                  <c:v>3.8303404299999997</c:v>
                </c:pt>
                <c:pt idx="73">
                  <c:v>1.8456014799999991</c:v>
                </c:pt>
                <c:pt idx="74">
                  <c:v>2.4038462000000003</c:v>
                </c:pt>
                <c:pt idx="75">
                  <c:v>1.2600487100000031</c:v>
                </c:pt>
                <c:pt idx="76">
                  <c:v>-1.0314152300000003</c:v>
                </c:pt>
                <c:pt idx="77">
                  <c:v>-1.9805217700000028</c:v>
                </c:pt>
                <c:pt idx="78">
                  <c:v>-2.4991463399999994</c:v>
                </c:pt>
                <c:pt idx="79">
                  <c:v>-2.8784582200000024</c:v>
                </c:pt>
                <c:pt idx="80">
                  <c:v>-1.4728284900000013</c:v>
                </c:pt>
                <c:pt idx="81">
                  <c:v>-0.76714833000000127</c:v>
                </c:pt>
                <c:pt idx="82">
                  <c:v>-3.1911016299999986</c:v>
                </c:pt>
                <c:pt idx="83">
                  <c:v>-3.7578766200000011</c:v>
                </c:pt>
                <c:pt idx="84">
                  <c:v>-5.2722490699999973</c:v>
                </c:pt>
                <c:pt idx="85">
                  <c:v>-8.3056473700000026</c:v>
                </c:pt>
                <c:pt idx="86">
                  <c:v>-10.146110960000001</c:v>
                </c:pt>
                <c:pt idx="87">
                  <c:v>-10.040118820000002</c:v>
                </c:pt>
                <c:pt idx="88">
                  <c:v>-9.2765811000000014</c:v>
                </c:pt>
                <c:pt idx="89">
                  <c:v>-6.964160360000001</c:v>
                </c:pt>
                <c:pt idx="90">
                  <c:v>-8.5455028499999983</c:v>
                </c:pt>
                <c:pt idx="91">
                  <c:v>-8.3544911899999992</c:v>
                </c:pt>
                <c:pt idx="92">
                  <c:v>-6.3965687399999993</c:v>
                </c:pt>
                <c:pt idx="93">
                  <c:v>-3.2543620099999977</c:v>
                </c:pt>
                <c:pt idx="94">
                  <c:v>-4.7545636400000006</c:v>
                </c:pt>
                <c:pt idx="95">
                  <c:v>-2.2477600700000018</c:v>
                </c:pt>
                <c:pt idx="96">
                  <c:v>-1.7119336899999986</c:v>
                </c:pt>
                <c:pt idx="97">
                  <c:v>-3.5320327400000018</c:v>
                </c:pt>
                <c:pt idx="98">
                  <c:v>-3.8372224199999998</c:v>
                </c:pt>
                <c:pt idx="99">
                  <c:v>-2.8920397100000024</c:v>
                </c:pt>
                <c:pt idx="100">
                  <c:v>-0.13794887999999972</c:v>
                </c:pt>
                <c:pt idx="101">
                  <c:v>0.20692409000000112</c:v>
                </c:pt>
                <c:pt idx="102">
                  <c:v>1.6782141599999996</c:v>
                </c:pt>
                <c:pt idx="103">
                  <c:v>2.8060117800000022</c:v>
                </c:pt>
                <c:pt idx="104">
                  <c:v>5.0580308099999982</c:v>
                </c:pt>
                <c:pt idx="105">
                  <c:v>4.3899183999999991</c:v>
                </c:pt>
                <c:pt idx="106">
                  <c:v>4.2699040900000007</c:v>
                </c:pt>
                <c:pt idx="107">
                  <c:v>4.3693460500000008</c:v>
                </c:pt>
                <c:pt idx="108">
                  <c:v>4.8054985899999991</c:v>
                </c:pt>
                <c:pt idx="109">
                  <c:v>2.9425756000000014</c:v>
                </c:pt>
                <c:pt idx="110">
                  <c:v>3.6127049699999993</c:v>
                </c:pt>
                <c:pt idx="111">
                  <c:v>5.7482700599999994</c:v>
                </c:pt>
                <c:pt idx="112">
                  <c:v>7.1713783600000021</c:v>
                </c:pt>
                <c:pt idx="113">
                  <c:v>7.0211787899999969</c:v>
                </c:pt>
                <c:pt idx="114">
                  <c:v>7.2887134899999992</c:v>
                </c:pt>
                <c:pt idx="115">
                  <c:v>8.9481804000000018</c:v>
                </c:pt>
                <c:pt idx="116">
                  <c:v>6.5909797899999987</c:v>
                </c:pt>
                <c:pt idx="117">
                  <c:v>7.0065294899999984</c:v>
                </c:pt>
                <c:pt idx="118">
                  <c:v>8.1407650099999991</c:v>
                </c:pt>
                <c:pt idx="119">
                  <c:v>7.8432627399999966</c:v>
                </c:pt>
                <c:pt idx="120">
                  <c:v>5.541672430000002</c:v>
                </c:pt>
                <c:pt idx="121">
                  <c:v>4.4809282599999989</c:v>
                </c:pt>
                <c:pt idx="122">
                  <c:v>5.9441693999999998</c:v>
                </c:pt>
                <c:pt idx="123">
                  <c:v>6.9069316200000017</c:v>
                </c:pt>
                <c:pt idx="124">
                  <c:v>8.6201532699999994</c:v>
                </c:pt>
                <c:pt idx="125">
                  <c:v>6.1335942199999991</c:v>
                </c:pt>
                <c:pt idx="126">
                  <c:v>7.7649302300000009</c:v>
                </c:pt>
                <c:pt idx="127">
                  <c:v>6.7570691499999995</c:v>
                </c:pt>
                <c:pt idx="128">
                  <c:v>6.4739787999999976</c:v>
                </c:pt>
                <c:pt idx="129">
                  <c:v>7.0391690100000019</c:v>
                </c:pt>
                <c:pt idx="130">
                  <c:v>8.0976403800000014</c:v>
                </c:pt>
                <c:pt idx="131">
                  <c:v>9.1450658699999998</c:v>
                </c:pt>
                <c:pt idx="132">
                  <c:v>9.9930551700000017</c:v>
                </c:pt>
                <c:pt idx="133">
                  <c:v>12.40998218</c:v>
                </c:pt>
                <c:pt idx="134">
                  <c:v>11.656984680000001</c:v>
                </c:pt>
                <c:pt idx="135">
                  <c:v>10.223524400000002</c:v>
                </c:pt>
                <c:pt idx="136">
                  <c:v>12.145602750000002</c:v>
                </c:pt>
                <c:pt idx="137">
                  <c:v>10.894030149999999</c:v>
                </c:pt>
                <c:pt idx="138">
                  <c:v>10.73663144</c:v>
                </c:pt>
                <c:pt idx="139">
                  <c:v>11.26300298</c:v>
                </c:pt>
                <c:pt idx="140">
                  <c:v>11.475028120000001</c:v>
                </c:pt>
                <c:pt idx="141">
                  <c:v>10.482662730000001</c:v>
                </c:pt>
                <c:pt idx="142">
                  <c:v>11.823856150000001</c:v>
                </c:pt>
                <c:pt idx="143">
                  <c:v>11.38687457</c:v>
                </c:pt>
                <c:pt idx="144">
                  <c:v>10.349434970000001</c:v>
                </c:pt>
                <c:pt idx="145">
                  <c:v>8.9611632999999991</c:v>
                </c:pt>
                <c:pt idx="146">
                  <c:v>11.079880209999999</c:v>
                </c:pt>
                <c:pt idx="147">
                  <c:v>13.094735170000003</c:v>
                </c:pt>
                <c:pt idx="148">
                  <c:v>16.679900889999999</c:v>
                </c:pt>
                <c:pt idx="149">
                  <c:v>15.025261089999999</c:v>
                </c:pt>
                <c:pt idx="150">
                  <c:v>15.349188209999999</c:v>
                </c:pt>
                <c:pt idx="151">
                  <c:v>14.88152131</c:v>
                </c:pt>
                <c:pt idx="152">
                  <c:v>15.835549579999999</c:v>
                </c:pt>
                <c:pt idx="153">
                  <c:v>14.705877149999999</c:v>
                </c:pt>
                <c:pt idx="154">
                  <c:v>15.071718500000001</c:v>
                </c:pt>
                <c:pt idx="155">
                  <c:v>14.676849039999999</c:v>
                </c:pt>
                <c:pt idx="156">
                  <c:v>13.198881799999999</c:v>
                </c:pt>
                <c:pt idx="157">
                  <c:v>16.376128340000001</c:v>
                </c:pt>
                <c:pt idx="158">
                  <c:v>17.062231669999999</c:v>
                </c:pt>
                <c:pt idx="159">
                  <c:v>17.117222249999998</c:v>
                </c:pt>
                <c:pt idx="160">
                  <c:v>18.33278039</c:v>
                </c:pt>
                <c:pt idx="161">
                  <c:v>18.674549299999999</c:v>
                </c:pt>
                <c:pt idx="162">
                  <c:v>17.923074030000002</c:v>
                </c:pt>
                <c:pt idx="163">
                  <c:v>18.751629999999999</c:v>
                </c:pt>
                <c:pt idx="164">
                  <c:v>18.48317196</c:v>
                </c:pt>
                <c:pt idx="165">
                  <c:v>19.338215749999996</c:v>
                </c:pt>
                <c:pt idx="166">
                  <c:v>17.290337010000002</c:v>
                </c:pt>
                <c:pt idx="167">
                  <c:v>17.623681300000001</c:v>
                </c:pt>
                <c:pt idx="168">
                  <c:v>16.108947309999998</c:v>
                </c:pt>
                <c:pt idx="169">
                  <c:v>16.819161489999999</c:v>
                </c:pt>
                <c:pt idx="170">
                  <c:v>17.618824260000004</c:v>
                </c:pt>
                <c:pt idx="171">
                  <c:v>17.23773924</c:v>
                </c:pt>
                <c:pt idx="172">
                  <c:v>18.493170719999998</c:v>
                </c:pt>
                <c:pt idx="173">
                  <c:v>19.290952059999999</c:v>
                </c:pt>
                <c:pt idx="174">
                  <c:v>20.386142360000001</c:v>
                </c:pt>
                <c:pt idx="175">
                  <c:v>18.485674839999998</c:v>
                </c:pt>
                <c:pt idx="176">
                  <c:v>19.748895870000002</c:v>
                </c:pt>
                <c:pt idx="177">
                  <c:v>18.883088630000003</c:v>
                </c:pt>
                <c:pt idx="178">
                  <c:v>17.32846082</c:v>
                </c:pt>
                <c:pt idx="179">
                  <c:v>14.39660533</c:v>
                </c:pt>
                <c:pt idx="180">
                  <c:v>13.940004990000002</c:v>
                </c:pt>
                <c:pt idx="181">
                  <c:v>16.670308970000001</c:v>
                </c:pt>
                <c:pt idx="182">
                  <c:v>15.977301750000001</c:v>
                </c:pt>
                <c:pt idx="183">
                  <c:v>13.833225100000002</c:v>
                </c:pt>
                <c:pt idx="184">
                  <c:v>15.047379820000002</c:v>
                </c:pt>
                <c:pt idx="185">
                  <c:v>15.881386220000001</c:v>
                </c:pt>
                <c:pt idx="186">
                  <c:v>16.434444989999999</c:v>
                </c:pt>
                <c:pt idx="187">
                  <c:v>16.947481239999998</c:v>
                </c:pt>
                <c:pt idx="188">
                  <c:v>16.531353209999999</c:v>
                </c:pt>
                <c:pt idx="189">
                  <c:v>17.509799749999999</c:v>
                </c:pt>
                <c:pt idx="190">
                  <c:v>14.462293169999999</c:v>
                </c:pt>
                <c:pt idx="191">
                  <c:v>12.77194171</c:v>
                </c:pt>
                <c:pt idx="192">
                  <c:v>11.846898789999997</c:v>
                </c:pt>
                <c:pt idx="193">
                  <c:v>12.567759109999999</c:v>
                </c:pt>
                <c:pt idx="194">
                  <c:v>11.540058270000001</c:v>
                </c:pt>
                <c:pt idx="195">
                  <c:v>8.8934161599999992</c:v>
                </c:pt>
                <c:pt idx="196">
                  <c:v>8.0094777499999985</c:v>
                </c:pt>
                <c:pt idx="197">
                  <c:v>10.199943680000001</c:v>
                </c:pt>
                <c:pt idx="198">
                  <c:v>12.44720034</c:v>
                </c:pt>
                <c:pt idx="199">
                  <c:v>11.329178470000002</c:v>
                </c:pt>
                <c:pt idx="200">
                  <c:v>9.5017467999999994</c:v>
                </c:pt>
                <c:pt idx="201">
                  <c:v>6.6854993500000006</c:v>
                </c:pt>
                <c:pt idx="202">
                  <c:v>6.8897313399999991</c:v>
                </c:pt>
                <c:pt idx="203">
                  <c:v>5.59823235</c:v>
                </c:pt>
                <c:pt idx="204">
                  <c:v>8.3235030899999991</c:v>
                </c:pt>
                <c:pt idx="205">
                  <c:v>10.970590809999999</c:v>
                </c:pt>
                <c:pt idx="206">
                  <c:v>10.075858509999998</c:v>
                </c:pt>
                <c:pt idx="207">
                  <c:v>13.935313070000003</c:v>
                </c:pt>
                <c:pt idx="208">
                  <c:v>14.351669279999999</c:v>
                </c:pt>
                <c:pt idx="209">
                  <c:v>12.940285170000001</c:v>
                </c:pt>
                <c:pt idx="210">
                  <c:v>9.9740867699999995</c:v>
                </c:pt>
                <c:pt idx="211">
                  <c:v>10.141467440000001</c:v>
                </c:pt>
                <c:pt idx="212">
                  <c:v>11.242145969999999</c:v>
                </c:pt>
                <c:pt idx="213">
                  <c:v>7.7421248300000016</c:v>
                </c:pt>
                <c:pt idx="214">
                  <c:v>5.5204984300000017</c:v>
                </c:pt>
                <c:pt idx="215">
                  <c:v>7.3474691099999987</c:v>
                </c:pt>
                <c:pt idx="216">
                  <c:v>8.8935092000000004</c:v>
                </c:pt>
                <c:pt idx="217">
                  <c:v>9.057159519999999</c:v>
                </c:pt>
                <c:pt idx="218">
                  <c:v>13.02170821</c:v>
                </c:pt>
                <c:pt idx="219">
                  <c:v>12.67278275</c:v>
                </c:pt>
                <c:pt idx="220">
                  <c:v>13.04975022</c:v>
                </c:pt>
                <c:pt idx="221">
                  <c:v>11.265443830000001</c:v>
                </c:pt>
                <c:pt idx="222">
                  <c:v>11.431729420000002</c:v>
                </c:pt>
                <c:pt idx="223">
                  <c:v>13.021405470000001</c:v>
                </c:pt>
                <c:pt idx="224">
                  <c:v>12.895225869999999</c:v>
                </c:pt>
                <c:pt idx="225">
                  <c:v>11.936749109999999</c:v>
                </c:pt>
                <c:pt idx="226">
                  <c:v>10.905280419999999</c:v>
                </c:pt>
                <c:pt idx="227">
                  <c:v>12.611389949999998</c:v>
                </c:pt>
                <c:pt idx="228">
                  <c:v>10.8499684</c:v>
                </c:pt>
                <c:pt idx="229">
                  <c:v>11.632233790000001</c:v>
                </c:pt>
                <c:pt idx="230">
                  <c:v>11.544564050000002</c:v>
                </c:pt>
                <c:pt idx="231">
                  <c:v>13.342122610000001</c:v>
                </c:pt>
                <c:pt idx="232">
                  <c:v>15.205882879999999</c:v>
                </c:pt>
                <c:pt idx="233">
                  <c:v>15.33836584</c:v>
                </c:pt>
                <c:pt idx="234">
                  <c:v>15.966132369999999</c:v>
                </c:pt>
                <c:pt idx="235">
                  <c:v>13.82584525</c:v>
                </c:pt>
                <c:pt idx="236">
                  <c:v>13.977497530000001</c:v>
                </c:pt>
                <c:pt idx="237">
                  <c:v>13.069062590000001</c:v>
                </c:pt>
                <c:pt idx="238">
                  <c:v>9.748886820000001</c:v>
                </c:pt>
                <c:pt idx="239">
                  <c:v>9.9203090000000014</c:v>
                </c:pt>
                <c:pt idx="240">
                  <c:v>9.9226870399999996</c:v>
                </c:pt>
                <c:pt idx="241">
                  <c:v>7.444438139999999</c:v>
                </c:pt>
                <c:pt idx="242">
                  <c:v>7.11262434</c:v>
                </c:pt>
                <c:pt idx="243">
                  <c:v>7.9824941599999981</c:v>
                </c:pt>
                <c:pt idx="244">
                  <c:v>7.2180602999999994</c:v>
                </c:pt>
                <c:pt idx="245">
                  <c:v>5.7127102099999973</c:v>
                </c:pt>
                <c:pt idx="246">
                  <c:v>5.9899554200000011</c:v>
                </c:pt>
                <c:pt idx="247">
                  <c:v>4.09426998</c:v>
                </c:pt>
                <c:pt idx="248">
                  <c:v>6.9592811600000015</c:v>
                </c:pt>
                <c:pt idx="249">
                  <c:v>5.82459931</c:v>
                </c:pt>
                <c:pt idx="250">
                  <c:v>5.8814464199999996</c:v>
                </c:pt>
                <c:pt idx="251">
                  <c:v>7.1259231599999993</c:v>
                </c:pt>
                <c:pt idx="252">
                  <c:v>8.3352621800000009</c:v>
                </c:pt>
                <c:pt idx="253">
                  <c:v>8.0795815199999979</c:v>
                </c:pt>
                <c:pt idx="254">
                  <c:v>4.2870129299999995</c:v>
                </c:pt>
                <c:pt idx="255">
                  <c:v>5.4044374299999998</c:v>
                </c:pt>
                <c:pt idx="256">
                  <c:v>6.1429901400000002</c:v>
                </c:pt>
                <c:pt idx="257">
                  <c:v>7.6429030499999993</c:v>
                </c:pt>
                <c:pt idx="258">
                  <c:v>6.4361283099999991</c:v>
                </c:pt>
                <c:pt idx="259">
                  <c:v>4.5201089199999984</c:v>
                </c:pt>
                <c:pt idx="260">
                  <c:v>3.4797502300000005</c:v>
                </c:pt>
                <c:pt idx="261">
                  <c:v>1.847080179999999</c:v>
                </c:pt>
                <c:pt idx="262">
                  <c:v>1.5211559999999977</c:v>
                </c:pt>
                <c:pt idx="263">
                  <c:v>5.4005804200000007</c:v>
                </c:pt>
                <c:pt idx="264">
                  <c:v>5.7030067400000028</c:v>
                </c:pt>
                <c:pt idx="265">
                  <c:v>4.30755044</c:v>
                </c:pt>
                <c:pt idx="266">
                  <c:v>2.9684141900000007</c:v>
                </c:pt>
                <c:pt idx="267">
                  <c:v>1.9656497499999972</c:v>
                </c:pt>
                <c:pt idx="268">
                  <c:v>0.88963408999999771</c:v>
                </c:pt>
                <c:pt idx="269">
                  <c:v>1.8460373300000015</c:v>
                </c:pt>
                <c:pt idx="270">
                  <c:v>3.6398261700000027</c:v>
                </c:pt>
                <c:pt idx="271">
                  <c:v>4.8734938200000002</c:v>
                </c:pt>
                <c:pt idx="272">
                  <c:v>4.0210313400000004</c:v>
                </c:pt>
                <c:pt idx="273">
                  <c:v>3.5562058599999986</c:v>
                </c:pt>
                <c:pt idx="274">
                  <c:v>2.7141793800000009</c:v>
                </c:pt>
                <c:pt idx="275">
                  <c:v>3.9288039400000017</c:v>
                </c:pt>
                <c:pt idx="276">
                  <c:v>4.5882288399999993</c:v>
                </c:pt>
                <c:pt idx="277">
                  <c:v>3.4491506600000008</c:v>
                </c:pt>
                <c:pt idx="278">
                  <c:v>2.6714280799999983</c:v>
                </c:pt>
                <c:pt idx="279">
                  <c:v>2.2335383499999999</c:v>
                </c:pt>
                <c:pt idx="280">
                  <c:v>1.3497719600000018</c:v>
                </c:pt>
                <c:pt idx="281">
                  <c:v>2.1199726199999986</c:v>
                </c:pt>
                <c:pt idx="282">
                  <c:v>3.5877993799999999</c:v>
                </c:pt>
                <c:pt idx="283">
                  <c:v>4.3116344899999994</c:v>
                </c:pt>
                <c:pt idx="284">
                  <c:v>3.0196105299999978</c:v>
                </c:pt>
                <c:pt idx="285">
                  <c:v>2.54610293</c:v>
                </c:pt>
                <c:pt idx="286">
                  <c:v>3.8226549500000004</c:v>
                </c:pt>
                <c:pt idx="287">
                  <c:v>4.1485869799999975</c:v>
                </c:pt>
                <c:pt idx="288">
                  <c:v>3.6543869999999998</c:v>
                </c:pt>
                <c:pt idx="289">
                  <c:v>3.72703366</c:v>
                </c:pt>
                <c:pt idx="290">
                  <c:v>2.9258955399999991</c:v>
                </c:pt>
                <c:pt idx="291">
                  <c:v>2.625632190000001</c:v>
                </c:pt>
                <c:pt idx="292">
                  <c:v>-0.68746040999999991</c:v>
                </c:pt>
                <c:pt idx="293">
                  <c:v>0.20348983999999959</c:v>
                </c:pt>
                <c:pt idx="294">
                  <c:v>1.0089904300000008</c:v>
                </c:pt>
                <c:pt idx="295">
                  <c:v>5.333069400000003</c:v>
                </c:pt>
                <c:pt idx="296">
                  <c:v>4.0755470599999981</c:v>
                </c:pt>
                <c:pt idx="297">
                  <c:v>3.6105455000000006</c:v>
                </c:pt>
                <c:pt idx="298">
                  <c:v>2.6339475399999976</c:v>
                </c:pt>
                <c:pt idx="299">
                  <c:v>6.1567408100000023</c:v>
                </c:pt>
                <c:pt idx="300">
                  <c:v>6.363043059999999</c:v>
                </c:pt>
                <c:pt idx="301">
                  <c:v>7.5386420799999989</c:v>
                </c:pt>
                <c:pt idx="302">
                  <c:v>7.8542960199999996</c:v>
                </c:pt>
                <c:pt idx="303">
                  <c:v>9.4845123200000003</c:v>
                </c:pt>
                <c:pt idx="304">
                  <c:v>8.646154880000001</c:v>
                </c:pt>
                <c:pt idx="305">
                  <c:v>8.1458578199999998</c:v>
                </c:pt>
                <c:pt idx="306">
                  <c:v>7.3421134899999991</c:v>
                </c:pt>
                <c:pt idx="307">
                  <c:v>7.2775710499999988</c:v>
                </c:pt>
                <c:pt idx="308">
                  <c:v>5.8378703300000012</c:v>
                </c:pt>
                <c:pt idx="309">
                  <c:v>5.9190575999999986</c:v>
                </c:pt>
                <c:pt idx="310">
                  <c:v>6.5009551200000004</c:v>
                </c:pt>
                <c:pt idx="311">
                  <c:v>4.8950385900000022</c:v>
                </c:pt>
                <c:pt idx="312">
                  <c:v>3.5669526400000002</c:v>
                </c:pt>
                <c:pt idx="313">
                  <c:v>3.2291977000000003</c:v>
                </c:pt>
                <c:pt idx="314">
                  <c:v>0.80084635000000048</c:v>
                </c:pt>
                <c:pt idx="315">
                  <c:v>1.2653674899999992</c:v>
                </c:pt>
                <c:pt idx="316">
                  <c:v>0.74351610000000079</c:v>
                </c:pt>
                <c:pt idx="317">
                  <c:v>-1.7061945200000004</c:v>
                </c:pt>
                <c:pt idx="318">
                  <c:v>-0.72554114000000069</c:v>
                </c:pt>
                <c:pt idx="319">
                  <c:v>-1.6878288800000014</c:v>
                </c:pt>
                <c:pt idx="320">
                  <c:v>0.71791203000000081</c:v>
                </c:pt>
                <c:pt idx="321">
                  <c:v>0.8264592499999992</c:v>
                </c:pt>
                <c:pt idx="322">
                  <c:v>1.572125579999998</c:v>
                </c:pt>
                <c:pt idx="323">
                  <c:v>-0.17567810999999978</c:v>
                </c:pt>
                <c:pt idx="324">
                  <c:v>-0.9281079200000022</c:v>
                </c:pt>
                <c:pt idx="325">
                  <c:v>1.4620085100000004</c:v>
                </c:pt>
                <c:pt idx="326">
                  <c:v>3.0337546800000013</c:v>
                </c:pt>
                <c:pt idx="327">
                  <c:v>0.85712162000000092</c:v>
                </c:pt>
                <c:pt idx="328">
                  <c:v>1.7954659399999997</c:v>
                </c:pt>
                <c:pt idx="329">
                  <c:v>2.1925594000000004</c:v>
                </c:pt>
                <c:pt idx="330">
                  <c:v>4.4684020699999998</c:v>
                </c:pt>
                <c:pt idx="331">
                  <c:v>2.4822157400000009</c:v>
                </c:pt>
                <c:pt idx="332">
                  <c:v>4.8546611799999972</c:v>
                </c:pt>
                <c:pt idx="334">
                  <c:v>7.6629921623627189</c:v>
                </c:pt>
              </c:numCache>
            </c:numRef>
          </c:val>
          <c:smooth val="0"/>
          <c:extLst>
            <c:ext xmlns:c16="http://schemas.microsoft.com/office/drawing/2014/chart" uri="{C3380CC4-5D6E-409C-BE32-E72D297353CC}">
              <c16:uniqueId val="{00000000-ABE1-4579-9AFF-A41742B99112}"/>
            </c:ext>
          </c:extLst>
        </c:ser>
        <c:dLbls>
          <c:showLegendKey val="0"/>
          <c:showVal val="0"/>
          <c:showCatName val="0"/>
          <c:showSerName val="0"/>
          <c:showPercent val="0"/>
          <c:showBubbleSize val="0"/>
        </c:dLbls>
        <c:smooth val="0"/>
        <c:axId val="596234416"/>
        <c:axId val="1292859792"/>
      </c:lineChart>
      <c:dateAx>
        <c:axId val="596234416"/>
        <c:scaling>
          <c:orientation val="minMax"/>
        </c:scaling>
        <c:delete val="0"/>
        <c:axPos val="b"/>
        <c:numFmt formatCode="dd-mmm-yy"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292859792"/>
        <c:crosses val="autoZero"/>
        <c:auto val="1"/>
        <c:lblOffset val="100"/>
        <c:baseTimeUnit val="days"/>
      </c:dateAx>
      <c:valAx>
        <c:axId val="1292859792"/>
        <c:scaling>
          <c:orientation val="minMax"/>
        </c:scaling>
        <c:delete val="0"/>
        <c:axPos val="l"/>
        <c:majorGridlines>
          <c:spPr>
            <a:ln w="9525" cap="flat" cmpd="sng" algn="ctr">
              <a:solidFill>
                <a:schemeClr val="tx2">
                  <a:lumMod val="15000"/>
                  <a:lumOff val="85000"/>
                </a:schemeClr>
              </a:solidFill>
              <a:round/>
            </a:ln>
            <a:effectLst/>
          </c:spPr>
        </c:majorGridlines>
        <c:minorGridlines>
          <c:spPr>
            <a:ln>
              <a:solidFill>
                <a:schemeClr val="tx2">
                  <a:lumMod val="5000"/>
                  <a:lumOff val="95000"/>
                </a:schemeClr>
              </a:solidFill>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596234416"/>
        <c:crosses val="autoZero"/>
        <c:crossBetween val="between"/>
      </c:valAx>
      <c:spPr>
        <a:noFill/>
        <a:ln>
          <a:noFill/>
        </a:ln>
        <a:effectLst/>
      </c:spPr>
    </c:plotArea>
    <c:plotVisOnly val="1"/>
    <c:dispBlanksAs val="zero"/>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Pricing</a:t>
            </a:r>
            <a:r>
              <a:rPr lang="en-US" baseline="0"/>
              <a:t> of GDAX Relative to BitStamp</a:t>
            </a:r>
            <a:br>
              <a:rPr lang="en-US" baseline="0"/>
            </a:br>
            <a:r>
              <a:rPr lang="en-US" sz="1100" i="1" baseline="0"/>
              <a:t>(deviation % from parity)</a:t>
            </a:r>
            <a:endParaRPr lang="en-US" i="1"/>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lineChart>
        <c:grouping val="stacked"/>
        <c:varyColors val="0"/>
        <c:ser>
          <c:idx val="0"/>
          <c:order val="0"/>
          <c:spPr>
            <a:ln w="31750" cap="rnd">
              <a:solidFill>
                <a:schemeClr val="accent1"/>
              </a:solidFill>
              <a:round/>
            </a:ln>
            <a:effectLst/>
          </c:spPr>
          <c:marker>
            <c:symbol val="none"/>
          </c:marker>
          <c:cat>
            <c:numRef>
              <c:f>'Sheet2 (4)'!$F$2:$F$356</c:f>
              <c:numCache>
                <c:formatCode>dd-mmm-yy</c:formatCode>
                <c:ptCount val="355"/>
                <c:pt idx="0">
                  <c:v>42659</c:v>
                </c:pt>
                <c:pt idx="1">
                  <c:v>42660</c:v>
                </c:pt>
                <c:pt idx="2">
                  <c:v>42661</c:v>
                </c:pt>
                <c:pt idx="3">
                  <c:v>42662</c:v>
                </c:pt>
                <c:pt idx="4">
                  <c:v>42663</c:v>
                </c:pt>
                <c:pt idx="5">
                  <c:v>42664</c:v>
                </c:pt>
                <c:pt idx="6">
                  <c:v>42665</c:v>
                </c:pt>
                <c:pt idx="7">
                  <c:v>42666</c:v>
                </c:pt>
                <c:pt idx="8">
                  <c:v>42667</c:v>
                </c:pt>
                <c:pt idx="9">
                  <c:v>42668</c:v>
                </c:pt>
                <c:pt idx="10">
                  <c:v>42669</c:v>
                </c:pt>
                <c:pt idx="11">
                  <c:v>42670</c:v>
                </c:pt>
                <c:pt idx="12">
                  <c:v>42671</c:v>
                </c:pt>
                <c:pt idx="13">
                  <c:v>42672</c:v>
                </c:pt>
                <c:pt idx="14">
                  <c:v>42673</c:v>
                </c:pt>
                <c:pt idx="15">
                  <c:v>42674</c:v>
                </c:pt>
                <c:pt idx="16">
                  <c:v>42675</c:v>
                </c:pt>
                <c:pt idx="17">
                  <c:v>42676</c:v>
                </c:pt>
                <c:pt idx="18">
                  <c:v>42677</c:v>
                </c:pt>
                <c:pt idx="19">
                  <c:v>42678</c:v>
                </c:pt>
                <c:pt idx="20">
                  <c:v>42679</c:v>
                </c:pt>
                <c:pt idx="21">
                  <c:v>42680</c:v>
                </c:pt>
                <c:pt idx="22">
                  <c:v>42681</c:v>
                </c:pt>
                <c:pt idx="23">
                  <c:v>42682</c:v>
                </c:pt>
                <c:pt idx="24">
                  <c:v>42683</c:v>
                </c:pt>
                <c:pt idx="25">
                  <c:v>42684</c:v>
                </c:pt>
                <c:pt idx="26">
                  <c:v>42685</c:v>
                </c:pt>
                <c:pt idx="27">
                  <c:v>42686</c:v>
                </c:pt>
                <c:pt idx="28">
                  <c:v>42687</c:v>
                </c:pt>
                <c:pt idx="29">
                  <c:v>42688</c:v>
                </c:pt>
                <c:pt idx="30">
                  <c:v>42689</c:v>
                </c:pt>
                <c:pt idx="31">
                  <c:v>42690</c:v>
                </c:pt>
                <c:pt idx="32">
                  <c:v>42691</c:v>
                </c:pt>
                <c:pt idx="33">
                  <c:v>42692</c:v>
                </c:pt>
                <c:pt idx="34">
                  <c:v>42693</c:v>
                </c:pt>
                <c:pt idx="35">
                  <c:v>42694</c:v>
                </c:pt>
                <c:pt idx="36">
                  <c:v>42695</c:v>
                </c:pt>
                <c:pt idx="37">
                  <c:v>42696</c:v>
                </c:pt>
                <c:pt idx="38">
                  <c:v>42697</c:v>
                </c:pt>
                <c:pt idx="39">
                  <c:v>42698</c:v>
                </c:pt>
                <c:pt idx="40">
                  <c:v>42699</c:v>
                </c:pt>
                <c:pt idx="41">
                  <c:v>42700</c:v>
                </c:pt>
                <c:pt idx="42">
                  <c:v>42701</c:v>
                </c:pt>
                <c:pt idx="43">
                  <c:v>42702</c:v>
                </c:pt>
                <c:pt idx="44">
                  <c:v>42703</c:v>
                </c:pt>
                <c:pt idx="45">
                  <c:v>42704</c:v>
                </c:pt>
                <c:pt idx="46">
                  <c:v>42705</c:v>
                </c:pt>
                <c:pt idx="47">
                  <c:v>42706</c:v>
                </c:pt>
                <c:pt idx="48">
                  <c:v>42707</c:v>
                </c:pt>
                <c:pt idx="49">
                  <c:v>42708</c:v>
                </c:pt>
                <c:pt idx="50">
                  <c:v>42709</c:v>
                </c:pt>
                <c:pt idx="51">
                  <c:v>42710</c:v>
                </c:pt>
                <c:pt idx="52">
                  <c:v>42711</c:v>
                </c:pt>
                <c:pt idx="53">
                  <c:v>42712</c:v>
                </c:pt>
                <c:pt idx="54">
                  <c:v>42713</c:v>
                </c:pt>
                <c:pt idx="55">
                  <c:v>42714</c:v>
                </c:pt>
                <c:pt idx="56">
                  <c:v>42715</c:v>
                </c:pt>
                <c:pt idx="57">
                  <c:v>42716</c:v>
                </c:pt>
                <c:pt idx="58">
                  <c:v>42717</c:v>
                </c:pt>
                <c:pt idx="59">
                  <c:v>42718</c:v>
                </c:pt>
                <c:pt idx="60">
                  <c:v>42719</c:v>
                </c:pt>
                <c:pt idx="61">
                  <c:v>42720</c:v>
                </c:pt>
                <c:pt idx="62">
                  <c:v>42721</c:v>
                </c:pt>
                <c:pt idx="63">
                  <c:v>42722</c:v>
                </c:pt>
                <c:pt idx="64">
                  <c:v>42723</c:v>
                </c:pt>
                <c:pt idx="65">
                  <c:v>42724</c:v>
                </c:pt>
                <c:pt idx="66">
                  <c:v>42725</c:v>
                </c:pt>
                <c:pt idx="67">
                  <c:v>42726</c:v>
                </c:pt>
                <c:pt idx="68">
                  <c:v>42727</c:v>
                </c:pt>
                <c:pt idx="69">
                  <c:v>42728</c:v>
                </c:pt>
                <c:pt idx="70">
                  <c:v>42729</c:v>
                </c:pt>
                <c:pt idx="71">
                  <c:v>42730</c:v>
                </c:pt>
                <c:pt idx="72">
                  <c:v>42731</c:v>
                </c:pt>
                <c:pt idx="73">
                  <c:v>42732</c:v>
                </c:pt>
                <c:pt idx="74">
                  <c:v>42733</c:v>
                </c:pt>
                <c:pt idx="75">
                  <c:v>42734</c:v>
                </c:pt>
                <c:pt idx="76">
                  <c:v>42735</c:v>
                </c:pt>
                <c:pt idx="77">
                  <c:v>42736</c:v>
                </c:pt>
                <c:pt idx="78">
                  <c:v>42737</c:v>
                </c:pt>
                <c:pt idx="79">
                  <c:v>42738</c:v>
                </c:pt>
                <c:pt idx="80">
                  <c:v>42739</c:v>
                </c:pt>
                <c:pt idx="81">
                  <c:v>42740</c:v>
                </c:pt>
                <c:pt idx="82">
                  <c:v>42741</c:v>
                </c:pt>
                <c:pt idx="83">
                  <c:v>42742</c:v>
                </c:pt>
                <c:pt idx="84">
                  <c:v>42743</c:v>
                </c:pt>
                <c:pt idx="85">
                  <c:v>42744</c:v>
                </c:pt>
                <c:pt idx="86">
                  <c:v>42745</c:v>
                </c:pt>
                <c:pt idx="87">
                  <c:v>42746</c:v>
                </c:pt>
                <c:pt idx="88">
                  <c:v>42747</c:v>
                </c:pt>
                <c:pt idx="89">
                  <c:v>42748</c:v>
                </c:pt>
                <c:pt idx="90">
                  <c:v>42749</c:v>
                </c:pt>
                <c:pt idx="91">
                  <c:v>42750</c:v>
                </c:pt>
                <c:pt idx="92">
                  <c:v>42751</c:v>
                </c:pt>
                <c:pt idx="93">
                  <c:v>42752</c:v>
                </c:pt>
                <c:pt idx="94">
                  <c:v>42753</c:v>
                </c:pt>
                <c:pt idx="95">
                  <c:v>42754</c:v>
                </c:pt>
                <c:pt idx="96">
                  <c:v>42755</c:v>
                </c:pt>
                <c:pt idx="97">
                  <c:v>42756</c:v>
                </c:pt>
                <c:pt idx="98">
                  <c:v>42757</c:v>
                </c:pt>
                <c:pt idx="99">
                  <c:v>42758</c:v>
                </c:pt>
                <c:pt idx="100">
                  <c:v>42759</c:v>
                </c:pt>
                <c:pt idx="101">
                  <c:v>42760</c:v>
                </c:pt>
                <c:pt idx="102">
                  <c:v>42761</c:v>
                </c:pt>
                <c:pt idx="103">
                  <c:v>42762</c:v>
                </c:pt>
                <c:pt idx="104">
                  <c:v>42763</c:v>
                </c:pt>
                <c:pt idx="105">
                  <c:v>42764</c:v>
                </c:pt>
                <c:pt idx="106">
                  <c:v>42765</c:v>
                </c:pt>
                <c:pt idx="107">
                  <c:v>42766</c:v>
                </c:pt>
                <c:pt idx="108">
                  <c:v>42767</c:v>
                </c:pt>
                <c:pt idx="109">
                  <c:v>42768</c:v>
                </c:pt>
                <c:pt idx="110">
                  <c:v>42769</c:v>
                </c:pt>
                <c:pt idx="111">
                  <c:v>42770</c:v>
                </c:pt>
                <c:pt idx="112">
                  <c:v>42771</c:v>
                </c:pt>
                <c:pt idx="113">
                  <c:v>42772</c:v>
                </c:pt>
                <c:pt idx="114">
                  <c:v>42773</c:v>
                </c:pt>
                <c:pt idx="115">
                  <c:v>42774</c:v>
                </c:pt>
                <c:pt idx="116">
                  <c:v>42775</c:v>
                </c:pt>
                <c:pt idx="117">
                  <c:v>42776</c:v>
                </c:pt>
                <c:pt idx="118">
                  <c:v>42777</c:v>
                </c:pt>
                <c:pt idx="119">
                  <c:v>42778</c:v>
                </c:pt>
                <c:pt idx="120">
                  <c:v>42779</c:v>
                </c:pt>
                <c:pt idx="121">
                  <c:v>42780</c:v>
                </c:pt>
                <c:pt idx="122">
                  <c:v>42781</c:v>
                </c:pt>
                <c:pt idx="123">
                  <c:v>42782</c:v>
                </c:pt>
                <c:pt idx="124">
                  <c:v>42783</c:v>
                </c:pt>
                <c:pt idx="125">
                  <c:v>42784</c:v>
                </c:pt>
                <c:pt idx="126">
                  <c:v>42785</c:v>
                </c:pt>
                <c:pt idx="127">
                  <c:v>42786</c:v>
                </c:pt>
                <c:pt idx="128">
                  <c:v>42787</c:v>
                </c:pt>
                <c:pt idx="129">
                  <c:v>42788</c:v>
                </c:pt>
                <c:pt idx="130">
                  <c:v>42789</c:v>
                </c:pt>
                <c:pt idx="131">
                  <c:v>42790</c:v>
                </c:pt>
                <c:pt idx="132">
                  <c:v>42791</c:v>
                </c:pt>
                <c:pt idx="133">
                  <c:v>42792</c:v>
                </c:pt>
                <c:pt idx="134">
                  <c:v>42793</c:v>
                </c:pt>
                <c:pt idx="135">
                  <c:v>42794</c:v>
                </c:pt>
                <c:pt idx="136">
                  <c:v>42795</c:v>
                </c:pt>
                <c:pt idx="137">
                  <c:v>42796</c:v>
                </c:pt>
                <c:pt idx="138">
                  <c:v>42797</c:v>
                </c:pt>
                <c:pt idx="139">
                  <c:v>42798</c:v>
                </c:pt>
                <c:pt idx="140">
                  <c:v>42799</c:v>
                </c:pt>
                <c:pt idx="141">
                  <c:v>42800</c:v>
                </c:pt>
                <c:pt idx="142">
                  <c:v>42801</c:v>
                </c:pt>
                <c:pt idx="143">
                  <c:v>42802</c:v>
                </c:pt>
                <c:pt idx="144">
                  <c:v>42803</c:v>
                </c:pt>
                <c:pt idx="145">
                  <c:v>42804</c:v>
                </c:pt>
                <c:pt idx="146">
                  <c:v>42805</c:v>
                </c:pt>
                <c:pt idx="147">
                  <c:v>42806</c:v>
                </c:pt>
                <c:pt idx="148">
                  <c:v>42807</c:v>
                </c:pt>
                <c:pt idx="149">
                  <c:v>42808</c:v>
                </c:pt>
                <c:pt idx="150">
                  <c:v>42809</c:v>
                </c:pt>
                <c:pt idx="151">
                  <c:v>42810</c:v>
                </c:pt>
                <c:pt idx="152">
                  <c:v>42811</c:v>
                </c:pt>
                <c:pt idx="153">
                  <c:v>42812</c:v>
                </c:pt>
                <c:pt idx="154">
                  <c:v>42813</c:v>
                </c:pt>
                <c:pt idx="155">
                  <c:v>42814</c:v>
                </c:pt>
                <c:pt idx="156">
                  <c:v>42815</c:v>
                </c:pt>
                <c:pt idx="157">
                  <c:v>42816</c:v>
                </c:pt>
                <c:pt idx="158">
                  <c:v>42817</c:v>
                </c:pt>
                <c:pt idx="159">
                  <c:v>42818</c:v>
                </c:pt>
                <c:pt idx="160">
                  <c:v>42819</c:v>
                </c:pt>
                <c:pt idx="161">
                  <c:v>42820</c:v>
                </c:pt>
                <c:pt idx="162">
                  <c:v>42821</c:v>
                </c:pt>
                <c:pt idx="163">
                  <c:v>42822</c:v>
                </c:pt>
                <c:pt idx="164">
                  <c:v>42823</c:v>
                </c:pt>
                <c:pt idx="165">
                  <c:v>42824</c:v>
                </c:pt>
                <c:pt idx="166">
                  <c:v>42825</c:v>
                </c:pt>
                <c:pt idx="167">
                  <c:v>42826</c:v>
                </c:pt>
                <c:pt idx="168">
                  <c:v>42827</c:v>
                </c:pt>
                <c:pt idx="169">
                  <c:v>42828</c:v>
                </c:pt>
                <c:pt idx="170">
                  <c:v>42829</c:v>
                </c:pt>
                <c:pt idx="171">
                  <c:v>42830</c:v>
                </c:pt>
                <c:pt idx="172">
                  <c:v>42831</c:v>
                </c:pt>
                <c:pt idx="173">
                  <c:v>42832</c:v>
                </c:pt>
                <c:pt idx="174">
                  <c:v>42833</c:v>
                </c:pt>
                <c:pt idx="175">
                  <c:v>42834</c:v>
                </c:pt>
                <c:pt idx="176">
                  <c:v>42835</c:v>
                </c:pt>
                <c:pt idx="177">
                  <c:v>42836</c:v>
                </c:pt>
                <c:pt idx="178">
                  <c:v>42837</c:v>
                </c:pt>
                <c:pt idx="179">
                  <c:v>42838</c:v>
                </c:pt>
                <c:pt idx="180">
                  <c:v>42839</c:v>
                </c:pt>
                <c:pt idx="181">
                  <c:v>42840</c:v>
                </c:pt>
                <c:pt idx="182">
                  <c:v>42841</c:v>
                </c:pt>
                <c:pt idx="183">
                  <c:v>42842</c:v>
                </c:pt>
                <c:pt idx="184">
                  <c:v>42843</c:v>
                </c:pt>
                <c:pt idx="185">
                  <c:v>42844</c:v>
                </c:pt>
                <c:pt idx="186">
                  <c:v>42845</c:v>
                </c:pt>
                <c:pt idx="187">
                  <c:v>42846</c:v>
                </c:pt>
                <c:pt idx="188">
                  <c:v>42847</c:v>
                </c:pt>
                <c:pt idx="189">
                  <c:v>42848</c:v>
                </c:pt>
                <c:pt idx="190">
                  <c:v>42849</c:v>
                </c:pt>
                <c:pt idx="191">
                  <c:v>42850</c:v>
                </c:pt>
                <c:pt idx="192">
                  <c:v>42851</c:v>
                </c:pt>
                <c:pt idx="193">
                  <c:v>42852</c:v>
                </c:pt>
                <c:pt idx="194">
                  <c:v>42853</c:v>
                </c:pt>
                <c:pt idx="195">
                  <c:v>42854</c:v>
                </c:pt>
                <c:pt idx="196">
                  <c:v>42855</c:v>
                </c:pt>
                <c:pt idx="197">
                  <c:v>42856</c:v>
                </c:pt>
                <c:pt idx="198">
                  <c:v>42857</c:v>
                </c:pt>
                <c:pt idx="199">
                  <c:v>42858</c:v>
                </c:pt>
                <c:pt idx="200">
                  <c:v>42859</c:v>
                </c:pt>
                <c:pt idx="201">
                  <c:v>42860</c:v>
                </c:pt>
                <c:pt idx="202">
                  <c:v>42861</c:v>
                </c:pt>
                <c:pt idx="203">
                  <c:v>42862</c:v>
                </c:pt>
                <c:pt idx="204">
                  <c:v>42863</c:v>
                </c:pt>
                <c:pt idx="205">
                  <c:v>42864</c:v>
                </c:pt>
                <c:pt idx="206">
                  <c:v>42865</c:v>
                </c:pt>
                <c:pt idx="207">
                  <c:v>42866</c:v>
                </c:pt>
                <c:pt idx="208">
                  <c:v>42867</c:v>
                </c:pt>
                <c:pt idx="209">
                  <c:v>42868</c:v>
                </c:pt>
                <c:pt idx="210">
                  <c:v>42869</c:v>
                </c:pt>
                <c:pt idx="211">
                  <c:v>42870</c:v>
                </c:pt>
                <c:pt idx="212">
                  <c:v>42871</c:v>
                </c:pt>
                <c:pt idx="213">
                  <c:v>42872</c:v>
                </c:pt>
                <c:pt idx="214">
                  <c:v>42873</c:v>
                </c:pt>
                <c:pt idx="215">
                  <c:v>42874</c:v>
                </c:pt>
                <c:pt idx="216">
                  <c:v>42875</c:v>
                </c:pt>
                <c:pt idx="217">
                  <c:v>42876</c:v>
                </c:pt>
                <c:pt idx="218">
                  <c:v>42877</c:v>
                </c:pt>
                <c:pt idx="219">
                  <c:v>42878</c:v>
                </c:pt>
                <c:pt idx="220">
                  <c:v>42879</c:v>
                </c:pt>
                <c:pt idx="221">
                  <c:v>42880</c:v>
                </c:pt>
                <c:pt idx="222">
                  <c:v>42881</c:v>
                </c:pt>
                <c:pt idx="223">
                  <c:v>42882</c:v>
                </c:pt>
                <c:pt idx="224">
                  <c:v>42883</c:v>
                </c:pt>
                <c:pt idx="225">
                  <c:v>42884</c:v>
                </c:pt>
                <c:pt idx="226">
                  <c:v>42885</c:v>
                </c:pt>
                <c:pt idx="227">
                  <c:v>42886</c:v>
                </c:pt>
                <c:pt idx="228">
                  <c:v>42887</c:v>
                </c:pt>
                <c:pt idx="229">
                  <c:v>42888</c:v>
                </c:pt>
                <c:pt idx="230">
                  <c:v>42889</c:v>
                </c:pt>
                <c:pt idx="231">
                  <c:v>42890</c:v>
                </c:pt>
                <c:pt idx="232">
                  <c:v>42891</c:v>
                </c:pt>
                <c:pt idx="233">
                  <c:v>42892</c:v>
                </c:pt>
                <c:pt idx="234">
                  <c:v>42893</c:v>
                </c:pt>
                <c:pt idx="235">
                  <c:v>42894</c:v>
                </c:pt>
                <c:pt idx="236">
                  <c:v>42895</c:v>
                </c:pt>
                <c:pt idx="237">
                  <c:v>42896</c:v>
                </c:pt>
                <c:pt idx="238">
                  <c:v>42897</c:v>
                </c:pt>
                <c:pt idx="239">
                  <c:v>42898</c:v>
                </c:pt>
                <c:pt idx="240">
                  <c:v>42899</c:v>
                </c:pt>
                <c:pt idx="241">
                  <c:v>42900</c:v>
                </c:pt>
                <c:pt idx="242">
                  <c:v>42901</c:v>
                </c:pt>
                <c:pt idx="243">
                  <c:v>42902</c:v>
                </c:pt>
                <c:pt idx="244">
                  <c:v>42903</c:v>
                </c:pt>
                <c:pt idx="245">
                  <c:v>42904</c:v>
                </c:pt>
                <c:pt idx="246">
                  <c:v>42905</c:v>
                </c:pt>
                <c:pt idx="247">
                  <c:v>42906</c:v>
                </c:pt>
                <c:pt idx="248">
                  <c:v>42907</c:v>
                </c:pt>
                <c:pt idx="249">
                  <c:v>42908</c:v>
                </c:pt>
                <c:pt idx="250">
                  <c:v>42909</c:v>
                </c:pt>
                <c:pt idx="251">
                  <c:v>42910</c:v>
                </c:pt>
                <c:pt idx="252">
                  <c:v>42911</c:v>
                </c:pt>
                <c:pt idx="253">
                  <c:v>42912</c:v>
                </c:pt>
                <c:pt idx="254">
                  <c:v>42913</c:v>
                </c:pt>
                <c:pt idx="255">
                  <c:v>42914</c:v>
                </c:pt>
                <c:pt idx="256">
                  <c:v>42915</c:v>
                </c:pt>
                <c:pt idx="257">
                  <c:v>42916</c:v>
                </c:pt>
                <c:pt idx="258">
                  <c:v>42917</c:v>
                </c:pt>
                <c:pt idx="259">
                  <c:v>42918</c:v>
                </c:pt>
                <c:pt idx="260">
                  <c:v>42919</c:v>
                </c:pt>
                <c:pt idx="261">
                  <c:v>42920</c:v>
                </c:pt>
                <c:pt idx="262">
                  <c:v>42921</c:v>
                </c:pt>
                <c:pt idx="263">
                  <c:v>42922</c:v>
                </c:pt>
                <c:pt idx="264">
                  <c:v>42923</c:v>
                </c:pt>
                <c:pt idx="265">
                  <c:v>42924</c:v>
                </c:pt>
                <c:pt idx="266">
                  <c:v>42925</c:v>
                </c:pt>
                <c:pt idx="267">
                  <c:v>42926</c:v>
                </c:pt>
                <c:pt idx="268">
                  <c:v>42927</c:v>
                </c:pt>
                <c:pt idx="269">
                  <c:v>42928</c:v>
                </c:pt>
                <c:pt idx="270">
                  <c:v>42929</c:v>
                </c:pt>
                <c:pt idx="271">
                  <c:v>42930</c:v>
                </c:pt>
                <c:pt idx="272">
                  <c:v>42931</c:v>
                </c:pt>
                <c:pt idx="273">
                  <c:v>42932</c:v>
                </c:pt>
                <c:pt idx="274">
                  <c:v>42933</c:v>
                </c:pt>
                <c:pt idx="275">
                  <c:v>42934</c:v>
                </c:pt>
                <c:pt idx="276">
                  <c:v>42935</c:v>
                </c:pt>
                <c:pt idx="277">
                  <c:v>42936</c:v>
                </c:pt>
                <c:pt idx="278">
                  <c:v>42937</c:v>
                </c:pt>
                <c:pt idx="279">
                  <c:v>42938</c:v>
                </c:pt>
                <c:pt idx="280">
                  <c:v>42939</c:v>
                </c:pt>
                <c:pt idx="281">
                  <c:v>42940</c:v>
                </c:pt>
                <c:pt idx="282">
                  <c:v>42941</c:v>
                </c:pt>
                <c:pt idx="283">
                  <c:v>42942</c:v>
                </c:pt>
                <c:pt idx="284">
                  <c:v>42943</c:v>
                </c:pt>
                <c:pt idx="285">
                  <c:v>42944</c:v>
                </c:pt>
                <c:pt idx="286">
                  <c:v>42945</c:v>
                </c:pt>
                <c:pt idx="287">
                  <c:v>42946</c:v>
                </c:pt>
                <c:pt idx="288">
                  <c:v>42947</c:v>
                </c:pt>
                <c:pt idx="289">
                  <c:v>42948</c:v>
                </c:pt>
                <c:pt idx="290">
                  <c:v>42949</c:v>
                </c:pt>
                <c:pt idx="291">
                  <c:v>42950</c:v>
                </c:pt>
                <c:pt idx="292">
                  <c:v>42951</c:v>
                </c:pt>
                <c:pt idx="293">
                  <c:v>42952</c:v>
                </c:pt>
                <c:pt idx="294">
                  <c:v>42953</c:v>
                </c:pt>
                <c:pt idx="295">
                  <c:v>42954</c:v>
                </c:pt>
                <c:pt idx="296">
                  <c:v>42955</c:v>
                </c:pt>
                <c:pt idx="297">
                  <c:v>42956</c:v>
                </c:pt>
                <c:pt idx="298">
                  <c:v>42957</c:v>
                </c:pt>
                <c:pt idx="299">
                  <c:v>42958</c:v>
                </c:pt>
                <c:pt idx="300">
                  <c:v>42959</c:v>
                </c:pt>
                <c:pt idx="301">
                  <c:v>42960</c:v>
                </c:pt>
                <c:pt idx="302">
                  <c:v>42961</c:v>
                </c:pt>
                <c:pt idx="303">
                  <c:v>42962</c:v>
                </c:pt>
                <c:pt idx="304">
                  <c:v>42963</c:v>
                </c:pt>
                <c:pt idx="305">
                  <c:v>42964</c:v>
                </c:pt>
                <c:pt idx="306">
                  <c:v>42965</c:v>
                </c:pt>
                <c:pt idx="307">
                  <c:v>42966</c:v>
                </c:pt>
                <c:pt idx="308">
                  <c:v>42967</c:v>
                </c:pt>
                <c:pt idx="309">
                  <c:v>42968</c:v>
                </c:pt>
                <c:pt idx="310">
                  <c:v>42969</c:v>
                </c:pt>
                <c:pt idx="311">
                  <c:v>42970</c:v>
                </c:pt>
                <c:pt idx="312">
                  <c:v>42971</c:v>
                </c:pt>
                <c:pt idx="313">
                  <c:v>42972</c:v>
                </c:pt>
                <c:pt idx="314">
                  <c:v>42973</c:v>
                </c:pt>
                <c:pt idx="315">
                  <c:v>42974</c:v>
                </c:pt>
                <c:pt idx="316">
                  <c:v>42975</c:v>
                </c:pt>
                <c:pt idx="317">
                  <c:v>42976</c:v>
                </c:pt>
                <c:pt idx="318">
                  <c:v>42977</c:v>
                </c:pt>
                <c:pt idx="319">
                  <c:v>42978</c:v>
                </c:pt>
                <c:pt idx="320">
                  <c:v>42979</c:v>
                </c:pt>
                <c:pt idx="321">
                  <c:v>42980</c:v>
                </c:pt>
                <c:pt idx="322">
                  <c:v>42981</c:v>
                </c:pt>
                <c:pt idx="323">
                  <c:v>42982</c:v>
                </c:pt>
                <c:pt idx="324">
                  <c:v>42983</c:v>
                </c:pt>
                <c:pt idx="325">
                  <c:v>42984</c:v>
                </c:pt>
                <c:pt idx="326">
                  <c:v>42985</c:v>
                </c:pt>
              </c:numCache>
            </c:numRef>
          </c:cat>
          <c:val>
            <c:numRef>
              <c:f>'Sheet2 (4)'!$E$2:$E$356</c:f>
              <c:numCache>
                <c:formatCode>General</c:formatCode>
                <c:ptCount val="355"/>
                <c:pt idx="0">
                  <c:v>5.1605810330000006</c:v>
                </c:pt>
                <c:pt idx="1">
                  <c:v>6.3805038380000001</c:v>
                </c:pt>
                <c:pt idx="2">
                  <c:v>6.0784686200000007</c:v>
                </c:pt>
                <c:pt idx="3">
                  <c:v>6.9160505589999994</c:v>
                </c:pt>
                <c:pt idx="4">
                  <c:v>6.9072846270000001</c:v>
                </c:pt>
                <c:pt idx="5">
                  <c:v>9.2114585860000009</c:v>
                </c:pt>
                <c:pt idx="6">
                  <c:v>11.348384143000001</c:v>
                </c:pt>
                <c:pt idx="7">
                  <c:v>14.590274793000001</c:v>
                </c:pt>
                <c:pt idx="8">
                  <c:v>13.896838386999999</c:v>
                </c:pt>
                <c:pt idx="9">
                  <c:v>13.943003903000001</c:v>
                </c:pt>
                <c:pt idx="10">
                  <c:v>14.904431059</c:v>
                </c:pt>
                <c:pt idx="11">
                  <c:v>14.294447373000001</c:v>
                </c:pt>
                <c:pt idx="12">
                  <c:v>12.299367795</c:v>
                </c:pt>
                <c:pt idx="13">
                  <c:v>11.686897247999999</c:v>
                </c:pt>
                <c:pt idx="14">
                  <c:v>12.492013882</c:v>
                </c:pt>
                <c:pt idx="15">
                  <c:v>11.088874130000001</c:v>
                </c:pt>
                <c:pt idx="16">
                  <c:v>12.146799495</c:v>
                </c:pt>
                <c:pt idx="17">
                  <c:v>10.422881385</c:v>
                </c:pt>
                <c:pt idx="18">
                  <c:v>11.59415401</c:v>
                </c:pt>
                <c:pt idx="19">
                  <c:v>8.1893033710000012</c:v>
                </c:pt>
                <c:pt idx="20">
                  <c:v>6.6076399509999995</c:v>
                </c:pt>
                <c:pt idx="21">
                  <c:v>4.148892345000001</c:v>
                </c:pt>
                <c:pt idx="22">
                  <c:v>3.4984026830000001</c:v>
                </c:pt>
                <c:pt idx="23">
                  <c:v>2.3606940010000006</c:v>
                </c:pt>
                <c:pt idx="24">
                  <c:v>5.2784305479999993</c:v>
                </c:pt>
                <c:pt idx="25">
                  <c:v>6.6218649910000007</c:v>
                </c:pt>
                <c:pt idx="26">
                  <c:v>9.3903053609999994</c:v>
                </c:pt>
                <c:pt idx="27">
                  <c:v>11.239095198999999</c:v>
                </c:pt>
                <c:pt idx="28">
                  <c:v>9.6507509450000004</c:v>
                </c:pt>
                <c:pt idx="29">
                  <c:v>9.3977834179999995</c:v>
                </c:pt>
                <c:pt idx="30">
                  <c:v>10.66432277</c:v>
                </c:pt>
                <c:pt idx="31">
                  <c:v>9.9155100109999985</c:v>
                </c:pt>
                <c:pt idx="32">
                  <c:v>8.664525759</c:v>
                </c:pt>
                <c:pt idx="33">
                  <c:v>9.2039415599999987</c:v>
                </c:pt>
                <c:pt idx="34">
                  <c:v>8.6161392130000003</c:v>
                </c:pt>
                <c:pt idx="35">
                  <c:v>9.2633123069999996</c:v>
                </c:pt>
                <c:pt idx="36">
                  <c:v>9.3532792039999997</c:v>
                </c:pt>
                <c:pt idx="37">
                  <c:v>10.746900661</c:v>
                </c:pt>
                <c:pt idx="38">
                  <c:v>11.456840311000001</c:v>
                </c:pt>
                <c:pt idx="39">
                  <c:v>10.671278866</c:v>
                </c:pt>
                <c:pt idx="40">
                  <c:v>10.193281357</c:v>
                </c:pt>
                <c:pt idx="41">
                  <c:v>8.8163481860000008</c:v>
                </c:pt>
                <c:pt idx="42">
                  <c:v>11.454471799</c:v>
                </c:pt>
                <c:pt idx="43">
                  <c:v>9.5930197929999999</c:v>
                </c:pt>
                <c:pt idx="44">
                  <c:v>10.972927268999999</c:v>
                </c:pt>
                <c:pt idx="45">
                  <c:v>12.327647762</c:v>
                </c:pt>
                <c:pt idx="46">
                  <c:v>13.262467846</c:v>
                </c:pt>
                <c:pt idx="47">
                  <c:v>13.657565037000001</c:v>
                </c:pt>
                <c:pt idx="48">
                  <c:v>13.403445282</c:v>
                </c:pt>
                <c:pt idx="49">
                  <c:v>11.326735815999999</c:v>
                </c:pt>
                <c:pt idx="50">
                  <c:v>11.787863258</c:v>
                </c:pt>
                <c:pt idx="51">
                  <c:v>13.822050407999999</c:v>
                </c:pt>
                <c:pt idx="52">
                  <c:v>12.737592956</c:v>
                </c:pt>
                <c:pt idx="53">
                  <c:v>9.1012125350000002</c:v>
                </c:pt>
                <c:pt idx="54">
                  <c:v>8.3025567359999997</c:v>
                </c:pt>
                <c:pt idx="55">
                  <c:v>10.221161159000001</c:v>
                </c:pt>
                <c:pt idx="56">
                  <c:v>9.8843553569999987</c:v>
                </c:pt>
                <c:pt idx="57">
                  <c:v>9.706853623999999</c:v>
                </c:pt>
                <c:pt idx="58">
                  <c:v>9.3957135699999998</c:v>
                </c:pt>
                <c:pt idx="59">
                  <c:v>8.2885504220000001</c:v>
                </c:pt>
                <c:pt idx="60">
                  <c:v>9.2402497920000002</c:v>
                </c:pt>
                <c:pt idx="61">
                  <c:v>8.7806667330000003</c:v>
                </c:pt>
                <c:pt idx="62">
                  <c:v>8.0187606319999993</c:v>
                </c:pt>
                <c:pt idx="63">
                  <c:v>9.7165088350000008</c:v>
                </c:pt>
                <c:pt idx="64">
                  <c:v>8.4908723320000004</c:v>
                </c:pt>
                <c:pt idx="65">
                  <c:v>10.033671483999999</c:v>
                </c:pt>
                <c:pt idx="66">
                  <c:v>10.194973907</c:v>
                </c:pt>
                <c:pt idx="67">
                  <c:v>9.9031504360000007</c:v>
                </c:pt>
                <c:pt idx="68">
                  <c:v>9.6576237349999996</c:v>
                </c:pt>
                <c:pt idx="69">
                  <c:v>8.4404878369999992</c:v>
                </c:pt>
                <c:pt idx="70">
                  <c:v>9.4883068149999996</c:v>
                </c:pt>
                <c:pt idx="71">
                  <c:v>10.154934229999999</c:v>
                </c:pt>
                <c:pt idx="72">
                  <c:v>10.16732535</c:v>
                </c:pt>
                <c:pt idx="73">
                  <c:v>9.0597542999999998</c:v>
                </c:pt>
                <c:pt idx="74">
                  <c:v>9.3425839799999988</c:v>
                </c:pt>
                <c:pt idx="75">
                  <c:v>8.7191743450000008</c:v>
                </c:pt>
                <c:pt idx="76">
                  <c:v>7.6696417290000003</c:v>
                </c:pt>
                <c:pt idx="77">
                  <c:v>7.6008173230000002</c:v>
                </c:pt>
                <c:pt idx="78">
                  <c:v>6.0442363000000006</c:v>
                </c:pt>
                <c:pt idx="79">
                  <c:v>6.6927298329999996</c:v>
                </c:pt>
                <c:pt idx="80">
                  <c:v>6.3175742300000008</c:v>
                </c:pt>
                <c:pt idx="81">
                  <c:v>4.5548735990000004</c:v>
                </c:pt>
                <c:pt idx="82">
                  <c:v>3.7159876580000004</c:v>
                </c:pt>
                <c:pt idx="83">
                  <c:v>2.4828797940000005</c:v>
                </c:pt>
                <c:pt idx="84">
                  <c:v>3.3555325729999996</c:v>
                </c:pt>
                <c:pt idx="85">
                  <c:v>2.8392190920000004</c:v>
                </c:pt>
                <c:pt idx="86">
                  <c:v>3.0531452050000008</c:v>
                </c:pt>
                <c:pt idx="87">
                  <c:v>3.7075454509999997</c:v>
                </c:pt>
                <c:pt idx="88">
                  <c:v>3.5236873580000001</c:v>
                </c:pt>
                <c:pt idx="89">
                  <c:v>3.9761044590000001</c:v>
                </c:pt>
                <c:pt idx="90">
                  <c:v>5.1865730409999991</c:v>
                </c:pt>
                <c:pt idx="91">
                  <c:v>5.249142526</c:v>
                </c:pt>
                <c:pt idx="92">
                  <c:v>3.7086249300000009</c:v>
                </c:pt>
                <c:pt idx="93">
                  <c:v>4.7212784589999996</c:v>
                </c:pt>
                <c:pt idx="94">
                  <c:v>6.3243659770000002</c:v>
                </c:pt>
                <c:pt idx="95">
                  <c:v>6.0327083199999993</c:v>
                </c:pt>
                <c:pt idx="96">
                  <c:v>3.6704143489999996</c:v>
                </c:pt>
                <c:pt idx="97">
                  <c:v>4.8354449079999995</c:v>
                </c:pt>
                <c:pt idx="98">
                  <c:v>5.3139777800000001</c:v>
                </c:pt>
                <c:pt idx="99">
                  <c:v>7.2750976029999999</c:v>
                </c:pt>
                <c:pt idx="100">
                  <c:v>6.9088149860000003</c:v>
                </c:pt>
                <c:pt idx="101">
                  <c:v>7.6170703420000008</c:v>
                </c:pt>
                <c:pt idx="102">
                  <c:v>8.4052631909999995</c:v>
                </c:pt>
                <c:pt idx="103">
                  <c:v>7.1106289699999996</c:v>
                </c:pt>
                <c:pt idx="104">
                  <c:v>6.0942054560000001</c:v>
                </c:pt>
                <c:pt idx="105">
                  <c:v>5.826948698999999</c:v>
                </c:pt>
                <c:pt idx="106">
                  <c:v>7.1050457180000013</c:v>
                </c:pt>
                <c:pt idx="107">
                  <c:v>4.8024747440000004</c:v>
                </c:pt>
                <c:pt idx="108">
                  <c:v>4.5379447420000005</c:v>
                </c:pt>
                <c:pt idx="109">
                  <c:v>5.8399849370000005</c:v>
                </c:pt>
                <c:pt idx="110">
                  <c:v>4.1113964999999997</c:v>
                </c:pt>
                <c:pt idx="111">
                  <c:v>6.655903608</c:v>
                </c:pt>
                <c:pt idx="112">
                  <c:v>7.7952169509999987</c:v>
                </c:pt>
                <c:pt idx="113">
                  <c:v>10.215025929000001</c:v>
                </c:pt>
                <c:pt idx="114">
                  <c:v>10.352048444999999</c:v>
                </c:pt>
                <c:pt idx="115">
                  <c:v>10.733813094</c:v>
                </c:pt>
                <c:pt idx="116">
                  <c:v>12.667045127</c:v>
                </c:pt>
                <c:pt idx="117">
                  <c:v>12.535465802000001</c:v>
                </c:pt>
                <c:pt idx="118">
                  <c:v>12.203780589000001</c:v>
                </c:pt>
                <c:pt idx="119">
                  <c:v>8.5641465960000005</c:v>
                </c:pt>
                <c:pt idx="120">
                  <c:v>9.7990594489999996</c:v>
                </c:pt>
                <c:pt idx="121">
                  <c:v>10.666306712999999</c:v>
                </c:pt>
                <c:pt idx="122">
                  <c:v>12.139904626</c:v>
                </c:pt>
                <c:pt idx="123">
                  <c:v>10.561782861999999</c:v>
                </c:pt>
                <c:pt idx="124">
                  <c:v>13.59755185</c:v>
                </c:pt>
                <c:pt idx="125">
                  <c:v>13.415161676</c:v>
                </c:pt>
                <c:pt idx="126">
                  <c:v>12.850707484000001</c:v>
                </c:pt>
                <c:pt idx="127">
                  <c:v>12.079811752000001</c:v>
                </c:pt>
                <c:pt idx="128">
                  <c:v>11.699504921999999</c:v>
                </c:pt>
                <c:pt idx="129">
                  <c:v>10.329656695000001</c:v>
                </c:pt>
                <c:pt idx="130">
                  <c:v>11.019912664</c:v>
                </c:pt>
                <c:pt idx="131">
                  <c:v>12.022621751999999</c:v>
                </c:pt>
                <c:pt idx="132">
                  <c:v>11.736296074</c:v>
                </c:pt>
                <c:pt idx="133">
                  <c:v>11.865274372</c:v>
                </c:pt>
                <c:pt idx="134">
                  <c:v>11.231018930000001</c:v>
                </c:pt>
                <c:pt idx="135">
                  <c:v>10.119564621999999</c:v>
                </c:pt>
                <c:pt idx="136">
                  <c:v>8.5652011909999999</c:v>
                </c:pt>
                <c:pt idx="137">
                  <c:v>7.8171845549999999</c:v>
                </c:pt>
                <c:pt idx="138">
                  <c:v>6.9031235500000001</c:v>
                </c:pt>
                <c:pt idx="139">
                  <c:v>7.9993049890000005</c:v>
                </c:pt>
                <c:pt idx="140">
                  <c:v>8.8546629969999984</c:v>
                </c:pt>
                <c:pt idx="141">
                  <c:v>8.9373159099999988</c:v>
                </c:pt>
                <c:pt idx="142">
                  <c:v>9.2315551619999994</c:v>
                </c:pt>
                <c:pt idx="143">
                  <c:v>6.3476641760000003</c:v>
                </c:pt>
                <c:pt idx="144">
                  <c:v>5.6669658900000011</c:v>
                </c:pt>
                <c:pt idx="145">
                  <c:v>4.1378401960000009</c:v>
                </c:pt>
                <c:pt idx="146">
                  <c:v>5.0292951509999995</c:v>
                </c:pt>
                <c:pt idx="147">
                  <c:v>5.9197297250000007</c:v>
                </c:pt>
                <c:pt idx="148">
                  <c:v>5.7486408830000011</c:v>
                </c:pt>
                <c:pt idx="149">
                  <c:v>8.8589780400000002</c:v>
                </c:pt>
                <c:pt idx="150">
                  <c:v>9.9414782829999986</c:v>
                </c:pt>
                <c:pt idx="151">
                  <c:v>10.025632772</c:v>
                </c:pt>
                <c:pt idx="152">
                  <c:v>10.878932031</c:v>
                </c:pt>
                <c:pt idx="153">
                  <c:v>11.369055957</c:v>
                </c:pt>
                <c:pt idx="154">
                  <c:v>11.722155603000001</c:v>
                </c:pt>
                <c:pt idx="155">
                  <c:v>10.626067250999998</c:v>
                </c:pt>
                <c:pt idx="156">
                  <c:v>12.226733368</c:v>
                </c:pt>
                <c:pt idx="157">
                  <c:v>13.221673365000001</c:v>
                </c:pt>
                <c:pt idx="158">
                  <c:v>12.210154589</c:v>
                </c:pt>
                <c:pt idx="159">
                  <c:v>13.212612924</c:v>
                </c:pt>
                <c:pt idx="160">
                  <c:v>14.832025979000001</c:v>
                </c:pt>
                <c:pt idx="161">
                  <c:v>13.893233013</c:v>
                </c:pt>
                <c:pt idx="162">
                  <c:v>14.854298604</c:v>
                </c:pt>
                <c:pt idx="163">
                  <c:v>14.325251325</c:v>
                </c:pt>
                <c:pt idx="164">
                  <c:v>12.890559057999999</c:v>
                </c:pt>
                <c:pt idx="165">
                  <c:v>13.958632109</c:v>
                </c:pt>
                <c:pt idx="166">
                  <c:v>13.019569895</c:v>
                </c:pt>
                <c:pt idx="167">
                  <c:v>13.780018189</c:v>
                </c:pt>
                <c:pt idx="168">
                  <c:v>14.208010094999999</c:v>
                </c:pt>
                <c:pt idx="169">
                  <c:v>13.864100955</c:v>
                </c:pt>
                <c:pt idx="170">
                  <c:v>12.176941720999999</c:v>
                </c:pt>
                <c:pt idx="171">
                  <c:v>14.621693873</c:v>
                </c:pt>
                <c:pt idx="172">
                  <c:v>14.933102492</c:v>
                </c:pt>
                <c:pt idx="173">
                  <c:v>15.741280866</c:v>
                </c:pt>
                <c:pt idx="174">
                  <c:v>14.745760722</c:v>
                </c:pt>
                <c:pt idx="175">
                  <c:v>16.386374198999999</c:v>
                </c:pt>
                <c:pt idx="176">
                  <c:v>16.610352955</c:v>
                </c:pt>
                <c:pt idx="177">
                  <c:v>15.843054679000002</c:v>
                </c:pt>
                <c:pt idx="178">
                  <c:v>15.297249993000001</c:v>
                </c:pt>
                <c:pt idx="179">
                  <c:v>16.989770457999999</c:v>
                </c:pt>
                <c:pt idx="180">
                  <c:v>17.938692700000001</c:v>
                </c:pt>
                <c:pt idx="181">
                  <c:v>19.622806386000001</c:v>
                </c:pt>
                <c:pt idx="182">
                  <c:v>20.180210023000001</c:v>
                </c:pt>
                <c:pt idx="183">
                  <c:v>20.766339874</c:v>
                </c:pt>
                <c:pt idx="184">
                  <c:v>22.584169768000002</c:v>
                </c:pt>
                <c:pt idx="185">
                  <c:v>21.621074702000001</c:v>
                </c:pt>
                <c:pt idx="186">
                  <c:v>22.010382360000001</c:v>
                </c:pt>
                <c:pt idx="187">
                  <c:v>20.366018068999999</c:v>
                </c:pt>
                <c:pt idx="188">
                  <c:v>18.665700784999999</c:v>
                </c:pt>
                <c:pt idx="189">
                  <c:v>17.892307414999998</c:v>
                </c:pt>
                <c:pt idx="190">
                  <c:v>20.149000685000001</c:v>
                </c:pt>
                <c:pt idx="191">
                  <c:v>19.990074876000001</c:v>
                </c:pt>
                <c:pt idx="192">
                  <c:v>18.378606660999999</c:v>
                </c:pt>
                <c:pt idx="193">
                  <c:v>20.121854524</c:v>
                </c:pt>
                <c:pt idx="194">
                  <c:v>22.203294133999997</c:v>
                </c:pt>
                <c:pt idx="195">
                  <c:v>20.720533437</c:v>
                </c:pt>
                <c:pt idx="196">
                  <c:v>18.374779827000001</c:v>
                </c:pt>
                <c:pt idx="197">
                  <c:v>18.321430155999998</c:v>
                </c:pt>
                <c:pt idx="198">
                  <c:v>17.042356239</c:v>
                </c:pt>
                <c:pt idx="199">
                  <c:v>17.820204586999999</c:v>
                </c:pt>
                <c:pt idx="200">
                  <c:v>17.009441856000002</c:v>
                </c:pt>
                <c:pt idx="201">
                  <c:v>19.484556519999998</c:v>
                </c:pt>
                <c:pt idx="202">
                  <c:v>20.063930437</c:v>
                </c:pt>
                <c:pt idx="203">
                  <c:v>20.787006282</c:v>
                </c:pt>
                <c:pt idx="204">
                  <c:v>22.198654418</c:v>
                </c:pt>
                <c:pt idx="205">
                  <c:v>23.118103073</c:v>
                </c:pt>
                <c:pt idx="206">
                  <c:v>22.837127064000001</c:v>
                </c:pt>
                <c:pt idx="207">
                  <c:v>21.480182890000002</c:v>
                </c:pt>
                <c:pt idx="208">
                  <c:v>20.192741868999999</c:v>
                </c:pt>
                <c:pt idx="209">
                  <c:v>22.489570819999997</c:v>
                </c:pt>
                <c:pt idx="210">
                  <c:v>22.632118939000001</c:v>
                </c:pt>
                <c:pt idx="211">
                  <c:v>22.878513720000001</c:v>
                </c:pt>
                <c:pt idx="212">
                  <c:v>24.207087950000002</c:v>
                </c:pt>
                <c:pt idx="213">
                  <c:v>24.262147233</c:v>
                </c:pt>
                <c:pt idx="214">
                  <c:v>23.242774725</c:v>
                </c:pt>
                <c:pt idx="215">
                  <c:v>21.386546983999999</c:v>
                </c:pt>
                <c:pt idx="216">
                  <c:v>21.845035658999997</c:v>
                </c:pt>
                <c:pt idx="217">
                  <c:v>24.293539229</c:v>
                </c:pt>
                <c:pt idx="218">
                  <c:v>23.105907462000001</c:v>
                </c:pt>
                <c:pt idx="219">
                  <c:v>22.215486886000001</c:v>
                </c:pt>
                <c:pt idx="220">
                  <c:v>23.009561027</c:v>
                </c:pt>
                <c:pt idx="221">
                  <c:v>22.944931613000001</c:v>
                </c:pt>
                <c:pt idx="222">
                  <c:v>23.719988984</c:v>
                </c:pt>
                <c:pt idx="223">
                  <c:v>22.756456806000003</c:v>
                </c:pt>
                <c:pt idx="224">
                  <c:v>23.218904653999999</c:v>
                </c:pt>
                <c:pt idx="225">
                  <c:v>23.741683925</c:v>
                </c:pt>
                <c:pt idx="226">
                  <c:v>24.613488021000002</c:v>
                </c:pt>
                <c:pt idx="227">
                  <c:v>22.890509336000001</c:v>
                </c:pt>
                <c:pt idx="228">
                  <c:v>24.908492159000001</c:v>
                </c:pt>
                <c:pt idx="229">
                  <c:v>24.610610629</c:v>
                </c:pt>
                <c:pt idx="230">
                  <c:v>22.733761940000001</c:v>
                </c:pt>
                <c:pt idx="231">
                  <c:v>23.045782527</c:v>
                </c:pt>
                <c:pt idx="232">
                  <c:v>20.893027664000002</c:v>
                </c:pt>
                <c:pt idx="233">
                  <c:v>19.883218720999999</c:v>
                </c:pt>
                <c:pt idx="234">
                  <c:v>22.338532454000003</c:v>
                </c:pt>
                <c:pt idx="235">
                  <c:v>23.776675298000001</c:v>
                </c:pt>
                <c:pt idx="236">
                  <c:v>24.912644614000001</c:v>
                </c:pt>
                <c:pt idx="237">
                  <c:v>24.639304871</c:v>
                </c:pt>
                <c:pt idx="238">
                  <c:v>24.210539707999999</c:v>
                </c:pt>
                <c:pt idx="239">
                  <c:v>23.930655276</c:v>
                </c:pt>
                <c:pt idx="240">
                  <c:v>25.245054062999998</c:v>
                </c:pt>
                <c:pt idx="241">
                  <c:v>25.535027010999997</c:v>
                </c:pt>
                <c:pt idx="242">
                  <c:v>25.525632849000001</c:v>
                </c:pt>
                <c:pt idx="243">
                  <c:v>25.869077485999998</c:v>
                </c:pt>
                <c:pt idx="244">
                  <c:v>25.389744899999997</c:v>
                </c:pt>
                <c:pt idx="245">
                  <c:v>22.989031819000001</c:v>
                </c:pt>
                <c:pt idx="246">
                  <c:v>21.849049280999999</c:v>
                </c:pt>
                <c:pt idx="247">
                  <c:v>20.295765177</c:v>
                </c:pt>
                <c:pt idx="248">
                  <c:v>21.382567544</c:v>
                </c:pt>
                <c:pt idx="249">
                  <c:v>20.591575900999999</c:v>
                </c:pt>
                <c:pt idx="250">
                  <c:v>20.728554283999998</c:v>
                </c:pt>
                <c:pt idx="251">
                  <c:v>18.873583242000002</c:v>
                </c:pt>
                <c:pt idx="252">
                  <c:v>20.890480552</c:v>
                </c:pt>
                <c:pt idx="253">
                  <c:v>20.918998741000003</c:v>
                </c:pt>
                <c:pt idx="254">
                  <c:v>20.978078095000001</c:v>
                </c:pt>
                <c:pt idx="255">
                  <c:v>20.242546896</c:v>
                </c:pt>
                <c:pt idx="256">
                  <c:v>19.659012547</c:v>
                </c:pt>
                <c:pt idx="257">
                  <c:v>21.213865577</c:v>
                </c:pt>
                <c:pt idx="258">
                  <c:v>23.429143123000003</c:v>
                </c:pt>
                <c:pt idx="259">
                  <c:v>22.143699247000001</c:v>
                </c:pt>
                <c:pt idx="260">
                  <c:v>21.326611894000003</c:v>
                </c:pt>
                <c:pt idx="261">
                  <c:v>20.575161783999999</c:v>
                </c:pt>
                <c:pt idx="262">
                  <c:v>19.714620447000001</c:v>
                </c:pt>
                <c:pt idx="263">
                  <c:v>19.687170485999999</c:v>
                </c:pt>
                <c:pt idx="264">
                  <c:v>19.395446233999998</c:v>
                </c:pt>
                <c:pt idx="265">
                  <c:v>19.320244365000001</c:v>
                </c:pt>
                <c:pt idx="266">
                  <c:v>18.893798941</c:v>
                </c:pt>
                <c:pt idx="267">
                  <c:v>17.8554107</c:v>
                </c:pt>
                <c:pt idx="268">
                  <c:v>17.107861804999999</c:v>
                </c:pt>
                <c:pt idx="269">
                  <c:v>17.776669095000003</c:v>
                </c:pt>
                <c:pt idx="270">
                  <c:v>18.656523559</c:v>
                </c:pt>
                <c:pt idx="271">
                  <c:v>21.005552234</c:v>
                </c:pt>
                <c:pt idx="272">
                  <c:v>20.731147509000003</c:v>
                </c:pt>
                <c:pt idx="273">
                  <c:v>19.033888486999999</c:v>
                </c:pt>
                <c:pt idx="274">
                  <c:v>18.188713035999999</c:v>
                </c:pt>
                <c:pt idx="275">
                  <c:v>19.381275210000002</c:v>
                </c:pt>
                <c:pt idx="276">
                  <c:v>17.504716225999999</c:v>
                </c:pt>
                <c:pt idx="277">
                  <c:v>17.677322373999999</c:v>
                </c:pt>
                <c:pt idx="278">
                  <c:v>17.508141219999999</c:v>
                </c:pt>
                <c:pt idx="279">
                  <c:v>18.133176706</c:v>
                </c:pt>
                <c:pt idx="280">
                  <c:v>16.741632451000001</c:v>
                </c:pt>
                <c:pt idx="281">
                  <c:v>17.100359950000001</c:v>
                </c:pt>
                <c:pt idx="282">
                  <c:v>17.040315162999999</c:v>
                </c:pt>
                <c:pt idx="283">
                  <c:v>15.762646401</c:v>
                </c:pt>
                <c:pt idx="284">
                  <c:v>15.359416581</c:v>
                </c:pt>
                <c:pt idx="285">
                  <c:v>17.067443933</c:v>
                </c:pt>
                <c:pt idx="286">
                  <c:v>17.851051984999998</c:v>
                </c:pt>
                <c:pt idx="287">
                  <c:v>17.267752196</c:v>
                </c:pt>
                <c:pt idx="288">
                  <c:v>15.665049709</c:v>
                </c:pt>
                <c:pt idx="289">
                  <c:v>16.673568854999999</c:v>
                </c:pt>
                <c:pt idx="290">
                  <c:v>17.204971403999998</c:v>
                </c:pt>
                <c:pt idx="291">
                  <c:v>16.604121753999998</c:v>
                </c:pt>
                <c:pt idx="292">
                  <c:v>15.86598586</c:v>
                </c:pt>
                <c:pt idx="293">
                  <c:v>17.690281162999998</c:v>
                </c:pt>
                <c:pt idx="294">
                  <c:v>18.221015287</c:v>
                </c:pt>
                <c:pt idx="295">
                  <c:v>18.823849718999998</c:v>
                </c:pt>
                <c:pt idx="296">
                  <c:v>19.362424185999998</c:v>
                </c:pt>
                <c:pt idx="297">
                  <c:v>19.082052057000002</c:v>
                </c:pt>
                <c:pt idx="298">
                  <c:v>18.237967374</c:v>
                </c:pt>
                <c:pt idx="299">
                  <c:v>16.413722053000001</c:v>
                </c:pt>
                <c:pt idx="300">
                  <c:v>18.044561461000001</c:v>
                </c:pt>
                <c:pt idx="301">
                  <c:v>17.042720885000001</c:v>
                </c:pt>
                <c:pt idx="302">
                  <c:v>15.81707596</c:v>
                </c:pt>
                <c:pt idx="303">
                  <c:v>16.164433411000001</c:v>
                </c:pt>
                <c:pt idx="304">
                  <c:v>15.52603242</c:v>
                </c:pt>
                <c:pt idx="305">
                  <c:v>16.351528328000001</c:v>
                </c:pt>
                <c:pt idx="306">
                  <c:v>14.405062407999999</c:v>
                </c:pt>
                <c:pt idx="307">
                  <c:v>13.037968014</c:v>
                </c:pt>
                <c:pt idx="308">
                  <c:v>15.530918686</c:v>
                </c:pt>
                <c:pt idx="309">
                  <c:v>15.101132012000001</c:v>
                </c:pt>
                <c:pt idx="310">
                  <c:v>14.272257294999999</c:v>
                </c:pt>
                <c:pt idx="311">
                  <c:v>14.046733263</c:v>
                </c:pt>
                <c:pt idx="312">
                  <c:v>15.534633363000001</c:v>
                </c:pt>
                <c:pt idx="313">
                  <c:v>15.706571893</c:v>
                </c:pt>
                <c:pt idx="314">
                  <c:v>15.267138312</c:v>
                </c:pt>
                <c:pt idx="315">
                  <c:v>16.569283319</c:v>
                </c:pt>
                <c:pt idx="316">
                  <c:v>15.714561619000001</c:v>
                </c:pt>
                <c:pt idx="317">
                  <c:v>14.111818981000001</c:v>
                </c:pt>
                <c:pt idx="318">
                  <c:v>13.316537842999999</c:v>
                </c:pt>
                <c:pt idx="319">
                  <c:v>13.812765284999999</c:v>
                </c:pt>
                <c:pt idx="320">
                  <c:v>16.375782534000002</c:v>
                </c:pt>
                <c:pt idx="321">
                  <c:v>17.677265312999999</c:v>
                </c:pt>
                <c:pt idx="322">
                  <c:v>18.120503056</c:v>
                </c:pt>
                <c:pt idx="323">
                  <c:v>15.474339714999999</c:v>
                </c:pt>
                <c:pt idx="324">
                  <c:v>15.665544343000001</c:v>
                </c:pt>
                <c:pt idx="325">
                  <c:v>17.648089872</c:v>
                </c:pt>
                <c:pt idx="326">
                  <c:v>17.888869234000001</c:v>
                </c:pt>
              </c:numCache>
            </c:numRef>
          </c:val>
          <c:smooth val="0"/>
          <c:extLst>
            <c:ext xmlns:c16="http://schemas.microsoft.com/office/drawing/2014/chart" uri="{C3380CC4-5D6E-409C-BE32-E72D297353CC}">
              <c16:uniqueId val="{00000000-131E-4AD9-92E9-CCC572817806}"/>
            </c:ext>
          </c:extLst>
        </c:ser>
        <c:dLbls>
          <c:showLegendKey val="0"/>
          <c:showVal val="0"/>
          <c:showCatName val="0"/>
          <c:showSerName val="0"/>
          <c:showPercent val="0"/>
          <c:showBubbleSize val="0"/>
        </c:dLbls>
        <c:smooth val="0"/>
        <c:axId val="596234416"/>
        <c:axId val="1292859792"/>
      </c:lineChart>
      <c:dateAx>
        <c:axId val="596234416"/>
        <c:scaling>
          <c:orientation val="minMax"/>
        </c:scaling>
        <c:delete val="0"/>
        <c:axPos val="b"/>
        <c:numFmt formatCode="dd-mmm-yy"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292859792"/>
        <c:crosses val="autoZero"/>
        <c:auto val="1"/>
        <c:lblOffset val="100"/>
        <c:baseTimeUnit val="days"/>
      </c:dateAx>
      <c:valAx>
        <c:axId val="1292859792"/>
        <c:scaling>
          <c:orientation val="minMax"/>
        </c:scaling>
        <c:delete val="0"/>
        <c:axPos val="l"/>
        <c:majorGridlines>
          <c:spPr>
            <a:ln w="9525" cap="flat" cmpd="sng" algn="ctr">
              <a:solidFill>
                <a:schemeClr val="tx2">
                  <a:lumMod val="15000"/>
                  <a:lumOff val="85000"/>
                </a:schemeClr>
              </a:solidFill>
              <a:round/>
            </a:ln>
            <a:effectLst/>
          </c:spPr>
        </c:majorGridlines>
        <c:minorGridlines>
          <c:spPr>
            <a:ln>
              <a:solidFill>
                <a:schemeClr val="tx2">
                  <a:lumMod val="5000"/>
                  <a:lumOff val="95000"/>
                </a:schemeClr>
              </a:solidFill>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596234416"/>
        <c:crosses val="autoZero"/>
        <c:crossBetween val="between"/>
      </c:valAx>
      <c:spPr>
        <a:noFill/>
        <a:ln>
          <a:noFill/>
        </a:ln>
        <a:effectLst/>
      </c:spPr>
    </c:plotArea>
    <c:plotVisOnly val="1"/>
    <c:dispBlanksAs val="zero"/>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Pricing</a:t>
            </a:r>
            <a:r>
              <a:rPr lang="en-US" baseline="0"/>
              <a:t> of Poloniex Relative to GDAX</a:t>
            </a:r>
            <a:br>
              <a:rPr lang="en-US" baseline="0"/>
            </a:br>
            <a:r>
              <a:rPr lang="en-US" sz="1100" i="1" baseline="0"/>
              <a:t>(deviation % from parity)</a:t>
            </a:r>
            <a:endParaRPr lang="en-US" i="1"/>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lineChart>
        <c:grouping val="stacked"/>
        <c:varyColors val="0"/>
        <c:ser>
          <c:idx val="0"/>
          <c:order val="0"/>
          <c:spPr>
            <a:ln w="31750" cap="rnd">
              <a:solidFill>
                <a:schemeClr val="accent1"/>
              </a:solidFill>
              <a:round/>
            </a:ln>
            <a:effectLst/>
          </c:spPr>
          <c:marker>
            <c:symbol val="none"/>
          </c:marker>
          <c:val>
            <c:numRef>
              <c:f>Sheet7!$E$2:$E$333</c:f>
              <c:numCache>
                <c:formatCode>General</c:formatCode>
                <c:ptCount val="332"/>
                <c:pt idx="0">
                  <c:v>-6.8361832900000001</c:v>
                </c:pt>
                <c:pt idx="1">
                  <c:v>-7.3157198900000004</c:v>
                </c:pt>
                <c:pt idx="2">
                  <c:v>-7.8012930799999998</c:v>
                </c:pt>
                <c:pt idx="3">
                  <c:v>-7.8880531200000004</c:v>
                </c:pt>
                <c:pt idx="4">
                  <c:v>-6.8790408200000002</c:v>
                </c:pt>
                <c:pt idx="5">
                  <c:v>-6.66718016</c:v>
                </c:pt>
                <c:pt idx="6">
                  <c:v>-5.5700930499999997</c:v>
                </c:pt>
                <c:pt idx="7">
                  <c:v>-4.32215098</c:v>
                </c:pt>
                <c:pt idx="8">
                  <c:v>-5.7534030600000001</c:v>
                </c:pt>
                <c:pt idx="9">
                  <c:v>-6.1086710699999998</c:v>
                </c:pt>
                <c:pt idx="10">
                  <c:v>-7.9587314400000002</c:v>
                </c:pt>
                <c:pt idx="11">
                  <c:v>-7.2365095699999991</c:v>
                </c:pt>
                <c:pt idx="12">
                  <c:v>-7.3389676900000005</c:v>
                </c:pt>
                <c:pt idx="13">
                  <c:v>-6.6104262000000009</c:v>
                </c:pt>
                <c:pt idx="14">
                  <c:v>-4.7074695200000001</c:v>
                </c:pt>
                <c:pt idx="15">
                  <c:v>-4.6098144100000003</c:v>
                </c:pt>
                <c:pt idx="16">
                  <c:v>-4.9829981099999996</c:v>
                </c:pt>
                <c:pt idx="17">
                  <c:v>-6.5146713900000002</c:v>
                </c:pt>
                <c:pt idx="18">
                  <c:v>3.41302723</c:v>
                </c:pt>
                <c:pt idx="19">
                  <c:v>3.46104009</c:v>
                </c:pt>
                <c:pt idx="20">
                  <c:v>4.7940482600000003</c:v>
                </c:pt>
                <c:pt idx="21">
                  <c:v>3.6161015299999999</c:v>
                </c:pt>
                <c:pt idx="22">
                  <c:v>2.9148014299999998</c:v>
                </c:pt>
                <c:pt idx="23">
                  <c:v>4.1222741999999997</c:v>
                </c:pt>
                <c:pt idx="24">
                  <c:v>5.6811112000000001</c:v>
                </c:pt>
                <c:pt idx="25">
                  <c:v>7.1922425399999996</c:v>
                </c:pt>
                <c:pt idx="26">
                  <c:v>-0.85363667000000021</c:v>
                </c:pt>
                <c:pt idx="27">
                  <c:v>0.85272007000000016</c:v>
                </c:pt>
                <c:pt idx="28">
                  <c:v>-0.57224470999999966</c:v>
                </c:pt>
                <c:pt idx="29">
                  <c:v>9.0398002700000006</c:v>
                </c:pt>
                <c:pt idx="30">
                  <c:v>11.47077535</c:v>
                </c:pt>
                <c:pt idx="31">
                  <c:v>11.781496950000001</c:v>
                </c:pt>
                <c:pt idx="32">
                  <c:v>10.63652445</c:v>
                </c:pt>
                <c:pt idx="33">
                  <c:v>9.9332985800000007</c:v>
                </c:pt>
                <c:pt idx="34">
                  <c:v>9.3742556099999987</c:v>
                </c:pt>
                <c:pt idx="35">
                  <c:v>9.57935932</c:v>
                </c:pt>
                <c:pt idx="36">
                  <c:v>0.83417990999999958</c:v>
                </c:pt>
                <c:pt idx="37">
                  <c:v>2.2630295700000005</c:v>
                </c:pt>
                <c:pt idx="38">
                  <c:v>3.2815802799999991</c:v>
                </c:pt>
                <c:pt idx="39">
                  <c:v>5.6027690600000009</c:v>
                </c:pt>
                <c:pt idx="40">
                  <c:v>5.81791664</c:v>
                </c:pt>
                <c:pt idx="41">
                  <c:v>3.4737859999999987</c:v>
                </c:pt>
                <c:pt idx="42">
                  <c:v>3.8108987700000005</c:v>
                </c:pt>
                <c:pt idx="43">
                  <c:v>2.7188138799999999</c:v>
                </c:pt>
                <c:pt idx="44">
                  <c:v>-0.37209713000000022</c:v>
                </c:pt>
                <c:pt idx="45">
                  <c:v>9.146666960000001</c:v>
                </c:pt>
                <c:pt idx="46">
                  <c:v>8.5953257000000001</c:v>
                </c:pt>
                <c:pt idx="47">
                  <c:v>6.5253331699999997</c:v>
                </c:pt>
                <c:pt idx="48">
                  <c:v>4.9366500100000001</c:v>
                </c:pt>
                <c:pt idx="49">
                  <c:v>6.5330238899999991</c:v>
                </c:pt>
                <c:pt idx="50">
                  <c:v>5.5740999800000006</c:v>
                </c:pt>
                <c:pt idx="51">
                  <c:v>4.4364993800000008</c:v>
                </c:pt>
                <c:pt idx="52">
                  <c:v>5.61380211</c:v>
                </c:pt>
                <c:pt idx="53">
                  <c:v>5.31416793</c:v>
                </c:pt>
                <c:pt idx="54">
                  <c:v>3.9252986199999995</c:v>
                </c:pt>
                <c:pt idx="55">
                  <c:v>3.57378938</c:v>
                </c:pt>
                <c:pt idx="56">
                  <c:v>3.5758936199999996</c:v>
                </c:pt>
                <c:pt idx="57">
                  <c:v>4.99212451</c:v>
                </c:pt>
                <c:pt idx="58">
                  <c:v>5.0427878700000006</c:v>
                </c:pt>
                <c:pt idx="59">
                  <c:v>5.9857049899999994</c:v>
                </c:pt>
                <c:pt idx="60">
                  <c:v>6.9065646599999999</c:v>
                </c:pt>
                <c:pt idx="61">
                  <c:v>8.3073537900000005</c:v>
                </c:pt>
                <c:pt idx="62">
                  <c:v>9.2571730799999994</c:v>
                </c:pt>
                <c:pt idx="63">
                  <c:v>10.246380869999999</c:v>
                </c:pt>
                <c:pt idx="64">
                  <c:v>10.195927979999999</c:v>
                </c:pt>
                <c:pt idx="65">
                  <c:v>7.64666668</c:v>
                </c:pt>
                <c:pt idx="66">
                  <c:v>7.9420236200000005</c:v>
                </c:pt>
                <c:pt idx="67">
                  <c:v>8.6042777099999999</c:v>
                </c:pt>
                <c:pt idx="68">
                  <c:v>1.2461153300000003</c:v>
                </c:pt>
                <c:pt idx="69">
                  <c:v>1.7955836099999996</c:v>
                </c:pt>
                <c:pt idx="70">
                  <c:v>1.9575260700000001</c:v>
                </c:pt>
                <c:pt idx="71">
                  <c:v>1.1069179200000008</c:v>
                </c:pt>
                <c:pt idx="72">
                  <c:v>1.6262187200000007</c:v>
                </c:pt>
                <c:pt idx="73">
                  <c:v>9.1566210800000007</c:v>
                </c:pt>
                <c:pt idx="74">
                  <c:v>9.28313524</c:v>
                </c:pt>
                <c:pt idx="75">
                  <c:v>5.8371310000000065E-2</c:v>
                </c:pt>
                <c:pt idx="76">
                  <c:v>1.0860575800000003</c:v>
                </c:pt>
                <c:pt idx="77">
                  <c:v>10.06778969</c:v>
                </c:pt>
                <c:pt idx="78">
                  <c:v>11.27492795</c:v>
                </c:pt>
                <c:pt idx="79">
                  <c:v>11.011045149999999</c:v>
                </c:pt>
                <c:pt idx="80">
                  <c:v>10.11688142</c:v>
                </c:pt>
                <c:pt idx="81">
                  <c:v>1.9067317900000003</c:v>
                </c:pt>
                <c:pt idx="82">
                  <c:v>3.9255590900000001</c:v>
                </c:pt>
                <c:pt idx="83">
                  <c:v>11.79185032</c:v>
                </c:pt>
                <c:pt idx="84">
                  <c:v>2.6566567699999997</c:v>
                </c:pt>
                <c:pt idx="85">
                  <c:v>12.466949660000001</c:v>
                </c:pt>
                <c:pt idx="86">
                  <c:v>9.1723765299999993</c:v>
                </c:pt>
                <c:pt idx="87">
                  <c:v>10.95922592</c:v>
                </c:pt>
                <c:pt idx="88">
                  <c:v>9.2924790399999999</c:v>
                </c:pt>
                <c:pt idx="89">
                  <c:v>7.3267148900000008</c:v>
                </c:pt>
                <c:pt idx="90">
                  <c:v>7.9703123300000005</c:v>
                </c:pt>
                <c:pt idx="91">
                  <c:v>7.2829645599999999</c:v>
                </c:pt>
                <c:pt idx="92">
                  <c:v>6.0061344500000002</c:v>
                </c:pt>
                <c:pt idx="93">
                  <c:v>6.9285073500000003</c:v>
                </c:pt>
                <c:pt idx="94">
                  <c:v>8.0148816700000012</c:v>
                </c:pt>
                <c:pt idx="95">
                  <c:v>6.6119124199999995</c:v>
                </c:pt>
                <c:pt idx="96">
                  <c:v>7.6828870900000004</c:v>
                </c:pt>
                <c:pt idx="97">
                  <c:v>9.2544659300000003</c:v>
                </c:pt>
                <c:pt idx="98">
                  <c:v>6.9330484499999994</c:v>
                </c:pt>
                <c:pt idx="99">
                  <c:v>7.0900034200000004</c:v>
                </c:pt>
                <c:pt idx="100">
                  <c:v>7.7539944299999997</c:v>
                </c:pt>
                <c:pt idx="101">
                  <c:v>8.3488517299999998</c:v>
                </c:pt>
                <c:pt idx="102">
                  <c:v>7.9720921399999991</c:v>
                </c:pt>
                <c:pt idx="103">
                  <c:v>6.1358352399999987</c:v>
                </c:pt>
                <c:pt idx="104">
                  <c:v>14.48857903</c:v>
                </c:pt>
                <c:pt idx="105">
                  <c:v>12.46053425</c:v>
                </c:pt>
                <c:pt idx="106">
                  <c:v>13.726637780000001</c:v>
                </c:pt>
                <c:pt idx="107">
                  <c:v>11.771069400000002</c:v>
                </c:pt>
                <c:pt idx="108">
                  <c:v>10.65794275</c:v>
                </c:pt>
                <c:pt idx="109">
                  <c:v>11.101605320000001</c:v>
                </c:pt>
                <c:pt idx="110">
                  <c:v>8.7341955000000002</c:v>
                </c:pt>
                <c:pt idx="111">
                  <c:v>10.474208280000001</c:v>
                </c:pt>
                <c:pt idx="112">
                  <c:v>9.9551230700000009</c:v>
                </c:pt>
                <c:pt idx="113">
                  <c:v>10.56369087</c:v>
                </c:pt>
                <c:pt idx="114">
                  <c:v>12.345237569999998</c:v>
                </c:pt>
                <c:pt idx="115">
                  <c:v>10.68347644</c:v>
                </c:pt>
                <c:pt idx="116">
                  <c:v>11.529977429999999</c:v>
                </c:pt>
                <c:pt idx="117">
                  <c:v>11.481172879999999</c:v>
                </c:pt>
                <c:pt idx="118">
                  <c:v>12.324867730000001</c:v>
                </c:pt>
                <c:pt idx="119">
                  <c:v>14.355749429999999</c:v>
                </c:pt>
                <c:pt idx="120">
                  <c:v>15.110671669999999</c:v>
                </c:pt>
                <c:pt idx="121">
                  <c:v>13.792679270000001</c:v>
                </c:pt>
                <c:pt idx="122">
                  <c:v>14.20020899</c:v>
                </c:pt>
                <c:pt idx="123">
                  <c:v>15.423780049999998</c:v>
                </c:pt>
                <c:pt idx="124">
                  <c:v>16.509659880000001</c:v>
                </c:pt>
                <c:pt idx="125">
                  <c:v>16.9473059</c:v>
                </c:pt>
                <c:pt idx="126">
                  <c:v>13.849224280000001</c:v>
                </c:pt>
                <c:pt idx="127">
                  <c:v>12.082276230000002</c:v>
                </c:pt>
                <c:pt idx="128">
                  <c:v>11.40527685</c:v>
                </c:pt>
                <c:pt idx="129">
                  <c:v>10.24860434</c:v>
                </c:pt>
                <c:pt idx="130">
                  <c:v>9.8737616700000004</c:v>
                </c:pt>
                <c:pt idx="131">
                  <c:v>8.4204830000000008</c:v>
                </c:pt>
                <c:pt idx="132">
                  <c:v>9.8299736600000003</c:v>
                </c:pt>
                <c:pt idx="133">
                  <c:v>10.135945119999999</c:v>
                </c:pt>
                <c:pt idx="134">
                  <c:v>9.3208988300000009</c:v>
                </c:pt>
                <c:pt idx="135">
                  <c:v>7.7789590499999992</c:v>
                </c:pt>
                <c:pt idx="136">
                  <c:v>5.2837323999999999</c:v>
                </c:pt>
                <c:pt idx="137">
                  <c:v>6.8996521300000007</c:v>
                </c:pt>
                <c:pt idx="138">
                  <c:v>6.8320561699999995</c:v>
                </c:pt>
                <c:pt idx="139">
                  <c:v>8.5565767299999997</c:v>
                </c:pt>
                <c:pt idx="140">
                  <c:v>7.9090471900000008</c:v>
                </c:pt>
                <c:pt idx="141">
                  <c:v>11.14285847</c:v>
                </c:pt>
                <c:pt idx="142">
                  <c:v>10.73773476</c:v>
                </c:pt>
                <c:pt idx="143">
                  <c:v>10.99522357</c:v>
                </c:pt>
                <c:pt idx="144">
                  <c:v>11.18665927</c:v>
                </c:pt>
                <c:pt idx="145">
                  <c:v>13.460718829999999</c:v>
                </c:pt>
                <c:pt idx="146">
                  <c:v>12.999062160000001</c:v>
                </c:pt>
                <c:pt idx="147">
                  <c:v>13.657654099999998</c:v>
                </c:pt>
                <c:pt idx="148">
                  <c:v>13.743976140000001</c:v>
                </c:pt>
                <c:pt idx="149">
                  <c:v>15.29961222</c:v>
                </c:pt>
                <c:pt idx="150">
                  <c:v>16.55247533</c:v>
                </c:pt>
                <c:pt idx="151">
                  <c:v>18.491110589999998</c:v>
                </c:pt>
                <c:pt idx="152">
                  <c:v>19.866241710000001</c:v>
                </c:pt>
                <c:pt idx="153">
                  <c:v>18.114721880000001</c:v>
                </c:pt>
                <c:pt idx="154">
                  <c:v>17.80227438</c:v>
                </c:pt>
                <c:pt idx="155">
                  <c:v>18.221029179999999</c:v>
                </c:pt>
                <c:pt idx="156">
                  <c:v>19.377627919999998</c:v>
                </c:pt>
                <c:pt idx="157">
                  <c:v>18.63794931</c:v>
                </c:pt>
                <c:pt idx="158">
                  <c:v>19.950370109999998</c:v>
                </c:pt>
                <c:pt idx="159">
                  <c:v>21.244747579999999</c:v>
                </c:pt>
                <c:pt idx="160">
                  <c:v>21.349732889999999</c:v>
                </c:pt>
                <c:pt idx="161">
                  <c:v>19.449869110000002</c:v>
                </c:pt>
                <c:pt idx="162">
                  <c:v>19.554199569999998</c:v>
                </c:pt>
                <c:pt idx="163">
                  <c:v>10.364215510000001</c:v>
                </c:pt>
                <c:pt idx="164">
                  <c:v>8.4204772299999977</c:v>
                </c:pt>
                <c:pt idx="165">
                  <c:v>8.8229544300000011</c:v>
                </c:pt>
                <c:pt idx="166">
                  <c:v>9.7086497200000004</c:v>
                </c:pt>
                <c:pt idx="167">
                  <c:v>10.340719329999999</c:v>
                </c:pt>
                <c:pt idx="168">
                  <c:v>11.12137635</c:v>
                </c:pt>
                <c:pt idx="169">
                  <c:v>10.478028510000001</c:v>
                </c:pt>
                <c:pt idx="170">
                  <c:v>12.18968018</c:v>
                </c:pt>
                <c:pt idx="171">
                  <c:v>10.803382449999999</c:v>
                </c:pt>
                <c:pt idx="172">
                  <c:v>22.424072840000001</c:v>
                </c:pt>
                <c:pt idx="173">
                  <c:v>15.430105300000001</c:v>
                </c:pt>
                <c:pt idx="174">
                  <c:v>16.26663482</c:v>
                </c:pt>
                <c:pt idx="175">
                  <c:v>17.04075143</c:v>
                </c:pt>
                <c:pt idx="176">
                  <c:v>16.850127409999999</c:v>
                </c:pt>
                <c:pt idx="177">
                  <c:v>16.13165979</c:v>
                </c:pt>
                <c:pt idx="178">
                  <c:v>26.788704160000002</c:v>
                </c:pt>
                <c:pt idx="179">
                  <c:v>24.978583149999999</c:v>
                </c:pt>
                <c:pt idx="180">
                  <c:v>23.548447790000001</c:v>
                </c:pt>
                <c:pt idx="181">
                  <c:v>24.53439105</c:v>
                </c:pt>
                <c:pt idx="182">
                  <c:v>25.287104859999999</c:v>
                </c:pt>
                <c:pt idx="183">
                  <c:v>26.359134409999999</c:v>
                </c:pt>
                <c:pt idx="184">
                  <c:v>18.39123472</c:v>
                </c:pt>
                <c:pt idx="185">
                  <c:v>27.03454851</c:v>
                </c:pt>
                <c:pt idx="186">
                  <c:v>24.21966656</c:v>
                </c:pt>
                <c:pt idx="187">
                  <c:v>26.949032170000002</c:v>
                </c:pt>
                <c:pt idx="188">
                  <c:v>28.49742101</c:v>
                </c:pt>
                <c:pt idx="189">
                  <c:v>27.60364165</c:v>
                </c:pt>
                <c:pt idx="190">
                  <c:v>28.926094040000002</c:v>
                </c:pt>
                <c:pt idx="191">
                  <c:v>27.265324150000001</c:v>
                </c:pt>
                <c:pt idx="192">
                  <c:v>28.108823220000001</c:v>
                </c:pt>
                <c:pt idx="193">
                  <c:v>28.817772280000003</c:v>
                </c:pt>
                <c:pt idx="194">
                  <c:v>28.202354460000002</c:v>
                </c:pt>
                <c:pt idx="195">
                  <c:v>27.093846640000002</c:v>
                </c:pt>
                <c:pt idx="196">
                  <c:v>25.678564769999998</c:v>
                </c:pt>
                <c:pt idx="197">
                  <c:v>25.98022005</c:v>
                </c:pt>
                <c:pt idx="198">
                  <c:v>26.51104458</c:v>
                </c:pt>
                <c:pt idx="199">
                  <c:v>25.907163319999999</c:v>
                </c:pt>
                <c:pt idx="200">
                  <c:v>15.882889029999999</c:v>
                </c:pt>
                <c:pt idx="201">
                  <c:v>17.130670690000002</c:v>
                </c:pt>
                <c:pt idx="202">
                  <c:v>15.219530099999998</c:v>
                </c:pt>
                <c:pt idx="203">
                  <c:v>15.727205320000001</c:v>
                </c:pt>
                <c:pt idx="204">
                  <c:v>17.55547361</c:v>
                </c:pt>
                <c:pt idx="205">
                  <c:v>18.644867900000001</c:v>
                </c:pt>
                <c:pt idx="206">
                  <c:v>20.464637370000002</c:v>
                </c:pt>
                <c:pt idx="207">
                  <c:v>17.9080911</c:v>
                </c:pt>
                <c:pt idx="208">
                  <c:v>17.113168450000003</c:v>
                </c:pt>
                <c:pt idx="209">
                  <c:v>16.70371016</c:v>
                </c:pt>
                <c:pt idx="210">
                  <c:v>16.553492810000002</c:v>
                </c:pt>
                <c:pt idx="211">
                  <c:v>24.662001930000002</c:v>
                </c:pt>
                <c:pt idx="212">
                  <c:v>23.38192828</c:v>
                </c:pt>
                <c:pt idx="213">
                  <c:v>22.772657970000001</c:v>
                </c:pt>
                <c:pt idx="214">
                  <c:v>23.387507280000001</c:v>
                </c:pt>
                <c:pt idx="215">
                  <c:v>25.166495989999998</c:v>
                </c:pt>
                <c:pt idx="216">
                  <c:v>25.795862209999999</c:v>
                </c:pt>
                <c:pt idx="217">
                  <c:v>26.289938839999998</c:v>
                </c:pt>
                <c:pt idx="218">
                  <c:v>27.16036351</c:v>
                </c:pt>
                <c:pt idx="219">
                  <c:v>28.162422460000002</c:v>
                </c:pt>
                <c:pt idx="220">
                  <c:v>29.55651757</c:v>
                </c:pt>
                <c:pt idx="221">
                  <c:v>30.341921540000001</c:v>
                </c:pt>
                <c:pt idx="222">
                  <c:v>29.570199819999999</c:v>
                </c:pt>
                <c:pt idx="223">
                  <c:v>28.63443921</c:v>
                </c:pt>
                <c:pt idx="224">
                  <c:v>26.885880710000002</c:v>
                </c:pt>
                <c:pt idx="225">
                  <c:v>24.632558979999999</c:v>
                </c:pt>
                <c:pt idx="226">
                  <c:v>24.517948330000003</c:v>
                </c:pt>
                <c:pt idx="227">
                  <c:v>25.101526140000001</c:v>
                </c:pt>
                <c:pt idx="228">
                  <c:v>25.323154470000002</c:v>
                </c:pt>
                <c:pt idx="229">
                  <c:v>25.35148015</c:v>
                </c:pt>
                <c:pt idx="230">
                  <c:v>26.93345373</c:v>
                </c:pt>
                <c:pt idx="231">
                  <c:v>27.033370680000001</c:v>
                </c:pt>
                <c:pt idx="232">
                  <c:v>25.000881150000001</c:v>
                </c:pt>
                <c:pt idx="233">
                  <c:v>25.172452249999999</c:v>
                </c:pt>
                <c:pt idx="234">
                  <c:v>22.907904500000001</c:v>
                </c:pt>
                <c:pt idx="235">
                  <c:v>22.321084990000003</c:v>
                </c:pt>
                <c:pt idx="236">
                  <c:v>23.137005429999999</c:v>
                </c:pt>
                <c:pt idx="237">
                  <c:v>24.851946269999999</c:v>
                </c:pt>
                <c:pt idx="238">
                  <c:v>26.460929290000003</c:v>
                </c:pt>
                <c:pt idx="239">
                  <c:v>28.569832290000001</c:v>
                </c:pt>
                <c:pt idx="240">
                  <c:v>27.243124550000001</c:v>
                </c:pt>
                <c:pt idx="241">
                  <c:v>18.4043983</c:v>
                </c:pt>
                <c:pt idx="242">
                  <c:v>19.988544250000004</c:v>
                </c:pt>
                <c:pt idx="243">
                  <c:v>18.485328970000001</c:v>
                </c:pt>
                <c:pt idx="244">
                  <c:v>18.942924699999999</c:v>
                </c:pt>
                <c:pt idx="245">
                  <c:v>19.968750579999998</c:v>
                </c:pt>
                <c:pt idx="246">
                  <c:v>21.199494749999999</c:v>
                </c:pt>
                <c:pt idx="247">
                  <c:v>19.615985519999999</c:v>
                </c:pt>
                <c:pt idx="248">
                  <c:v>19.998123019999998</c:v>
                </c:pt>
                <c:pt idx="249">
                  <c:v>18.91386485</c:v>
                </c:pt>
                <c:pt idx="250">
                  <c:v>19.708642580000003</c:v>
                </c:pt>
                <c:pt idx="251">
                  <c:v>17.932940309999999</c:v>
                </c:pt>
                <c:pt idx="252">
                  <c:v>19.44055796</c:v>
                </c:pt>
                <c:pt idx="253">
                  <c:v>18.6424892</c:v>
                </c:pt>
                <c:pt idx="254">
                  <c:v>16.78614868</c:v>
                </c:pt>
                <c:pt idx="255">
                  <c:v>16.580643089999999</c:v>
                </c:pt>
                <c:pt idx="256">
                  <c:v>18.249560859999999</c:v>
                </c:pt>
                <c:pt idx="257">
                  <c:v>18.463666440000001</c:v>
                </c:pt>
                <c:pt idx="258">
                  <c:v>10.125830530000002</c:v>
                </c:pt>
                <c:pt idx="259">
                  <c:v>20.873140620000001</c:v>
                </c:pt>
                <c:pt idx="260">
                  <c:v>12.8543135</c:v>
                </c:pt>
                <c:pt idx="261">
                  <c:v>12.617235290000002</c:v>
                </c:pt>
                <c:pt idx="262">
                  <c:v>13.602845190000002</c:v>
                </c:pt>
                <c:pt idx="263">
                  <c:v>14.866704609999999</c:v>
                </c:pt>
                <c:pt idx="264">
                  <c:v>15.495165119999999</c:v>
                </c:pt>
                <c:pt idx="265">
                  <c:v>16.998120299999997</c:v>
                </c:pt>
                <c:pt idx="266">
                  <c:v>18.820500079999999</c:v>
                </c:pt>
                <c:pt idx="267">
                  <c:v>19.724393719999998</c:v>
                </c:pt>
                <c:pt idx="268">
                  <c:v>17.621775629999998</c:v>
                </c:pt>
                <c:pt idx="269">
                  <c:v>17.584529410000002</c:v>
                </c:pt>
                <c:pt idx="270">
                  <c:v>16.858123900000002</c:v>
                </c:pt>
                <c:pt idx="271">
                  <c:v>17.675725719999999</c:v>
                </c:pt>
                <c:pt idx="272">
                  <c:v>16.576513900000002</c:v>
                </c:pt>
                <c:pt idx="273">
                  <c:v>18.1343174</c:v>
                </c:pt>
                <c:pt idx="274">
                  <c:v>17.4288062</c:v>
                </c:pt>
                <c:pt idx="275">
                  <c:v>18.887089830000001</c:v>
                </c:pt>
                <c:pt idx="276">
                  <c:v>18.372426520000001</c:v>
                </c:pt>
                <c:pt idx="277">
                  <c:v>18.81839562</c:v>
                </c:pt>
                <c:pt idx="278">
                  <c:v>18.82097177</c:v>
                </c:pt>
                <c:pt idx="279">
                  <c:v>15.77375061</c:v>
                </c:pt>
                <c:pt idx="280">
                  <c:v>16.23911034</c:v>
                </c:pt>
                <c:pt idx="281">
                  <c:v>15.05016208</c:v>
                </c:pt>
                <c:pt idx="282">
                  <c:v>15.7443898</c:v>
                </c:pt>
                <c:pt idx="283">
                  <c:v>13.609999040000002</c:v>
                </c:pt>
                <c:pt idx="284">
                  <c:v>14.286134710000001</c:v>
                </c:pt>
                <c:pt idx="285">
                  <c:v>13.281427090000001</c:v>
                </c:pt>
                <c:pt idx="286">
                  <c:v>12.796077750000002</c:v>
                </c:pt>
                <c:pt idx="287">
                  <c:v>11.682164390000001</c:v>
                </c:pt>
                <c:pt idx="288">
                  <c:v>9.8940883600000014</c:v>
                </c:pt>
                <c:pt idx="289">
                  <c:v>12.095676000000001</c:v>
                </c:pt>
                <c:pt idx="290">
                  <c:v>13.293508279999999</c:v>
                </c:pt>
                <c:pt idx="291">
                  <c:v>13.567316549999997</c:v>
                </c:pt>
                <c:pt idx="292">
                  <c:v>13.220120250000001</c:v>
                </c:pt>
                <c:pt idx="293">
                  <c:v>14.417284500000001</c:v>
                </c:pt>
                <c:pt idx="294">
                  <c:v>15.88816349</c:v>
                </c:pt>
                <c:pt idx="295">
                  <c:v>14.335707119999999</c:v>
                </c:pt>
                <c:pt idx="296">
                  <c:v>13.530705619999999</c:v>
                </c:pt>
                <c:pt idx="297">
                  <c:v>11.614105069999999</c:v>
                </c:pt>
                <c:pt idx="298">
                  <c:v>14.906317829999999</c:v>
                </c:pt>
                <c:pt idx="299">
                  <c:v>16.448909239999999</c:v>
                </c:pt>
                <c:pt idx="300">
                  <c:v>13.373036580000001</c:v>
                </c:pt>
                <c:pt idx="301">
                  <c:v>15.33225182</c:v>
                </c:pt>
                <c:pt idx="302">
                  <c:v>14.927358989999998</c:v>
                </c:pt>
                <c:pt idx="303">
                  <c:v>15.406672690000001</c:v>
                </c:pt>
                <c:pt idx="304">
                  <c:v>16.202304290000001</c:v>
                </c:pt>
                <c:pt idx="305">
                  <c:v>17.783403239999998</c:v>
                </c:pt>
                <c:pt idx="306">
                  <c:v>17.465164170000001</c:v>
                </c:pt>
                <c:pt idx="307">
                  <c:v>18.0243307</c:v>
                </c:pt>
                <c:pt idx="308">
                  <c:v>16.160913090000001</c:v>
                </c:pt>
                <c:pt idx="309">
                  <c:v>17.318523299999999</c:v>
                </c:pt>
                <c:pt idx="310">
                  <c:v>15.567877080000001</c:v>
                </c:pt>
                <c:pt idx="311">
                  <c:v>15.162703749999999</c:v>
                </c:pt>
                <c:pt idx="312">
                  <c:v>13.63985634</c:v>
                </c:pt>
                <c:pt idx="313">
                  <c:v>23.616720149999999</c:v>
                </c:pt>
                <c:pt idx="314">
                  <c:v>22.362726799999997</c:v>
                </c:pt>
                <c:pt idx="315">
                  <c:v>22.746735660000002</c:v>
                </c:pt>
                <c:pt idx="316">
                  <c:v>16.181315789999999</c:v>
                </c:pt>
                <c:pt idx="317">
                  <c:v>15.079281589999999</c:v>
                </c:pt>
                <c:pt idx="318">
                  <c:v>15.785463860000002</c:v>
                </c:pt>
                <c:pt idx="319">
                  <c:v>14.619172969999999</c:v>
                </c:pt>
                <c:pt idx="320">
                  <c:v>14.621320069999999</c:v>
                </c:pt>
                <c:pt idx="321">
                  <c:v>13.91394502</c:v>
                </c:pt>
                <c:pt idx="322">
                  <c:v>14.165376419999999</c:v>
                </c:pt>
                <c:pt idx="323">
                  <c:v>21.398434589999997</c:v>
                </c:pt>
                <c:pt idx="324">
                  <c:v>12.88482239</c:v>
                </c:pt>
                <c:pt idx="325">
                  <c:v>11.856226819999998</c:v>
                </c:pt>
                <c:pt idx="326">
                  <c:v>11.268923280000001</c:v>
                </c:pt>
                <c:pt idx="327">
                  <c:v>11.687970369999999</c:v>
                </c:pt>
                <c:pt idx="328">
                  <c:v>11.51906475</c:v>
                </c:pt>
                <c:pt idx="329">
                  <c:v>9.7533498099999996</c:v>
                </c:pt>
                <c:pt idx="330">
                  <c:v>18.557568019999998</c:v>
                </c:pt>
                <c:pt idx="331">
                  <c:v>10.720974420000001</c:v>
                </c:pt>
              </c:numCache>
            </c:numRef>
          </c:val>
          <c:smooth val="0"/>
          <c:extLst>
            <c:ext xmlns:c16="http://schemas.microsoft.com/office/drawing/2014/chart" uri="{C3380CC4-5D6E-409C-BE32-E72D297353CC}">
              <c16:uniqueId val="{00000000-E7D0-44BA-8588-5E074B465CAF}"/>
            </c:ext>
          </c:extLst>
        </c:ser>
        <c:dLbls>
          <c:showLegendKey val="0"/>
          <c:showVal val="0"/>
          <c:showCatName val="0"/>
          <c:showSerName val="0"/>
          <c:showPercent val="0"/>
          <c:showBubbleSize val="0"/>
        </c:dLbls>
        <c:smooth val="0"/>
        <c:axId val="596234416"/>
        <c:axId val="1292859792"/>
      </c:lineChart>
      <c:catAx>
        <c:axId val="596234416"/>
        <c:scaling>
          <c:orientation val="minMax"/>
        </c:scaling>
        <c:delete val="0"/>
        <c:axPos val="b"/>
        <c:numFmt formatCode="dd-mmm-yy"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292859792"/>
        <c:crosses val="autoZero"/>
        <c:auto val="1"/>
        <c:lblAlgn val="ctr"/>
        <c:lblOffset val="100"/>
        <c:noMultiLvlLbl val="0"/>
      </c:catAx>
      <c:valAx>
        <c:axId val="1292859792"/>
        <c:scaling>
          <c:orientation val="minMax"/>
        </c:scaling>
        <c:delete val="0"/>
        <c:axPos val="l"/>
        <c:majorGridlines>
          <c:spPr>
            <a:ln w="9525" cap="flat" cmpd="sng" algn="ctr">
              <a:solidFill>
                <a:schemeClr val="tx2">
                  <a:lumMod val="15000"/>
                  <a:lumOff val="85000"/>
                </a:schemeClr>
              </a:solidFill>
              <a:round/>
            </a:ln>
            <a:effectLst/>
          </c:spPr>
        </c:majorGridlines>
        <c:minorGridlines>
          <c:spPr>
            <a:ln>
              <a:solidFill>
                <a:schemeClr val="tx2">
                  <a:lumMod val="5000"/>
                  <a:lumOff val="95000"/>
                </a:schemeClr>
              </a:solidFill>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596234416"/>
        <c:crosses val="autoZero"/>
        <c:crossBetween val="between"/>
      </c:valAx>
      <c:spPr>
        <a:noFill/>
        <a:ln>
          <a:noFill/>
        </a:ln>
        <a:effectLst/>
      </c:spPr>
    </c:plotArea>
    <c:plotVisOnly val="1"/>
    <c:dispBlanksAs val="zero"/>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Pricing</a:t>
            </a:r>
            <a:r>
              <a:rPr lang="en-US" baseline="0"/>
              <a:t> of Bter Relative to Poloniex</a:t>
            </a:r>
            <a:br>
              <a:rPr lang="en-US" baseline="0"/>
            </a:br>
            <a:r>
              <a:rPr lang="en-US" sz="1100" i="1" baseline="0"/>
              <a:t>(deviation % from parity)</a:t>
            </a:r>
            <a:endParaRPr lang="en-US" i="1"/>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lineChart>
        <c:grouping val="stacked"/>
        <c:varyColors val="0"/>
        <c:ser>
          <c:idx val="0"/>
          <c:order val="0"/>
          <c:spPr>
            <a:ln w="31750" cap="rnd">
              <a:solidFill>
                <a:schemeClr val="accent1"/>
              </a:solidFill>
              <a:round/>
            </a:ln>
            <a:effectLst/>
          </c:spPr>
          <c:marker>
            <c:symbol val="none"/>
          </c:marker>
          <c:val>
            <c:numRef>
              <c:f>Sheet8!$E$2:$E$314</c:f>
              <c:numCache>
                <c:formatCode>General</c:formatCode>
                <c:ptCount val="313"/>
                <c:pt idx="0">
                  <c:v>15.74183741</c:v>
                </c:pt>
                <c:pt idx="1">
                  <c:v>13.595352030000001</c:v>
                </c:pt>
                <c:pt idx="2">
                  <c:v>12.41388272</c:v>
                </c:pt>
                <c:pt idx="3">
                  <c:v>11.51528471</c:v>
                </c:pt>
                <c:pt idx="4">
                  <c:v>13.136923280000001</c:v>
                </c:pt>
                <c:pt idx="5">
                  <c:v>14.090109889999999</c:v>
                </c:pt>
                <c:pt idx="6">
                  <c:v>13.05658708</c:v>
                </c:pt>
                <c:pt idx="7">
                  <c:v>13.42332852</c:v>
                </c:pt>
                <c:pt idx="8">
                  <c:v>16.387348710000001</c:v>
                </c:pt>
                <c:pt idx="9">
                  <c:v>16.234077150000001</c:v>
                </c:pt>
                <c:pt idx="10">
                  <c:v>16.085781050000001</c:v>
                </c:pt>
                <c:pt idx="11">
                  <c:v>15.216402080000002</c:v>
                </c:pt>
                <c:pt idx="12">
                  <c:v>14.71498905</c:v>
                </c:pt>
                <c:pt idx="13">
                  <c:v>15.538878479999999</c:v>
                </c:pt>
                <c:pt idx="14">
                  <c:v>13.49059896</c:v>
                </c:pt>
                <c:pt idx="15">
                  <c:v>13.4239943</c:v>
                </c:pt>
                <c:pt idx="16">
                  <c:v>13.367153999999999</c:v>
                </c:pt>
                <c:pt idx="17">
                  <c:v>14.192715010000001</c:v>
                </c:pt>
                <c:pt idx="18">
                  <c:v>16.57352547</c:v>
                </c:pt>
                <c:pt idx="19">
                  <c:v>15.53140157</c:v>
                </c:pt>
                <c:pt idx="20">
                  <c:v>14.653331570000001</c:v>
                </c:pt>
                <c:pt idx="21">
                  <c:v>14.38250414</c:v>
                </c:pt>
                <c:pt idx="22">
                  <c:v>13.33426077</c:v>
                </c:pt>
                <c:pt idx="23">
                  <c:v>14.132356089999998</c:v>
                </c:pt>
                <c:pt idx="24">
                  <c:v>14.450147750000001</c:v>
                </c:pt>
                <c:pt idx="25">
                  <c:v>11.68756748</c:v>
                </c:pt>
                <c:pt idx="26">
                  <c:v>8.7705750400000007</c:v>
                </c:pt>
                <c:pt idx="27">
                  <c:v>7.4398572299999994</c:v>
                </c:pt>
                <c:pt idx="28">
                  <c:v>8.0964183600000013</c:v>
                </c:pt>
                <c:pt idx="29">
                  <c:v>7.6410576099999998</c:v>
                </c:pt>
                <c:pt idx="30">
                  <c:v>10.541980560000001</c:v>
                </c:pt>
                <c:pt idx="31">
                  <c:v>9.2875506600000008</c:v>
                </c:pt>
                <c:pt idx="32">
                  <c:v>10.659437970000001</c:v>
                </c:pt>
                <c:pt idx="33">
                  <c:v>8.7409241400000006</c:v>
                </c:pt>
                <c:pt idx="34">
                  <c:v>7.01913885</c:v>
                </c:pt>
                <c:pt idx="35">
                  <c:v>6.8162036200000005</c:v>
                </c:pt>
                <c:pt idx="36">
                  <c:v>7.3437555100000003</c:v>
                </c:pt>
                <c:pt idx="37">
                  <c:v>7.39723387</c:v>
                </c:pt>
                <c:pt idx="38">
                  <c:v>9.6818498899999987</c:v>
                </c:pt>
                <c:pt idx="39">
                  <c:v>8.2830718000000001</c:v>
                </c:pt>
                <c:pt idx="40">
                  <c:v>7.49760004</c:v>
                </c:pt>
                <c:pt idx="41">
                  <c:v>9.8208399800000006</c:v>
                </c:pt>
                <c:pt idx="42">
                  <c:v>9.31166245</c:v>
                </c:pt>
                <c:pt idx="43">
                  <c:v>7.8734813999999993</c:v>
                </c:pt>
                <c:pt idx="44">
                  <c:v>6.8964363200000003</c:v>
                </c:pt>
                <c:pt idx="45">
                  <c:v>8.1396696800000008</c:v>
                </c:pt>
                <c:pt idx="46">
                  <c:v>8.2921831300000015</c:v>
                </c:pt>
                <c:pt idx="47">
                  <c:v>6.268553859999999</c:v>
                </c:pt>
                <c:pt idx="48">
                  <c:v>9.0002073399999993</c:v>
                </c:pt>
                <c:pt idx="49">
                  <c:v>8.8358706500000004</c:v>
                </c:pt>
                <c:pt idx="50">
                  <c:v>8.0028160600000007</c:v>
                </c:pt>
                <c:pt idx="51">
                  <c:v>9.0393391399999992</c:v>
                </c:pt>
                <c:pt idx="52">
                  <c:v>10.8609405</c:v>
                </c:pt>
                <c:pt idx="53">
                  <c:v>9.6488914799999996</c:v>
                </c:pt>
                <c:pt idx="54">
                  <c:v>12.044213249999999</c:v>
                </c:pt>
                <c:pt idx="55">
                  <c:v>13.52234331</c:v>
                </c:pt>
                <c:pt idx="56">
                  <c:v>13.289571159999999</c:v>
                </c:pt>
                <c:pt idx="57">
                  <c:v>13.960439849999998</c:v>
                </c:pt>
                <c:pt idx="58">
                  <c:v>12.14675394</c:v>
                </c:pt>
                <c:pt idx="59">
                  <c:v>12.086211599999999</c:v>
                </c:pt>
                <c:pt idx="60">
                  <c:v>11.396151570000001</c:v>
                </c:pt>
                <c:pt idx="61">
                  <c:v>10.99189511</c:v>
                </c:pt>
                <c:pt idx="62">
                  <c:v>10.96095118</c:v>
                </c:pt>
                <c:pt idx="63">
                  <c:v>11.62250716</c:v>
                </c:pt>
                <c:pt idx="64">
                  <c:v>11.466945219999999</c:v>
                </c:pt>
                <c:pt idx="65">
                  <c:v>14.6940913</c:v>
                </c:pt>
                <c:pt idx="66">
                  <c:v>11.74438307</c:v>
                </c:pt>
                <c:pt idx="67">
                  <c:v>11.36391315</c:v>
                </c:pt>
                <c:pt idx="68">
                  <c:v>9.66453557</c:v>
                </c:pt>
                <c:pt idx="69">
                  <c:v>6.9953082300000009</c:v>
                </c:pt>
                <c:pt idx="70">
                  <c:v>7.8162145499999998</c:v>
                </c:pt>
                <c:pt idx="71">
                  <c:v>7.8152887599999996</c:v>
                </c:pt>
                <c:pt idx="72">
                  <c:v>7.3313895999999996</c:v>
                </c:pt>
                <c:pt idx="73">
                  <c:v>8.10539159</c:v>
                </c:pt>
                <c:pt idx="74">
                  <c:v>8.1531973400000002</c:v>
                </c:pt>
                <c:pt idx="75">
                  <c:v>6.3776272599999997</c:v>
                </c:pt>
                <c:pt idx="76">
                  <c:v>7.9935858999999994</c:v>
                </c:pt>
                <c:pt idx="77">
                  <c:v>9.2341030999999987</c:v>
                </c:pt>
                <c:pt idx="78">
                  <c:v>7.7852612800000003</c:v>
                </c:pt>
                <c:pt idx="79">
                  <c:v>7.7738988400000011</c:v>
                </c:pt>
                <c:pt idx="80">
                  <c:v>6.1342571300000008</c:v>
                </c:pt>
                <c:pt idx="81">
                  <c:v>5.9372876400000001</c:v>
                </c:pt>
                <c:pt idx="82">
                  <c:v>4.0823303600000003</c:v>
                </c:pt>
                <c:pt idx="83">
                  <c:v>4.5244419099999993</c:v>
                </c:pt>
                <c:pt idx="84">
                  <c:v>2.8976733699999997</c:v>
                </c:pt>
                <c:pt idx="85">
                  <c:v>3.5749673900000012</c:v>
                </c:pt>
                <c:pt idx="86">
                  <c:v>0.88168380000000113</c:v>
                </c:pt>
                <c:pt idx="87">
                  <c:v>-0.25256161000000077</c:v>
                </c:pt>
                <c:pt idx="88">
                  <c:v>0.41668808000000013</c:v>
                </c:pt>
                <c:pt idx="89">
                  <c:v>1.8855589100000003</c:v>
                </c:pt>
                <c:pt idx="90">
                  <c:v>1.9245483800000009</c:v>
                </c:pt>
                <c:pt idx="91">
                  <c:v>2.4054266699999998</c:v>
                </c:pt>
                <c:pt idx="92">
                  <c:v>4.3030879100000003</c:v>
                </c:pt>
                <c:pt idx="93">
                  <c:v>5.3418600600000001</c:v>
                </c:pt>
                <c:pt idx="94">
                  <c:v>7.1144879900000007</c:v>
                </c:pt>
                <c:pt idx="95">
                  <c:v>5.1621723299999998</c:v>
                </c:pt>
                <c:pt idx="96">
                  <c:v>5.8625936799999998</c:v>
                </c:pt>
                <c:pt idx="97">
                  <c:v>4.2970792400000004</c:v>
                </c:pt>
                <c:pt idx="98">
                  <c:v>6.6188848699999996</c:v>
                </c:pt>
                <c:pt idx="99">
                  <c:v>6.4683592499999998</c:v>
                </c:pt>
                <c:pt idx="100">
                  <c:v>6.1780018300000004</c:v>
                </c:pt>
                <c:pt idx="101">
                  <c:v>5.29620538</c:v>
                </c:pt>
                <c:pt idx="102">
                  <c:v>3.3854087200000009</c:v>
                </c:pt>
                <c:pt idx="103">
                  <c:v>1.11749951</c:v>
                </c:pt>
                <c:pt idx="104">
                  <c:v>-0.64607694999999943</c:v>
                </c:pt>
                <c:pt idx="105">
                  <c:v>1.0575973300000001</c:v>
                </c:pt>
                <c:pt idx="106">
                  <c:v>1.6198988300000003</c:v>
                </c:pt>
                <c:pt idx="107">
                  <c:v>0.81519605000000084</c:v>
                </c:pt>
                <c:pt idx="108">
                  <c:v>1.1349334500000001</c:v>
                </c:pt>
                <c:pt idx="109">
                  <c:v>1.9848089700000013</c:v>
                </c:pt>
                <c:pt idx="110">
                  <c:v>0.37466763000000114</c:v>
                </c:pt>
                <c:pt idx="111">
                  <c:v>-1.4602906700000009</c:v>
                </c:pt>
                <c:pt idx="112">
                  <c:v>-1.9509799300000008</c:v>
                </c:pt>
                <c:pt idx="113">
                  <c:v>-0.42725528999999973</c:v>
                </c:pt>
                <c:pt idx="114">
                  <c:v>-0.78781712999999876</c:v>
                </c:pt>
                <c:pt idx="115">
                  <c:v>-1.3078282199999993</c:v>
                </c:pt>
                <c:pt idx="116">
                  <c:v>-2.7031727100000005</c:v>
                </c:pt>
                <c:pt idx="117">
                  <c:v>-2.4683061999999989</c:v>
                </c:pt>
                <c:pt idx="118">
                  <c:v>-2.4101966500000005</c:v>
                </c:pt>
                <c:pt idx="119">
                  <c:v>-2.7908351400000004</c:v>
                </c:pt>
                <c:pt idx="120">
                  <c:v>-2.2629981199999989</c:v>
                </c:pt>
                <c:pt idx="121">
                  <c:v>-0.78939433999999942</c:v>
                </c:pt>
                <c:pt idx="122">
                  <c:v>0.90366558000000019</c:v>
                </c:pt>
                <c:pt idx="123">
                  <c:v>0.64702712999999967</c:v>
                </c:pt>
                <c:pt idx="124">
                  <c:v>1.4272270900000006</c:v>
                </c:pt>
                <c:pt idx="125">
                  <c:v>0.85284062000000027</c:v>
                </c:pt>
                <c:pt idx="126">
                  <c:v>1.9971492299999998</c:v>
                </c:pt>
                <c:pt idx="127">
                  <c:v>2.3223564300000001</c:v>
                </c:pt>
                <c:pt idx="128">
                  <c:v>2.43490904</c:v>
                </c:pt>
                <c:pt idx="129">
                  <c:v>2.4992790899999999</c:v>
                </c:pt>
                <c:pt idx="130">
                  <c:v>2.7254925800000001</c:v>
                </c:pt>
                <c:pt idx="131">
                  <c:v>1.6777658299999993</c:v>
                </c:pt>
                <c:pt idx="132">
                  <c:v>2.7555641800000004</c:v>
                </c:pt>
                <c:pt idx="133">
                  <c:v>2.59606285</c:v>
                </c:pt>
                <c:pt idx="134">
                  <c:v>2.1237417999999995</c:v>
                </c:pt>
                <c:pt idx="135">
                  <c:v>0.35695344999999978</c:v>
                </c:pt>
                <c:pt idx="136">
                  <c:v>1.0750562700000001</c:v>
                </c:pt>
                <c:pt idx="137">
                  <c:v>1.21538594</c:v>
                </c:pt>
                <c:pt idx="138">
                  <c:v>-8.3415200000001022E-3</c:v>
                </c:pt>
                <c:pt idx="139">
                  <c:v>-1.8561649000000005</c:v>
                </c:pt>
                <c:pt idx="140">
                  <c:v>-2.6527809499999995</c:v>
                </c:pt>
                <c:pt idx="141">
                  <c:v>-3.8177627400000009</c:v>
                </c:pt>
                <c:pt idx="142">
                  <c:v>-1.0475934000000002</c:v>
                </c:pt>
                <c:pt idx="143">
                  <c:v>-0.35035278999999964</c:v>
                </c:pt>
                <c:pt idx="144">
                  <c:v>-1.0409450800000002</c:v>
                </c:pt>
                <c:pt idx="145">
                  <c:v>7.0780099999998569E-3</c:v>
                </c:pt>
                <c:pt idx="146">
                  <c:v>-0.4458665100000001</c:v>
                </c:pt>
                <c:pt idx="147">
                  <c:v>-0.35558571999999966</c:v>
                </c:pt>
                <c:pt idx="148">
                  <c:v>3.7732520000000491E-2</c:v>
                </c:pt>
                <c:pt idx="149">
                  <c:v>-1.10280924</c:v>
                </c:pt>
                <c:pt idx="150">
                  <c:v>1.1513187499999997</c:v>
                </c:pt>
                <c:pt idx="151">
                  <c:v>-0.4888196899999997</c:v>
                </c:pt>
                <c:pt idx="152">
                  <c:v>-0.22409444000000001</c:v>
                </c:pt>
                <c:pt idx="153">
                  <c:v>-5.3065670000000509E-2</c:v>
                </c:pt>
                <c:pt idx="154">
                  <c:v>-0.45750129999999878</c:v>
                </c:pt>
                <c:pt idx="155">
                  <c:v>1.0837917699999995</c:v>
                </c:pt>
                <c:pt idx="156">
                  <c:v>0.95587827000000125</c:v>
                </c:pt>
                <c:pt idx="157">
                  <c:v>2.4890668699999994</c:v>
                </c:pt>
                <c:pt idx="158">
                  <c:v>2.6479760100000007</c:v>
                </c:pt>
                <c:pt idx="159">
                  <c:v>2.8812790100000001</c:v>
                </c:pt>
                <c:pt idx="160">
                  <c:v>3.3733863700000004</c:v>
                </c:pt>
                <c:pt idx="161">
                  <c:v>4.8689832599999994</c:v>
                </c:pt>
                <c:pt idx="162">
                  <c:v>4.2511747099999999</c:v>
                </c:pt>
                <c:pt idx="163">
                  <c:v>3.2666200100000005</c:v>
                </c:pt>
                <c:pt idx="164">
                  <c:v>3.5337218100000003</c:v>
                </c:pt>
                <c:pt idx="165">
                  <c:v>3.3018575500000003</c:v>
                </c:pt>
                <c:pt idx="166">
                  <c:v>4.4504748599999999</c:v>
                </c:pt>
                <c:pt idx="167">
                  <c:v>4.8685168700000006</c:v>
                </c:pt>
                <c:pt idx="168">
                  <c:v>4.1972838000000001</c:v>
                </c:pt>
                <c:pt idx="169">
                  <c:v>4.3693354099999988</c:v>
                </c:pt>
                <c:pt idx="170">
                  <c:v>4.1167640199999997</c:v>
                </c:pt>
                <c:pt idx="171">
                  <c:v>4.9816378600000002</c:v>
                </c:pt>
                <c:pt idx="172">
                  <c:v>3.9853888599999996</c:v>
                </c:pt>
                <c:pt idx="173">
                  <c:v>6.1181569099999997</c:v>
                </c:pt>
                <c:pt idx="174">
                  <c:v>6.7183162899999997</c:v>
                </c:pt>
                <c:pt idx="175">
                  <c:v>7.3105728299999999</c:v>
                </c:pt>
                <c:pt idx="176">
                  <c:v>6.7241184199999999</c:v>
                </c:pt>
                <c:pt idx="177">
                  <c:v>7.69775659</c:v>
                </c:pt>
                <c:pt idx="178">
                  <c:v>9.9036585099999996</c:v>
                </c:pt>
                <c:pt idx="179">
                  <c:v>12.32850154</c:v>
                </c:pt>
                <c:pt idx="180">
                  <c:v>10.179471280000001</c:v>
                </c:pt>
                <c:pt idx="181">
                  <c:v>8.3628734500000004</c:v>
                </c:pt>
                <c:pt idx="182">
                  <c:v>7.8580149700000002</c:v>
                </c:pt>
                <c:pt idx="183">
                  <c:v>9.8580655299999993</c:v>
                </c:pt>
                <c:pt idx="184">
                  <c:v>9.5186148999999993</c:v>
                </c:pt>
                <c:pt idx="185">
                  <c:v>11.22770961</c:v>
                </c:pt>
                <c:pt idx="186">
                  <c:v>9.3446032199999998</c:v>
                </c:pt>
                <c:pt idx="187">
                  <c:v>10.21501715</c:v>
                </c:pt>
                <c:pt idx="188">
                  <c:v>11.799821099999999</c:v>
                </c:pt>
                <c:pt idx="189">
                  <c:v>12.721020829999999</c:v>
                </c:pt>
                <c:pt idx="190">
                  <c:v>13.278168780000001</c:v>
                </c:pt>
                <c:pt idx="191">
                  <c:v>12.98983138</c:v>
                </c:pt>
                <c:pt idx="192">
                  <c:v>11.778153590000001</c:v>
                </c:pt>
                <c:pt idx="193">
                  <c:v>10.868676020000001</c:v>
                </c:pt>
                <c:pt idx="194">
                  <c:v>12.44790373</c:v>
                </c:pt>
                <c:pt idx="195">
                  <c:v>10.995238480000001</c:v>
                </c:pt>
                <c:pt idx="196">
                  <c:v>8.9647569799999989</c:v>
                </c:pt>
                <c:pt idx="197">
                  <c:v>8.9673184300000006</c:v>
                </c:pt>
                <c:pt idx="198">
                  <c:v>11.39330331</c:v>
                </c:pt>
                <c:pt idx="199">
                  <c:v>10.47730849</c:v>
                </c:pt>
                <c:pt idx="200">
                  <c:v>10.160401</c:v>
                </c:pt>
                <c:pt idx="201">
                  <c:v>10.16987868</c:v>
                </c:pt>
                <c:pt idx="202">
                  <c:v>8.5276884399999986</c:v>
                </c:pt>
                <c:pt idx="203">
                  <c:v>11.26678364</c:v>
                </c:pt>
                <c:pt idx="204">
                  <c:v>10.198738410000001</c:v>
                </c:pt>
                <c:pt idx="205">
                  <c:v>10.8589541</c:v>
                </c:pt>
                <c:pt idx="206">
                  <c:v>8.1153788300000009</c:v>
                </c:pt>
                <c:pt idx="207">
                  <c:v>8.5523182700000007</c:v>
                </c:pt>
                <c:pt idx="208">
                  <c:v>11.417513210000001</c:v>
                </c:pt>
                <c:pt idx="209">
                  <c:v>13.809271750000001</c:v>
                </c:pt>
                <c:pt idx="210">
                  <c:v>11.446712420000001</c:v>
                </c:pt>
                <c:pt idx="211">
                  <c:v>12.90096791</c:v>
                </c:pt>
                <c:pt idx="212">
                  <c:v>12.965675860000001</c:v>
                </c:pt>
                <c:pt idx="213">
                  <c:v>11.868344</c:v>
                </c:pt>
                <c:pt idx="214">
                  <c:v>12.83879524</c:v>
                </c:pt>
                <c:pt idx="215">
                  <c:v>12.63035094</c:v>
                </c:pt>
                <c:pt idx="216">
                  <c:v>11.00398137</c:v>
                </c:pt>
                <c:pt idx="217">
                  <c:v>11.29835666</c:v>
                </c:pt>
                <c:pt idx="218">
                  <c:v>7.4594822399999998</c:v>
                </c:pt>
                <c:pt idx="219">
                  <c:v>10.501602380000001</c:v>
                </c:pt>
                <c:pt idx="220">
                  <c:v>10.87136939</c:v>
                </c:pt>
                <c:pt idx="221">
                  <c:v>11.42217546</c:v>
                </c:pt>
                <c:pt idx="222">
                  <c:v>10.638763300000001</c:v>
                </c:pt>
                <c:pt idx="223">
                  <c:v>12.91426032</c:v>
                </c:pt>
                <c:pt idx="224">
                  <c:v>13.319275179999998</c:v>
                </c:pt>
                <c:pt idx="225">
                  <c:v>14.366577509999999</c:v>
                </c:pt>
                <c:pt idx="226">
                  <c:v>13.916972130000001</c:v>
                </c:pt>
                <c:pt idx="227">
                  <c:v>16.157305909999998</c:v>
                </c:pt>
                <c:pt idx="228">
                  <c:v>16.79927</c:v>
                </c:pt>
                <c:pt idx="229">
                  <c:v>15.861276069999999</c:v>
                </c:pt>
                <c:pt idx="230">
                  <c:v>15.570764710000001</c:v>
                </c:pt>
                <c:pt idx="231">
                  <c:v>14.783025690000001</c:v>
                </c:pt>
                <c:pt idx="232">
                  <c:v>16.32616552</c:v>
                </c:pt>
                <c:pt idx="233">
                  <c:v>15.793156509999999</c:v>
                </c:pt>
                <c:pt idx="234">
                  <c:v>17.03462274</c:v>
                </c:pt>
                <c:pt idx="235">
                  <c:v>17.567571709999999</c:v>
                </c:pt>
                <c:pt idx="236">
                  <c:v>18.961792939999999</c:v>
                </c:pt>
                <c:pt idx="237">
                  <c:v>19.138476480000001</c:v>
                </c:pt>
                <c:pt idx="238">
                  <c:v>19.570678139999998</c:v>
                </c:pt>
                <c:pt idx="239">
                  <c:v>21.016211850000001</c:v>
                </c:pt>
                <c:pt idx="240">
                  <c:v>20.99481746</c:v>
                </c:pt>
                <c:pt idx="241">
                  <c:v>23.94262535</c:v>
                </c:pt>
                <c:pt idx="242">
                  <c:v>23.131093100000001</c:v>
                </c:pt>
                <c:pt idx="243">
                  <c:v>19.725581949999999</c:v>
                </c:pt>
                <c:pt idx="244">
                  <c:v>17.520575389999998</c:v>
                </c:pt>
                <c:pt idx="245">
                  <c:v>19.35900406</c:v>
                </c:pt>
                <c:pt idx="246">
                  <c:v>18.645679520000002</c:v>
                </c:pt>
                <c:pt idx="247">
                  <c:v>19.99478379</c:v>
                </c:pt>
                <c:pt idx="248">
                  <c:v>18.841560879999999</c:v>
                </c:pt>
                <c:pt idx="249">
                  <c:v>21.80309591</c:v>
                </c:pt>
                <c:pt idx="250">
                  <c:v>20.538080309999998</c:v>
                </c:pt>
                <c:pt idx="251">
                  <c:v>20.820625039999999</c:v>
                </c:pt>
                <c:pt idx="252">
                  <c:v>20.517238710000001</c:v>
                </c:pt>
                <c:pt idx="253">
                  <c:v>21.975660009999999</c:v>
                </c:pt>
                <c:pt idx="254">
                  <c:v>21.274676540000002</c:v>
                </c:pt>
                <c:pt idx="255">
                  <c:v>21.746909780000003</c:v>
                </c:pt>
                <c:pt idx="256">
                  <c:v>22.78434013</c:v>
                </c:pt>
                <c:pt idx="257">
                  <c:v>22.70576119</c:v>
                </c:pt>
                <c:pt idx="258">
                  <c:v>25.223223949999998</c:v>
                </c:pt>
                <c:pt idx="259">
                  <c:v>24.157658699999999</c:v>
                </c:pt>
                <c:pt idx="260">
                  <c:v>24.532482289999997</c:v>
                </c:pt>
                <c:pt idx="261">
                  <c:v>21.34706018</c:v>
                </c:pt>
                <c:pt idx="262">
                  <c:v>22.325170980000003</c:v>
                </c:pt>
                <c:pt idx="263">
                  <c:v>21.703514599999998</c:v>
                </c:pt>
                <c:pt idx="264">
                  <c:v>21.383802719999998</c:v>
                </c:pt>
                <c:pt idx="265">
                  <c:v>22.022668169999999</c:v>
                </c:pt>
                <c:pt idx="266">
                  <c:v>21.21390817</c:v>
                </c:pt>
                <c:pt idx="267">
                  <c:v>19.90213425</c:v>
                </c:pt>
                <c:pt idx="268">
                  <c:v>17.91810079</c:v>
                </c:pt>
                <c:pt idx="269">
                  <c:v>19.821520569999997</c:v>
                </c:pt>
                <c:pt idx="270">
                  <c:v>18.861906830000002</c:v>
                </c:pt>
                <c:pt idx="271">
                  <c:v>20.694568570000001</c:v>
                </c:pt>
                <c:pt idx="272">
                  <c:v>20.310133090000001</c:v>
                </c:pt>
                <c:pt idx="273">
                  <c:v>21.202029619999998</c:v>
                </c:pt>
                <c:pt idx="274">
                  <c:v>23.743673639999997</c:v>
                </c:pt>
                <c:pt idx="275">
                  <c:v>22.938977470000001</c:v>
                </c:pt>
                <c:pt idx="276">
                  <c:v>21.934879840000001</c:v>
                </c:pt>
                <c:pt idx="277">
                  <c:v>21.639774729999999</c:v>
                </c:pt>
                <c:pt idx="278">
                  <c:v>20.25689247</c:v>
                </c:pt>
                <c:pt idx="279">
                  <c:v>21.728952630000002</c:v>
                </c:pt>
                <c:pt idx="280">
                  <c:v>20.409214500000001</c:v>
                </c:pt>
                <c:pt idx="281">
                  <c:v>20.947686740000002</c:v>
                </c:pt>
                <c:pt idx="282">
                  <c:v>19.958025060000001</c:v>
                </c:pt>
                <c:pt idx="283">
                  <c:v>19.7549718</c:v>
                </c:pt>
                <c:pt idx="284">
                  <c:v>18.277304299999997</c:v>
                </c:pt>
                <c:pt idx="285">
                  <c:v>18.418495679999999</c:v>
                </c:pt>
                <c:pt idx="286">
                  <c:v>17.658006499999999</c:v>
                </c:pt>
                <c:pt idx="287">
                  <c:v>16.49029646</c:v>
                </c:pt>
                <c:pt idx="288">
                  <c:v>16.61748716</c:v>
                </c:pt>
                <c:pt idx="289">
                  <c:v>15.463558769999999</c:v>
                </c:pt>
                <c:pt idx="290">
                  <c:v>18.368096690000002</c:v>
                </c:pt>
                <c:pt idx="291">
                  <c:v>20.408456399999999</c:v>
                </c:pt>
                <c:pt idx="292">
                  <c:v>21.225904970000002</c:v>
                </c:pt>
                <c:pt idx="293">
                  <c:v>22.21416305</c:v>
                </c:pt>
                <c:pt idx="294">
                  <c:v>19.45312831</c:v>
                </c:pt>
                <c:pt idx="295">
                  <c:v>19.150179260000002</c:v>
                </c:pt>
                <c:pt idx="296">
                  <c:v>18.41009811</c:v>
                </c:pt>
                <c:pt idx="297">
                  <c:v>18.297162010000001</c:v>
                </c:pt>
                <c:pt idx="298">
                  <c:v>18.039267299999999</c:v>
                </c:pt>
                <c:pt idx="299">
                  <c:v>17.570045260000001</c:v>
                </c:pt>
                <c:pt idx="300">
                  <c:v>20.166082469999999</c:v>
                </c:pt>
                <c:pt idx="301">
                  <c:v>20.79947262</c:v>
                </c:pt>
                <c:pt idx="302">
                  <c:v>24.29450589</c:v>
                </c:pt>
                <c:pt idx="303">
                  <c:v>25.139760840000001</c:v>
                </c:pt>
                <c:pt idx="304">
                  <c:v>24.037069070000001</c:v>
                </c:pt>
                <c:pt idx="305">
                  <c:v>23.919759710000001</c:v>
                </c:pt>
                <c:pt idx="306">
                  <c:v>24.173289359999998</c:v>
                </c:pt>
                <c:pt idx="307">
                  <c:v>21.917006010000001</c:v>
                </c:pt>
                <c:pt idx="308">
                  <c:v>19.410481879999999</c:v>
                </c:pt>
                <c:pt idx="309">
                  <c:v>20.950989230000001</c:v>
                </c:pt>
                <c:pt idx="310">
                  <c:v>22.167194809999998</c:v>
                </c:pt>
                <c:pt idx="311">
                  <c:v>21.23057816</c:v>
                </c:pt>
                <c:pt idx="312">
                  <c:v>19.713160309999999</c:v>
                </c:pt>
              </c:numCache>
            </c:numRef>
          </c:val>
          <c:smooth val="0"/>
          <c:extLst>
            <c:ext xmlns:c16="http://schemas.microsoft.com/office/drawing/2014/chart" uri="{C3380CC4-5D6E-409C-BE32-E72D297353CC}">
              <c16:uniqueId val="{00000000-7CFB-4D96-A5C1-580A0820BA37}"/>
            </c:ext>
          </c:extLst>
        </c:ser>
        <c:dLbls>
          <c:showLegendKey val="0"/>
          <c:showVal val="0"/>
          <c:showCatName val="0"/>
          <c:showSerName val="0"/>
          <c:showPercent val="0"/>
          <c:showBubbleSize val="0"/>
        </c:dLbls>
        <c:smooth val="0"/>
        <c:axId val="596234416"/>
        <c:axId val="1292859792"/>
      </c:lineChart>
      <c:catAx>
        <c:axId val="596234416"/>
        <c:scaling>
          <c:orientation val="minMax"/>
        </c:scaling>
        <c:delete val="0"/>
        <c:axPos val="b"/>
        <c:numFmt formatCode="dd-mmm-yy"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292859792"/>
        <c:crosses val="autoZero"/>
        <c:auto val="1"/>
        <c:lblAlgn val="ctr"/>
        <c:lblOffset val="100"/>
        <c:noMultiLvlLbl val="0"/>
      </c:catAx>
      <c:valAx>
        <c:axId val="1292859792"/>
        <c:scaling>
          <c:orientation val="minMax"/>
        </c:scaling>
        <c:delete val="0"/>
        <c:axPos val="l"/>
        <c:majorGridlines>
          <c:spPr>
            <a:ln w="9525" cap="flat" cmpd="sng" algn="ctr">
              <a:solidFill>
                <a:schemeClr val="tx2">
                  <a:lumMod val="15000"/>
                  <a:lumOff val="85000"/>
                </a:schemeClr>
              </a:solidFill>
              <a:round/>
            </a:ln>
            <a:effectLst/>
          </c:spPr>
        </c:majorGridlines>
        <c:minorGridlines>
          <c:spPr>
            <a:ln>
              <a:solidFill>
                <a:schemeClr val="tx2">
                  <a:lumMod val="5000"/>
                  <a:lumOff val="95000"/>
                </a:schemeClr>
              </a:solidFill>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596234416"/>
        <c:crosses val="autoZero"/>
        <c:crossBetween val="between"/>
      </c:valAx>
      <c:spPr>
        <a:noFill/>
        <a:ln>
          <a:noFill/>
        </a:ln>
        <a:effectLst/>
      </c:spPr>
    </c:plotArea>
    <c:plotVisOnly val="1"/>
    <c:dispBlanksAs val="zero"/>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Pricing</a:t>
            </a:r>
            <a:r>
              <a:rPr lang="en-US" baseline="0"/>
              <a:t> of Btc38 Relative to Quoine</a:t>
            </a:r>
            <a:br>
              <a:rPr lang="en-US" baseline="0"/>
            </a:br>
            <a:r>
              <a:rPr lang="en-US" sz="1100" i="1" baseline="0"/>
              <a:t>(deviation % from parity)</a:t>
            </a:r>
            <a:endParaRPr lang="en-US" i="1"/>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lineChart>
        <c:grouping val="stacked"/>
        <c:varyColors val="0"/>
        <c:ser>
          <c:idx val="0"/>
          <c:order val="0"/>
          <c:spPr>
            <a:ln w="31750" cap="rnd">
              <a:solidFill>
                <a:schemeClr val="accent1"/>
              </a:solidFill>
              <a:round/>
            </a:ln>
            <a:effectLst/>
          </c:spPr>
          <c:marker>
            <c:symbol val="none"/>
          </c:marker>
          <c:val>
            <c:numRef>
              <c:f>Sheet9!$E$2:$E$341</c:f>
              <c:numCache>
                <c:formatCode>General</c:formatCode>
                <c:ptCount val="340"/>
                <c:pt idx="0">
                  <c:v>0.53915373999999994</c:v>
                </c:pt>
                <c:pt idx="1">
                  <c:v>1.7025145699999999</c:v>
                </c:pt>
                <c:pt idx="2">
                  <c:v>1.5338402699999998</c:v>
                </c:pt>
                <c:pt idx="3">
                  <c:v>1.7667858999999999</c:v>
                </c:pt>
                <c:pt idx="4">
                  <c:v>2.6055797200000002</c:v>
                </c:pt>
                <c:pt idx="5">
                  <c:v>3.8371667000000005</c:v>
                </c:pt>
                <c:pt idx="6">
                  <c:v>4.1557411200000001</c:v>
                </c:pt>
                <c:pt idx="7">
                  <c:v>3.7925639099999997</c:v>
                </c:pt>
                <c:pt idx="8">
                  <c:v>6.2105191</c:v>
                </c:pt>
                <c:pt idx="9">
                  <c:v>7.7091378599999993</c:v>
                </c:pt>
                <c:pt idx="10">
                  <c:v>7.5889525899999999</c:v>
                </c:pt>
                <c:pt idx="11">
                  <c:v>7.1465157100000001</c:v>
                </c:pt>
                <c:pt idx="12">
                  <c:v>7.62292477</c:v>
                </c:pt>
                <c:pt idx="13">
                  <c:v>8.42356953</c:v>
                </c:pt>
                <c:pt idx="14">
                  <c:v>7.7813497099999998</c:v>
                </c:pt>
                <c:pt idx="15">
                  <c:v>9.5923850900000005</c:v>
                </c:pt>
                <c:pt idx="16">
                  <c:v>10.12284552</c:v>
                </c:pt>
                <c:pt idx="17">
                  <c:v>10.24023643</c:v>
                </c:pt>
                <c:pt idx="18">
                  <c:v>8.2742235500000003</c:v>
                </c:pt>
                <c:pt idx="19">
                  <c:v>8.0799894699999992</c:v>
                </c:pt>
                <c:pt idx="20">
                  <c:v>9.5028112</c:v>
                </c:pt>
                <c:pt idx="21">
                  <c:v>6.6993226200000002</c:v>
                </c:pt>
                <c:pt idx="22">
                  <c:v>8.6849646499999995</c:v>
                </c:pt>
                <c:pt idx="23">
                  <c:v>7.0103980800000008</c:v>
                </c:pt>
                <c:pt idx="24">
                  <c:v>7.66985283</c:v>
                </c:pt>
                <c:pt idx="25">
                  <c:v>6.1509458000000006</c:v>
                </c:pt>
                <c:pt idx="26">
                  <c:v>5.4688408399999995</c:v>
                </c:pt>
                <c:pt idx="27">
                  <c:v>5.0189345799999998</c:v>
                </c:pt>
                <c:pt idx="28">
                  <c:v>4.8328238399999996</c:v>
                </c:pt>
                <c:pt idx="29">
                  <c:v>3.76877913</c:v>
                </c:pt>
                <c:pt idx="30">
                  <c:v>3.3748151900000001</c:v>
                </c:pt>
                <c:pt idx="31">
                  <c:v>3.3161186699999998</c:v>
                </c:pt>
                <c:pt idx="32">
                  <c:v>3.2494539299999996</c:v>
                </c:pt>
                <c:pt idx="33">
                  <c:v>0.59788681000000032</c:v>
                </c:pt>
                <c:pt idx="34">
                  <c:v>0.10435910999999987</c:v>
                </c:pt>
                <c:pt idx="35">
                  <c:v>-0.49405528000000043</c:v>
                </c:pt>
                <c:pt idx="36">
                  <c:v>-3.0330126699999997</c:v>
                </c:pt>
                <c:pt idx="37">
                  <c:v>-3.6882924799999999</c:v>
                </c:pt>
                <c:pt idx="38">
                  <c:v>-1.9941221700000007</c:v>
                </c:pt>
                <c:pt idx="39">
                  <c:v>-1.7614237199999998</c:v>
                </c:pt>
                <c:pt idx="40">
                  <c:v>-6.0293139999999745E-2</c:v>
                </c:pt>
                <c:pt idx="41">
                  <c:v>6.5778990000000093E-2</c:v>
                </c:pt>
                <c:pt idx="42">
                  <c:v>2.2184804600000003</c:v>
                </c:pt>
                <c:pt idx="43">
                  <c:v>4.1645727700000004</c:v>
                </c:pt>
                <c:pt idx="44">
                  <c:v>4.5370540699999999</c:v>
                </c:pt>
                <c:pt idx="45">
                  <c:v>5.2283668700000003</c:v>
                </c:pt>
                <c:pt idx="46">
                  <c:v>7.8078425799999991</c:v>
                </c:pt>
                <c:pt idx="47">
                  <c:v>10.22283899</c:v>
                </c:pt>
                <c:pt idx="48">
                  <c:v>10.38056255</c:v>
                </c:pt>
                <c:pt idx="49">
                  <c:v>9.2787346699999986</c:v>
                </c:pt>
                <c:pt idx="50">
                  <c:v>9.4400909000000013</c:v>
                </c:pt>
                <c:pt idx="51">
                  <c:v>9.6683847800000002</c:v>
                </c:pt>
                <c:pt idx="52">
                  <c:v>10.147192019999999</c:v>
                </c:pt>
                <c:pt idx="53">
                  <c:v>10.131416829999999</c:v>
                </c:pt>
                <c:pt idx="54">
                  <c:v>7.7362777999999999</c:v>
                </c:pt>
                <c:pt idx="55">
                  <c:v>10.542651670000001</c:v>
                </c:pt>
                <c:pt idx="56">
                  <c:v>12.093004349999999</c:v>
                </c:pt>
                <c:pt idx="57">
                  <c:v>13.337095850000001</c:v>
                </c:pt>
                <c:pt idx="58">
                  <c:v>11.74393113</c:v>
                </c:pt>
                <c:pt idx="59">
                  <c:v>12.123823399999999</c:v>
                </c:pt>
                <c:pt idx="60">
                  <c:v>12.70493007</c:v>
                </c:pt>
                <c:pt idx="61">
                  <c:v>11.266631279999999</c:v>
                </c:pt>
                <c:pt idx="62">
                  <c:v>10.603514610000001</c:v>
                </c:pt>
                <c:pt idx="63">
                  <c:v>10.732934600000002</c:v>
                </c:pt>
                <c:pt idx="64">
                  <c:v>10.386033550000001</c:v>
                </c:pt>
                <c:pt idx="65">
                  <c:v>6.9270796400000005</c:v>
                </c:pt>
                <c:pt idx="66">
                  <c:v>6.6069905500000008</c:v>
                </c:pt>
                <c:pt idx="67">
                  <c:v>7.3940016099999983</c:v>
                </c:pt>
                <c:pt idx="68">
                  <c:v>5.1189307900000003</c:v>
                </c:pt>
                <c:pt idx="69">
                  <c:v>4.8642752999999992</c:v>
                </c:pt>
                <c:pt idx="70">
                  <c:v>6.3996536300000013</c:v>
                </c:pt>
                <c:pt idx="71">
                  <c:v>6.5167529700000006</c:v>
                </c:pt>
                <c:pt idx="72">
                  <c:v>3.9597002000000003</c:v>
                </c:pt>
                <c:pt idx="73">
                  <c:v>5.302659349999999</c:v>
                </c:pt>
                <c:pt idx="74">
                  <c:v>5.6506748599999987</c:v>
                </c:pt>
                <c:pt idx="75">
                  <c:v>4.7647288200000002</c:v>
                </c:pt>
                <c:pt idx="76">
                  <c:v>6.2289340499999994</c:v>
                </c:pt>
                <c:pt idx="77">
                  <c:v>7.2400361899999996</c:v>
                </c:pt>
                <c:pt idx="78">
                  <c:v>9.4446000800000007</c:v>
                </c:pt>
                <c:pt idx="79">
                  <c:v>9.397122809999999</c:v>
                </c:pt>
                <c:pt idx="80">
                  <c:v>8.3491135199999995</c:v>
                </c:pt>
                <c:pt idx="81">
                  <c:v>9.8418231799999987</c:v>
                </c:pt>
                <c:pt idx="82">
                  <c:v>8.4732915700000007</c:v>
                </c:pt>
                <c:pt idx="83">
                  <c:v>7.9157125699999984</c:v>
                </c:pt>
                <c:pt idx="84">
                  <c:v>8.0796093199999994</c:v>
                </c:pt>
                <c:pt idx="85">
                  <c:v>8.95647561</c:v>
                </c:pt>
                <c:pt idx="86">
                  <c:v>8.2019965399999997</c:v>
                </c:pt>
                <c:pt idx="87">
                  <c:v>7.9591235200000003</c:v>
                </c:pt>
                <c:pt idx="88">
                  <c:v>8.0300937799999996</c:v>
                </c:pt>
                <c:pt idx="89">
                  <c:v>11.961869860000002</c:v>
                </c:pt>
                <c:pt idx="90">
                  <c:v>8.9150525100000007</c:v>
                </c:pt>
                <c:pt idx="91">
                  <c:v>9.6531157599999986</c:v>
                </c:pt>
                <c:pt idx="92">
                  <c:v>9.0859731500000009</c:v>
                </c:pt>
                <c:pt idx="93">
                  <c:v>11.660584950000001</c:v>
                </c:pt>
                <c:pt idx="94">
                  <c:v>12.885730550000002</c:v>
                </c:pt>
                <c:pt idx="95">
                  <c:v>14.986113559999998</c:v>
                </c:pt>
                <c:pt idx="96">
                  <c:v>15.1647249</c:v>
                </c:pt>
                <c:pt idx="97">
                  <c:v>15.488686980000001</c:v>
                </c:pt>
                <c:pt idx="98">
                  <c:v>13.452487469999999</c:v>
                </c:pt>
                <c:pt idx="99">
                  <c:v>12.867547750000002</c:v>
                </c:pt>
                <c:pt idx="100">
                  <c:v>11.547919499999999</c:v>
                </c:pt>
                <c:pt idx="101">
                  <c:v>13.857650019999999</c:v>
                </c:pt>
                <c:pt idx="102">
                  <c:v>13.97792815</c:v>
                </c:pt>
                <c:pt idx="103">
                  <c:v>15.22404482</c:v>
                </c:pt>
                <c:pt idx="104">
                  <c:v>12.610118890000001</c:v>
                </c:pt>
                <c:pt idx="105">
                  <c:v>15.314694820000001</c:v>
                </c:pt>
                <c:pt idx="106">
                  <c:v>14.555784510000002</c:v>
                </c:pt>
                <c:pt idx="107">
                  <c:v>16.297328480000001</c:v>
                </c:pt>
                <c:pt idx="108">
                  <c:v>15.781586219999999</c:v>
                </c:pt>
                <c:pt idx="109">
                  <c:v>13.04357283</c:v>
                </c:pt>
                <c:pt idx="110">
                  <c:v>13.144040630000001</c:v>
                </c:pt>
                <c:pt idx="111">
                  <c:v>13.29435052</c:v>
                </c:pt>
                <c:pt idx="112">
                  <c:v>13.375373369999998</c:v>
                </c:pt>
                <c:pt idx="113">
                  <c:v>11.744915110000001</c:v>
                </c:pt>
                <c:pt idx="114">
                  <c:v>14.37925411</c:v>
                </c:pt>
                <c:pt idx="115">
                  <c:v>13.577700379999998</c:v>
                </c:pt>
                <c:pt idx="116">
                  <c:v>12.24668363</c:v>
                </c:pt>
                <c:pt idx="117">
                  <c:v>10.33065594</c:v>
                </c:pt>
                <c:pt idx="118">
                  <c:v>12.767286260000001</c:v>
                </c:pt>
                <c:pt idx="119">
                  <c:v>13.071028479999999</c:v>
                </c:pt>
                <c:pt idx="120">
                  <c:v>12.166733989999999</c:v>
                </c:pt>
                <c:pt idx="121">
                  <c:v>11.221956419999998</c:v>
                </c:pt>
                <c:pt idx="122">
                  <c:v>13.577021930000001</c:v>
                </c:pt>
                <c:pt idx="123">
                  <c:v>14.173409919999999</c:v>
                </c:pt>
                <c:pt idx="124">
                  <c:v>14.75801596</c:v>
                </c:pt>
                <c:pt idx="125">
                  <c:v>13.970625909999999</c:v>
                </c:pt>
                <c:pt idx="126">
                  <c:v>16.056213280000001</c:v>
                </c:pt>
                <c:pt idx="127">
                  <c:v>13.839003680000001</c:v>
                </c:pt>
                <c:pt idx="128">
                  <c:v>14.023289470000002</c:v>
                </c:pt>
                <c:pt idx="129">
                  <c:v>14.880693820000001</c:v>
                </c:pt>
                <c:pt idx="130">
                  <c:v>15.71714583</c:v>
                </c:pt>
                <c:pt idx="131">
                  <c:v>19.515213549999999</c:v>
                </c:pt>
                <c:pt idx="132">
                  <c:v>20.178144409999994</c:v>
                </c:pt>
                <c:pt idx="133">
                  <c:v>18.939913840000003</c:v>
                </c:pt>
                <c:pt idx="134">
                  <c:v>18.784878829999997</c:v>
                </c:pt>
                <c:pt idx="135">
                  <c:v>19.88397501</c:v>
                </c:pt>
                <c:pt idx="136">
                  <c:v>19.142825729999998</c:v>
                </c:pt>
                <c:pt idx="137">
                  <c:v>18.73809026</c:v>
                </c:pt>
                <c:pt idx="138">
                  <c:v>15.689754830000002</c:v>
                </c:pt>
                <c:pt idx="139">
                  <c:v>15.79808998</c:v>
                </c:pt>
                <c:pt idx="140">
                  <c:v>14.846488539999999</c:v>
                </c:pt>
                <c:pt idx="141">
                  <c:v>14.006828800000001</c:v>
                </c:pt>
                <c:pt idx="142">
                  <c:v>16.087325939999999</c:v>
                </c:pt>
                <c:pt idx="143">
                  <c:v>17.506747810000004</c:v>
                </c:pt>
                <c:pt idx="144">
                  <c:v>14.653346169999999</c:v>
                </c:pt>
                <c:pt idx="145">
                  <c:v>16.650374340000003</c:v>
                </c:pt>
                <c:pt idx="146">
                  <c:v>15.477131890000003</c:v>
                </c:pt>
                <c:pt idx="147">
                  <c:v>15.33427876</c:v>
                </c:pt>
                <c:pt idx="148">
                  <c:v>15.310856540000003</c:v>
                </c:pt>
                <c:pt idx="149">
                  <c:v>13.552357650000001</c:v>
                </c:pt>
                <c:pt idx="150">
                  <c:v>14.853739389999998</c:v>
                </c:pt>
                <c:pt idx="151">
                  <c:v>14.37871213</c:v>
                </c:pt>
                <c:pt idx="152">
                  <c:v>11.705606249999999</c:v>
                </c:pt>
                <c:pt idx="153">
                  <c:v>12.3264286</c:v>
                </c:pt>
                <c:pt idx="154">
                  <c:v>10.865654199999998</c:v>
                </c:pt>
                <c:pt idx="155">
                  <c:v>11.092091899999996</c:v>
                </c:pt>
                <c:pt idx="156">
                  <c:v>11.722189239999999</c:v>
                </c:pt>
                <c:pt idx="157">
                  <c:v>11.93908429</c:v>
                </c:pt>
                <c:pt idx="158">
                  <c:v>12.241816410000002</c:v>
                </c:pt>
                <c:pt idx="159">
                  <c:v>12.220003440000003</c:v>
                </c:pt>
                <c:pt idx="160">
                  <c:v>11.530135340000001</c:v>
                </c:pt>
                <c:pt idx="161">
                  <c:v>12.619345389999999</c:v>
                </c:pt>
                <c:pt idx="162">
                  <c:v>13.688666520000002</c:v>
                </c:pt>
                <c:pt idx="163">
                  <c:v>15.155189210000003</c:v>
                </c:pt>
                <c:pt idx="164">
                  <c:v>13.915026399999999</c:v>
                </c:pt>
                <c:pt idx="165">
                  <c:v>13.49541859</c:v>
                </c:pt>
                <c:pt idx="166">
                  <c:v>14.283663749999999</c:v>
                </c:pt>
                <c:pt idx="167">
                  <c:v>14.869336389999997</c:v>
                </c:pt>
                <c:pt idx="168">
                  <c:v>15.695415999999998</c:v>
                </c:pt>
                <c:pt idx="169">
                  <c:v>15.153029699999998</c:v>
                </c:pt>
                <c:pt idx="170">
                  <c:v>11.968760509999999</c:v>
                </c:pt>
                <c:pt idx="171">
                  <c:v>11.44761003</c:v>
                </c:pt>
                <c:pt idx="172">
                  <c:v>12.398909550000003</c:v>
                </c:pt>
                <c:pt idx="173">
                  <c:v>11.72849467</c:v>
                </c:pt>
                <c:pt idx="174">
                  <c:v>11.214938659999998</c:v>
                </c:pt>
                <c:pt idx="175">
                  <c:v>11.362066309999999</c:v>
                </c:pt>
                <c:pt idx="176">
                  <c:v>11.481004380000002</c:v>
                </c:pt>
                <c:pt idx="177">
                  <c:v>11.51734974</c:v>
                </c:pt>
                <c:pt idx="178">
                  <c:v>10.07824793</c:v>
                </c:pt>
                <c:pt idx="179">
                  <c:v>10.568104479999999</c:v>
                </c:pt>
                <c:pt idx="180">
                  <c:v>10.311899219999997</c:v>
                </c:pt>
                <c:pt idx="181">
                  <c:v>11.902635660000001</c:v>
                </c:pt>
                <c:pt idx="182">
                  <c:v>13.79293109</c:v>
                </c:pt>
                <c:pt idx="183">
                  <c:v>15.10924915</c:v>
                </c:pt>
                <c:pt idx="184">
                  <c:v>14.832529010000002</c:v>
                </c:pt>
                <c:pt idx="185">
                  <c:v>16.159870750000003</c:v>
                </c:pt>
                <c:pt idx="186">
                  <c:v>13.276511109999998</c:v>
                </c:pt>
                <c:pt idx="187">
                  <c:v>11.257668689999999</c:v>
                </c:pt>
                <c:pt idx="188">
                  <c:v>9.9126148699999987</c:v>
                </c:pt>
                <c:pt idx="189">
                  <c:v>7.5821750700000017</c:v>
                </c:pt>
                <c:pt idx="190">
                  <c:v>6.5690270700000006</c:v>
                </c:pt>
                <c:pt idx="191">
                  <c:v>8.9814203700000022</c:v>
                </c:pt>
                <c:pt idx="192">
                  <c:v>7.9346505399999998</c:v>
                </c:pt>
                <c:pt idx="193">
                  <c:v>9.5031679999999987</c:v>
                </c:pt>
                <c:pt idx="194">
                  <c:v>8.9622144800000001</c:v>
                </c:pt>
                <c:pt idx="195">
                  <c:v>9.0195339800000021</c:v>
                </c:pt>
                <c:pt idx="196">
                  <c:v>9.9115347599999986</c:v>
                </c:pt>
                <c:pt idx="197">
                  <c:v>12.512170829999999</c:v>
                </c:pt>
                <c:pt idx="198">
                  <c:v>12.200165939999998</c:v>
                </c:pt>
                <c:pt idx="199">
                  <c:v>12.804169020000003</c:v>
                </c:pt>
                <c:pt idx="200">
                  <c:v>13.607305880000002</c:v>
                </c:pt>
                <c:pt idx="201">
                  <c:v>11.297269020000002</c:v>
                </c:pt>
                <c:pt idx="202">
                  <c:v>11.524645659999997</c:v>
                </c:pt>
                <c:pt idx="203">
                  <c:v>11.369543090000001</c:v>
                </c:pt>
                <c:pt idx="204">
                  <c:v>11.520223099999999</c:v>
                </c:pt>
                <c:pt idx="205">
                  <c:v>11.102701589999999</c:v>
                </c:pt>
                <c:pt idx="206">
                  <c:v>12.388676009999998</c:v>
                </c:pt>
                <c:pt idx="207">
                  <c:v>16.166096799999998</c:v>
                </c:pt>
                <c:pt idx="208">
                  <c:v>16.380207509999998</c:v>
                </c:pt>
                <c:pt idx="209">
                  <c:v>15.52353727</c:v>
                </c:pt>
                <c:pt idx="210">
                  <c:v>12.960235769999999</c:v>
                </c:pt>
                <c:pt idx="211">
                  <c:v>15.73367509</c:v>
                </c:pt>
                <c:pt idx="212">
                  <c:v>16.03462721</c:v>
                </c:pt>
                <c:pt idx="213">
                  <c:v>12.872931120000001</c:v>
                </c:pt>
                <c:pt idx="214">
                  <c:v>13.57242868</c:v>
                </c:pt>
                <c:pt idx="215">
                  <c:v>13.357751859999999</c:v>
                </c:pt>
                <c:pt idx="216">
                  <c:v>13.841953489999998</c:v>
                </c:pt>
                <c:pt idx="217">
                  <c:v>12.87802419</c:v>
                </c:pt>
                <c:pt idx="218">
                  <c:v>12.795814829999999</c:v>
                </c:pt>
                <c:pt idx="219">
                  <c:v>14.71268431</c:v>
                </c:pt>
                <c:pt idx="220">
                  <c:v>18.00054184</c:v>
                </c:pt>
                <c:pt idx="221">
                  <c:v>18.006253370000003</c:v>
                </c:pt>
                <c:pt idx="222">
                  <c:v>17.528140739999998</c:v>
                </c:pt>
                <c:pt idx="223">
                  <c:v>18.923789199999998</c:v>
                </c:pt>
                <c:pt idx="224">
                  <c:v>20.221623299999997</c:v>
                </c:pt>
                <c:pt idx="225">
                  <c:v>20.408816659999999</c:v>
                </c:pt>
                <c:pt idx="226">
                  <c:v>21.714896060000001</c:v>
                </c:pt>
                <c:pt idx="227">
                  <c:v>23.458114160000001</c:v>
                </c:pt>
                <c:pt idx="228">
                  <c:v>23.176882429999999</c:v>
                </c:pt>
                <c:pt idx="229">
                  <c:v>21.13376178</c:v>
                </c:pt>
                <c:pt idx="230">
                  <c:v>22.785221049999997</c:v>
                </c:pt>
                <c:pt idx="231">
                  <c:v>23.687966909999997</c:v>
                </c:pt>
                <c:pt idx="232">
                  <c:v>22.349985419999999</c:v>
                </c:pt>
                <c:pt idx="233">
                  <c:v>24.884305740000002</c:v>
                </c:pt>
                <c:pt idx="234">
                  <c:v>24.926168740000001</c:v>
                </c:pt>
                <c:pt idx="235">
                  <c:v>25.798957389999998</c:v>
                </c:pt>
                <c:pt idx="236">
                  <c:v>26.91757119</c:v>
                </c:pt>
                <c:pt idx="237">
                  <c:v>24.115321979999997</c:v>
                </c:pt>
                <c:pt idx="238">
                  <c:v>20.32551565</c:v>
                </c:pt>
                <c:pt idx="239">
                  <c:v>23.39113704</c:v>
                </c:pt>
                <c:pt idx="240">
                  <c:v>23.09308901</c:v>
                </c:pt>
                <c:pt idx="241">
                  <c:v>23.493081580000002</c:v>
                </c:pt>
                <c:pt idx="242">
                  <c:v>23.669441570000004</c:v>
                </c:pt>
                <c:pt idx="243">
                  <c:v>26.153089739999999</c:v>
                </c:pt>
                <c:pt idx="244">
                  <c:v>25.565818220000001</c:v>
                </c:pt>
                <c:pt idx="245">
                  <c:v>24.75204394</c:v>
                </c:pt>
                <c:pt idx="246">
                  <c:v>25.126347730000003</c:v>
                </c:pt>
                <c:pt idx="247">
                  <c:v>25.803098050000003</c:v>
                </c:pt>
                <c:pt idx="248">
                  <c:v>25.58680026</c:v>
                </c:pt>
                <c:pt idx="249">
                  <c:v>27.128954720000003</c:v>
                </c:pt>
                <c:pt idx="250">
                  <c:v>27.676921970000002</c:v>
                </c:pt>
                <c:pt idx="251">
                  <c:v>30.6628449</c:v>
                </c:pt>
                <c:pt idx="252">
                  <c:v>27.87258503</c:v>
                </c:pt>
                <c:pt idx="253">
                  <c:v>29.737115039999999</c:v>
                </c:pt>
                <c:pt idx="254">
                  <c:v>28.087630360000002</c:v>
                </c:pt>
                <c:pt idx="255">
                  <c:v>27.425183259999997</c:v>
                </c:pt>
                <c:pt idx="256">
                  <c:v>27.073663410000002</c:v>
                </c:pt>
                <c:pt idx="257">
                  <c:v>26.823083429999997</c:v>
                </c:pt>
                <c:pt idx="258">
                  <c:v>26.416805870000005</c:v>
                </c:pt>
                <c:pt idx="259">
                  <c:v>25.42986964</c:v>
                </c:pt>
                <c:pt idx="260">
                  <c:v>27.829047629999998</c:v>
                </c:pt>
                <c:pt idx="261">
                  <c:v>29.806741559999999</c:v>
                </c:pt>
                <c:pt idx="262">
                  <c:v>29.009594069999999</c:v>
                </c:pt>
                <c:pt idx="263">
                  <c:v>29.051015620000001</c:v>
                </c:pt>
                <c:pt idx="264">
                  <c:v>27.592626599999999</c:v>
                </c:pt>
                <c:pt idx="265">
                  <c:v>26.97595841</c:v>
                </c:pt>
                <c:pt idx="266">
                  <c:v>27.93693657</c:v>
                </c:pt>
                <c:pt idx="267">
                  <c:v>26.65779646</c:v>
                </c:pt>
                <c:pt idx="268">
                  <c:v>27.839642909999998</c:v>
                </c:pt>
                <c:pt idx="269">
                  <c:v>28.573977029999998</c:v>
                </c:pt>
                <c:pt idx="270">
                  <c:v>27.872191439999998</c:v>
                </c:pt>
                <c:pt idx="271">
                  <c:v>26.91660881</c:v>
                </c:pt>
                <c:pt idx="272">
                  <c:v>25.514039199999999</c:v>
                </c:pt>
                <c:pt idx="273">
                  <c:v>24.877505719999998</c:v>
                </c:pt>
                <c:pt idx="274">
                  <c:v>24.051834769999999</c:v>
                </c:pt>
                <c:pt idx="275">
                  <c:v>23.466445130000004</c:v>
                </c:pt>
                <c:pt idx="276">
                  <c:v>22.370537130000002</c:v>
                </c:pt>
                <c:pt idx="277">
                  <c:v>23.433444900000001</c:v>
                </c:pt>
                <c:pt idx="278">
                  <c:v>21.608342960000002</c:v>
                </c:pt>
                <c:pt idx="279">
                  <c:v>19.753798269999997</c:v>
                </c:pt>
                <c:pt idx="280">
                  <c:v>20.577724240000002</c:v>
                </c:pt>
                <c:pt idx="281">
                  <c:v>21.908728809999999</c:v>
                </c:pt>
                <c:pt idx="282">
                  <c:v>22.626022770000002</c:v>
                </c:pt>
                <c:pt idx="283">
                  <c:v>22.121138190000003</c:v>
                </c:pt>
                <c:pt idx="284">
                  <c:v>21.516887130000001</c:v>
                </c:pt>
                <c:pt idx="285">
                  <c:v>21.671803860000001</c:v>
                </c:pt>
                <c:pt idx="286">
                  <c:v>21.523731210000001</c:v>
                </c:pt>
                <c:pt idx="287">
                  <c:v>21.436856450000001</c:v>
                </c:pt>
                <c:pt idx="288">
                  <c:v>22.918894680000001</c:v>
                </c:pt>
                <c:pt idx="289">
                  <c:v>21.736874110000002</c:v>
                </c:pt>
                <c:pt idx="290">
                  <c:v>22.0368277</c:v>
                </c:pt>
                <c:pt idx="291">
                  <c:v>20.10152935</c:v>
                </c:pt>
                <c:pt idx="292">
                  <c:v>19.307339590000005</c:v>
                </c:pt>
                <c:pt idx="293">
                  <c:v>17.9707869</c:v>
                </c:pt>
                <c:pt idx="294">
                  <c:v>14.79199567</c:v>
                </c:pt>
                <c:pt idx="295">
                  <c:v>14.52345401</c:v>
                </c:pt>
                <c:pt idx="296">
                  <c:v>13.982670269999998</c:v>
                </c:pt>
                <c:pt idx="297">
                  <c:v>14.5614659</c:v>
                </c:pt>
                <c:pt idx="298">
                  <c:v>15.47683653</c:v>
                </c:pt>
                <c:pt idx="299">
                  <c:v>14.38303039</c:v>
                </c:pt>
                <c:pt idx="300">
                  <c:v>13.682981959999999</c:v>
                </c:pt>
                <c:pt idx="301">
                  <c:v>15.585080150000001</c:v>
                </c:pt>
                <c:pt idx="302">
                  <c:v>16.27644707</c:v>
                </c:pt>
                <c:pt idx="303">
                  <c:v>15.66725997</c:v>
                </c:pt>
                <c:pt idx="304">
                  <c:v>14.588872250000001</c:v>
                </c:pt>
                <c:pt idx="305">
                  <c:v>12.933229520000001</c:v>
                </c:pt>
                <c:pt idx="306">
                  <c:v>11.364325529999999</c:v>
                </c:pt>
                <c:pt idx="307">
                  <c:v>10.083225150000001</c:v>
                </c:pt>
                <c:pt idx="308">
                  <c:v>10.659970659999999</c:v>
                </c:pt>
                <c:pt idx="309">
                  <c:v>9.0039538399999977</c:v>
                </c:pt>
                <c:pt idx="310">
                  <c:v>9.4959282199999997</c:v>
                </c:pt>
                <c:pt idx="311">
                  <c:v>12.582531069999998</c:v>
                </c:pt>
                <c:pt idx="312">
                  <c:v>13.23062754</c:v>
                </c:pt>
                <c:pt idx="313">
                  <c:v>13.793654040000003</c:v>
                </c:pt>
                <c:pt idx="314">
                  <c:v>15.452979119999998</c:v>
                </c:pt>
                <c:pt idx="315">
                  <c:v>16.25293284</c:v>
                </c:pt>
                <c:pt idx="316">
                  <c:v>14.149776230000001</c:v>
                </c:pt>
                <c:pt idx="317">
                  <c:v>13.98503612</c:v>
                </c:pt>
                <c:pt idx="318">
                  <c:v>14.145957979999999</c:v>
                </c:pt>
                <c:pt idx="319">
                  <c:v>13.39502409</c:v>
                </c:pt>
                <c:pt idx="320">
                  <c:v>13.082821109999998</c:v>
                </c:pt>
                <c:pt idx="321">
                  <c:v>12.565609179999999</c:v>
                </c:pt>
                <c:pt idx="322">
                  <c:v>15.027761210000001</c:v>
                </c:pt>
                <c:pt idx="323">
                  <c:v>14.842912949999999</c:v>
                </c:pt>
                <c:pt idx="324">
                  <c:v>13.985239360000001</c:v>
                </c:pt>
                <c:pt idx="325">
                  <c:v>14.057260729999999</c:v>
                </c:pt>
                <c:pt idx="326">
                  <c:v>14.858526460000004</c:v>
                </c:pt>
                <c:pt idx="327">
                  <c:v>15.401130290000001</c:v>
                </c:pt>
                <c:pt idx="328">
                  <c:v>15.109514509999999</c:v>
                </c:pt>
                <c:pt idx="329">
                  <c:v>16.674107760000002</c:v>
                </c:pt>
                <c:pt idx="330">
                  <c:v>16.471921379999998</c:v>
                </c:pt>
                <c:pt idx="331">
                  <c:v>20.19666999</c:v>
                </c:pt>
                <c:pt idx="332">
                  <c:v>16.17248317</c:v>
                </c:pt>
                <c:pt idx="333">
                  <c:v>19.026305730000001</c:v>
                </c:pt>
                <c:pt idx="334">
                  <c:v>20.973304200000001</c:v>
                </c:pt>
                <c:pt idx="335">
                  <c:v>21.406183509999998</c:v>
                </c:pt>
                <c:pt idx="336">
                  <c:v>21.831162819999999</c:v>
                </c:pt>
                <c:pt idx="337">
                  <c:v>22.67572638</c:v>
                </c:pt>
                <c:pt idx="338">
                  <c:v>24.741591200000002</c:v>
                </c:pt>
                <c:pt idx="339">
                  <c:v>23.028548790000002</c:v>
                </c:pt>
              </c:numCache>
            </c:numRef>
          </c:val>
          <c:smooth val="0"/>
          <c:extLst>
            <c:ext xmlns:c16="http://schemas.microsoft.com/office/drawing/2014/chart" uri="{C3380CC4-5D6E-409C-BE32-E72D297353CC}">
              <c16:uniqueId val="{00000000-402D-4303-9FB4-2EEC0D1991C9}"/>
            </c:ext>
          </c:extLst>
        </c:ser>
        <c:dLbls>
          <c:showLegendKey val="0"/>
          <c:showVal val="0"/>
          <c:showCatName val="0"/>
          <c:showSerName val="0"/>
          <c:showPercent val="0"/>
          <c:showBubbleSize val="0"/>
        </c:dLbls>
        <c:smooth val="0"/>
        <c:axId val="596234416"/>
        <c:axId val="1292859792"/>
      </c:lineChart>
      <c:catAx>
        <c:axId val="596234416"/>
        <c:scaling>
          <c:orientation val="minMax"/>
        </c:scaling>
        <c:delete val="0"/>
        <c:axPos val="b"/>
        <c:numFmt formatCode="dd-mmm-yy"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292859792"/>
        <c:crosses val="autoZero"/>
        <c:auto val="1"/>
        <c:lblAlgn val="ctr"/>
        <c:lblOffset val="100"/>
        <c:noMultiLvlLbl val="0"/>
      </c:catAx>
      <c:valAx>
        <c:axId val="1292859792"/>
        <c:scaling>
          <c:orientation val="minMax"/>
        </c:scaling>
        <c:delete val="0"/>
        <c:axPos val="l"/>
        <c:majorGridlines>
          <c:spPr>
            <a:ln w="9525" cap="flat" cmpd="sng" algn="ctr">
              <a:solidFill>
                <a:schemeClr val="tx2">
                  <a:lumMod val="15000"/>
                  <a:lumOff val="85000"/>
                </a:schemeClr>
              </a:solidFill>
              <a:round/>
            </a:ln>
            <a:effectLst/>
          </c:spPr>
        </c:majorGridlines>
        <c:minorGridlines>
          <c:spPr>
            <a:ln>
              <a:solidFill>
                <a:schemeClr val="tx2">
                  <a:lumMod val="5000"/>
                  <a:lumOff val="95000"/>
                </a:schemeClr>
              </a:solidFill>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596234416"/>
        <c:crosses val="autoZero"/>
        <c:crossBetween val="between"/>
      </c:valAx>
      <c:spPr>
        <a:noFill/>
        <a:ln>
          <a:noFill/>
        </a:ln>
        <a:effectLst/>
      </c:spPr>
    </c:plotArea>
    <c:plotVisOnly val="1"/>
    <c:dispBlanksAs val="zero"/>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Pricing</a:t>
            </a:r>
            <a:r>
              <a:rPr lang="en-US" baseline="0"/>
              <a:t> of Quoine Relative to OKCoin</a:t>
            </a:r>
            <a:br>
              <a:rPr lang="en-US" baseline="0"/>
            </a:br>
            <a:r>
              <a:rPr lang="en-US" sz="1100" i="1" baseline="0"/>
              <a:t>(deviation % from parity)</a:t>
            </a:r>
            <a:endParaRPr lang="en-US" i="1"/>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lineChart>
        <c:grouping val="stacked"/>
        <c:varyColors val="0"/>
        <c:ser>
          <c:idx val="0"/>
          <c:order val="0"/>
          <c:spPr>
            <a:ln w="31750" cap="rnd">
              <a:solidFill>
                <a:schemeClr val="accent1"/>
              </a:solidFill>
              <a:round/>
            </a:ln>
            <a:effectLst/>
          </c:spPr>
          <c:marker>
            <c:symbol val="none"/>
          </c:marker>
          <c:val>
            <c:numRef>
              <c:f>Sheet11!$E$2:$E$336</c:f>
              <c:numCache>
                <c:formatCode>General</c:formatCode>
                <c:ptCount val="335"/>
                <c:pt idx="0">
                  <c:v>-4.2944609600000003</c:v>
                </c:pt>
                <c:pt idx="1">
                  <c:v>-3.7194113599999996</c:v>
                </c:pt>
                <c:pt idx="2">
                  <c:v>-3.6711078199999996</c:v>
                </c:pt>
                <c:pt idx="3">
                  <c:v>-3.31104099</c:v>
                </c:pt>
                <c:pt idx="4">
                  <c:v>-3.3750203499999998</c:v>
                </c:pt>
                <c:pt idx="5">
                  <c:v>-3.73895394</c:v>
                </c:pt>
                <c:pt idx="6">
                  <c:v>-2.9477820100000001</c:v>
                </c:pt>
                <c:pt idx="7">
                  <c:v>-2.86186535</c:v>
                </c:pt>
                <c:pt idx="8">
                  <c:v>-4.4199844600000002</c:v>
                </c:pt>
                <c:pt idx="9">
                  <c:v>-3.1989947599999997</c:v>
                </c:pt>
                <c:pt idx="10">
                  <c:v>-4.7192961799999997</c:v>
                </c:pt>
                <c:pt idx="11">
                  <c:v>-5.4555030999999996</c:v>
                </c:pt>
                <c:pt idx="12">
                  <c:v>-3.5632161999999998</c:v>
                </c:pt>
                <c:pt idx="13">
                  <c:v>-3.5600756599999999</c:v>
                </c:pt>
                <c:pt idx="14">
                  <c:v>-3.8921405599999996</c:v>
                </c:pt>
                <c:pt idx="15">
                  <c:v>-2.1006177299999997</c:v>
                </c:pt>
                <c:pt idx="16">
                  <c:v>-2.8989357199999999</c:v>
                </c:pt>
                <c:pt idx="17">
                  <c:v>-1.4925968699999999</c:v>
                </c:pt>
                <c:pt idx="18">
                  <c:v>-2.3373857999999998</c:v>
                </c:pt>
                <c:pt idx="19">
                  <c:v>-2.1745381500000001</c:v>
                </c:pt>
                <c:pt idx="20">
                  <c:v>-1.0954220700000001</c:v>
                </c:pt>
                <c:pt idx="21">
                  <c:v>-0.72319500000000003</c:v>
                </c:pt>
                <c:pt idx="22">
                  <c:v>-0.40236399</c:v>
                </c:pt>
                <c:pt idx="23">
                  <c:v>-0.71736894999999956</c:v>
                </c:pt>
                <c:pt idx="24">
                  <c:v>0.20178157000000008</c:v>
                </c:pt>
                <c:pt idx="25">
                  <c:v>-9.2572000000012977E-4</c:v>
                </c:pt>
                <c:pt idx="26">
                  <c:v>-2.4773392799999998</c:v>
                </c:pt>
                <c:pt idx="27">
                  <c:v>-3.9540358400000004</c:v>
                </c:pt>
                <c:pt idx="28">
                  <c:v>-3.7649732399999998</c:v>
                </c:pt>
                <c:pt idx="29">
                  <c:v>-1.7258294900000002</c:v>
                </c:pt>
                <c:pt idx="30">
                  <c:v>-0.38962313000000015</c:v>
                </c:pt>
                <c:pt idx="31">
                  <c:v>-0.68290539999999988</c:v>
                </c:pt>
                <c:pt idx="32">
                  <c:v>-1.17550913</c:v>
                </c:pt>
                <c:pt idx="33">
                  <c:v>-1.3469422200000001</c:v>
                </c:pt>
                <c:pt idx="34">
                  <c:v>2.2810728999999998</c:v>
                </c:pt>
                <c:pt idx="35">
                  <c:v>1.3368666300000001</c:v>
                </c:pt>
                <c:pt idx="36">
                  <c:v>4.5326184700000001</c:v>
                </c:pt>
                <c:pt idx="37">
                  <c:v>3.3884548299999997</c:v>
                </c:pt>
                <c:pt idx="38">
                  <c:v>2.41633809</c:v>
                </c:pt>
                <c:pt idx="39">
                  <c:v>3.5043284300000002</c:v>
                </c:pt>
                <c:pt idx="40">
                  <c:v>1.1840907999999999</c:v>
                </c:pt>
                <c:pt idx="41">
                  <c:v>4.5409130799999993</c:v>
                </c:pt>
                <c:pt idx="42">
                  <c:v>2.6739873200000002</c:v>
                </c:pt>
                <c:pt idx="43">
                  <c:v>3.6119922999999998</c:v>
                </c:pt>
                <c:pt idx="44">
                  <c:v>4.0900900700000005</c:v>
                </c:pt>
                <c:pt idx="45">
                  <c:v>3.7125683199999999</c:v>
                </c:pt>
                <c:pt idx="46">
                  <c:v>5.8599944399999995</c:v>
                </c:pt>
                <c:pt idx="47">
                  <c:v>5.00592551</c:v>
                </c:pt>
                <c:pt idx="48">
                  <c:v>3.8625002600000005</c:v>
                </c:pt>
                <c:pt idx="49">
                  <c:v>3.6085615400000002</c:v>
                </c:pt>
                <c:pt idx="50">
                  <c:v>4.1215558400000001</c:v>
                </c:pt>
                <c:pt idx="51">
                  <c:v>3.6936212799999999</c:v>
                </c:pt>
                <c:pt idx="52">
                  <c:v>1.3336172099999999</c:v>
                </c:pt>
                <c:pt idx="53">
                  <c:v>0.98013698000000016</c:v>
                </c:pt>
                <c:pt idx="54">
                  <c:v>2.2228947400000001</c:v>
                </c:pt>
                <c:pt idx="55">
                  <c:v>0.20273117999999979</c:v>
                </c:pt>
                <c:pt idx="56">
                  <c:v>-1.9380296099999992</c:v>
                </c:pt>
                <c:pt idx="57">
                  <c:v>-1.2506422099999996</c:v>
                </c:pt>
                <c:pt idx="58">
                  <c:v>-1.2378308599999999</c:v>
                </c:pt>
                <c:pt idx="59">
                  <c:v>-2.7442696299999998</c:v>
                </c:pt>
                <c:pt idx="60">
                  <c:v>-1.7650044200000004</c:v>
                </c:pt>
                <c:pt idx="61">
                  <c:v>-3.1041846499999997</c:v>
                </c:pt>
                <c:pt idx="62">
                  <c:v>-1.1762434200000005</c:v>
                </c:pt>
                <c:pt idx="63">
                  <c:v>-1.936009949999999</c:v>
                </c:pt>
                <c:pt idx="64">
                  <c:v>-2.3539875099999996</c:v>
                </c:pt>
                <c:pt idx="65">
                  <c:v>-1.5210475399999996</c:v>
                </c:pt>
                <c:pt idx="66">
                  <c:v>-2.7673226199999998</c:v>
                </c:pt>
                <c:pt idx="67">
                  <c:v>-4.44987961</c:v>
                </c:pt>
                <c:pt idx="68">
                  <c:v>-0.8965359700000004</c:v>
                </c:pt>
                <c:pt idx="69">
                  <c:v>-1.6354524500000007</c:v>
                </c:pt>
                <c:pt idx="70">
                  <c:v>-1.8535352700000001</c:v>
                </c:pt>
                <c:pt idx="71">
                  <c:v>-2.5312783999999997</c:v>
                </c:pt>
                <c:pt idx="72">
                  <c:v>-3.2259933300000014</c:v>
                </c:pt>
                <c:pt idx="73">
                  <c:v>-3.0438062299999995</c:v>
                </c:pt>
                <c:pt idx="74">
                  <c:v>-4.9137665100000003</c:v>
                </c:pt>
                <c:pt idx="75">
                  <c:v>-5.9669835599999974</c:v>
                </c:pt>
                <c:pt idx="76">
                  <c:v>-4.8457987399999993</c:v>
                </c:pt>
                <c:pt idx="77">
                  <c:v>-4.9108932299999992</c:v>
                </c:pt>
                <c:pt idx="78">
                  <c:v>-5.3581277399999987</c:v>
                </c:pt>
                <c:pt idx="79">
                  <c:v>-4.2507416400000011</c:v>
                </c:pt>
                <c:pt idx="80">
                  <c:v>-2.000222830000002</c:v>
                </c:pt>
                <c:pt idx="81">
                  <c:v>-2.6916190699999998</c:v>
                </c:pt>
                <c:pt idx="82">
                  <c:v>-2.6111771099999981</c:v>
                </c:pt>
                <c:pt idx="83">
                  <c:v>-5.9248062000000008</c:v>
                </c:pt>
                <c:pt idx="84">
                  <c:v>-6.0115849200000007</c:v>
                </c:pt>
                <c:pt idx="85">
                  <c:v>-5.4689479100000007</c:v>
                </c:pt>
                <c:pt idx="86">
                  <c:v>-7.0220980500000003</c:v>
                </c:pt>
                <c:pt idx="87">
                  <c:v>-6.0038572800000001</c:v>
                </c:pt>
                <c:pt idx="88">
                  <c:v>-6.2202545199999992</c:v>
                </c:pt>
                <c:pt idx="89">
                  <c:v>-3.9711198100000011</c:v>
                </c:pt>
                <c:pt idx="90">
                  <c:v>-4.9217439800000022</c:v>
                </c:pt>
                <c:pt idx="91">
                  <c:v>-4.7477854700000002</c:v>
                </c:pt>
                <c:pt idx="92">
                  <c:v>-4.9431347399999979</c:v>
                </c:pt>
                <c:pt idx="93">
                  <c:v>-3.3985724200000007</c:v>
                </c:pt>
                <c:pt idx="94">
                  <c:v>-2.763469790000002</c:v>
                </c:pt>
                <c:pt idx="95">
                  <c:v>-2.8636835200000021</c:v>
                </c:pt>
                <c:pt idx="96">
                  <c:v>-4.448971659999998</c:v>
                </c:pt>
                <c:pt idx="97">
                  <c:v>-2.3165355199999986</c:v>
                </c:pt>
                <c:pt idx="98">
                  <c:v>-2.0271510600000013</c:v>
                </c:pt>
                <c:pt idx="99">
                  <c:v>-4.6818595399999978</c:v>
                </c:pt>
                <c:pt idx="100">
                  <c:v>-3.716662040000001</c:v>
                </c:pt>
                <c:pt idx="101">
                  <c:v>-4.2990545300000012</c:v>
                </c:pt>
                <c:pt idx="102">
                  <c:v>-5.0751953200000006</c:v>
                </c:pt>
                <c:pt idx="103">
                  <c:v>-3.3780694099999984</c:v>
                </c:pt>
                <c:pt idx="104">
                  <c:v>-3.0429966500000027</c:v>
                </c:pt>
                <c:pt idx="105">
                  <c:v>-2.3642576799999979</c:v>
                </c:pt>
                <c:pt idx="106">
                  <c:v>-0.97415601000000152</c:v>
                </c:pt>
                <c:pt idx="107">
                  <c:v>-0.84736533999999963</c:v>
                </c:pt>
                <c:pt idx="108">
                  <c:v>0.22035727999999821</c:v>
                </c:pt>
                <c:pt idx="109">
                  <c:v>-0.26265584000000075</c:v>
                </c:pt>
                <c:pt idx="110">
                  <c:v>-2.9539663499999982</c:v>
                </c:pt>
                <c:pt idx="111">
                  <c:v>-3.3081438599999977</c:v>
                </c:pt>
                <c:pt idx="112">
                  <c:v>-4.6050131900000011</c:v>
                </c:pt>
                <c:pt idx="113">
                  <c:v>-6.8032167800000014</c:v>
                </c:pt>
                <c:pt idx="114">
                  <c:v>-4.6901452799999976</c:v>
                </c:pt>
                <c:pt idx="115">
                  <c:v>-3.0170235999999981</c:v>
                </c:pt>
                <c:pt idx="116">
                  <c:v>-5.7260808399999998</c:v>
                </c:pt>
                <c:pt idx="117">
                  <c:v>-5.8248581999999995</c:v>
                </c:pt>
                <c:pt idx="118">
                  <c:v>-3.1931593300000003</c:v>
                </c:pt>
                <c:pt idx="119">
                  <c:v>-3.8195585199999975</c:v>
                </c:pt>
                <c:pt idx="120">
                  <c:v>-1.2778091600000003</c:v>
                </c:pt>
                <c:pt idx="121">
                  <c:v>-1.1062891600000029</c:v>
                </c:pt>
                <c:pt idx="122">
                  <c:v>-0.12298831000000021</c:v>
                </c:pt>
                <c:pt idx="123">
                  <c:v>-0.98831698999999773</c:v>
                </c:pt>
                <c:pt idx="124">
                  <c:v>-1.7788282299999985</c:v>
                </c:pt>
                <c:pt idx="125">
                  <c:v>-3.1193516600000031</c:v>
                </c:pt>
                <c:pt idx="126">
                  <c:v>-1.7953390599999999</c:v>
                </c:pt>
                <c:pt idx="127">
                  <c:v>-4.1598592799999992</c:v>
                </c:pt>
                <c:pt idx="128">
                  <c:v>-4.3060691699999971</c:v>
                </c:pt>
                <c:pt idx="129">
                  <c:v>-3.4368765299999993</c:v>
                </c:pt>
                <c:pt idx="130">
                  <c:v>-3.3975595399999996</c:v>
                </c:pt>
                <c:pt idx="131">
                  <c:v>-3.6738824100000009</c:v>
                </c:pt>
                <c:pt idx="132">
                  <c:v>-4.2961025300000024</c:v>
                </c:pt>
                <c:pt idx="133">
                  <c:v>-5.2074159900000012</c:v>
                </c:pt>
                <c:pt idx="134">
                  <c:v>-5.1926400800000003</c:v>
                </c:pt>
                <c:pt idx="135">
                  <c:v>-3.6277573099999998</c:v>
                </c:pt>
                <c:pt idx="136">
                  <c:v>-1.8757874000000001</c:v>
                </c:pt>
                <c:pt idx="137">
                  <c:v>1.1952359999998663E-2</c:v>
                </c:pt>
                <c:pt idx="138">
                  <c:v>1.4412650099999986</c:v>
                </c:pt>
                <c:pt idx="139">
                  <c:v>2.8651530399999992</c:v>
                </c:pt>
                <c:pt idx="140">
                  <c:v>1.8970769999999995</c:v>
                </c:pt>
                <c:pt idx="141">
                  <c:v>4.8576927500000018</c:v>
                </c:pt>
                <c:pt idx="142">
                  <c:v>5.62218822</c:v>
                </c:pt>
                <c:pt idx="143">
                  <c:v>7.716088860000001</c:v>
                </c:pt>
                <c:pt idx="144">
                  <c:v>7.2758424300000009</c:v>
                </c:pt>
                <c:pt idx="145">
                  <c:v>7.8970323999999987</c:v>
                </c:pt>
                <c:pt idx="146">
                  <c:v>6.6593061200000001</c:v>
                </c:pt>
                <c:pt idx="147">
                  <c:v>8.8274296100000011</c:v>
                </c:pt>
                <c:pt idx="148">
                  <c:v>9.0473782700000012</c:v>
                </c:pt>
                <c:pt idx="149">
                  <c:v>10.73016397</c:v>
                </c:pt>
                <c:pt idx="150">
                  <c:v>9.9918418100000004</c:v>
                </c:pt>
                <c:pt idx="151">
                  <c:v>11.06475807</c:v>
                </c:pt>
                <c:pt idx="152">
                  <c:v>10.48203127</c:v>
                </c:pt>
                <c:pt idx="153">
                  <c:v>9.4937885000000009</c:v>
                </c:pt>
                <c:pt idx="154">
                  <c:v>8.4429296899999997</c:v>
                </c:pt>
                <c:pt idx="155">
                  <c:v>4.6258319300000004</c:v>
                </c:pt>
                <c:pt idx="156">
                  <c:v>5.0723208100000008</c:v>
                </c:pt>
                <c:pt idx="157">
                  <c:v>6.0110813699999994</c:v>
                </c:pt>
                <c:pt idx="158">
                  <c:v>8.4516040399999994</c:v>
                </c:pt>
                <c:pt idx="159">
                  <c:v>9.215488989999999</c:v>
                </c:pt>
                <c:pt idx="160">
                  <c:v>7.9523571799999999</c:v>
                </c:pt>
                <c:pt idx="161">
                  <c:v>7.5731186900000012</c:v>
                </c:pt>
                <c:pt idx="162">
                  <c:v>6.167890589999999</c:v>
                </c:pt>
                <c:pt idx="163">
                  <c:v>8.0151490299999981</c:v>
                </c:pt>
                <c:pt idx="164">
                  <c:v>8.8599105300000005</c:v>
                </c:pt>
                <c:pt idx="165">
                  <c:v>6.84076752</c:v>
                </c:pt>
                <c:pt idx="166">
                  <c:v>8.17247317</c:v>
                </c:pt>
                <c:pt idx="167">
                  <c:v>8.9655914600000024</c:v>
                </c:pt>
                <c:pt idx="168">
                  <c:v>8.879678779999999</c:v>
                </c:pt>
                <c:pt idx="169">
                  <c:v>9.0567905899999985</c:v>
                </c:pt>
                <c:pt idx="170">
                  <c:v>12.046477909999998</c:v>
                </c:pt>
                <c:pt idx="171">
                  <c:v>13.48374892</c:v>
                </c:pt>
                <c:pt idx="172">
                  <c:v>14.08471203</c:v>
                </c:pt>
                <c:pt idx="173">
                  <c:v>13.05998187</c:v>
                </c:pt>
                <c:pt idx="174">
                  <c:v>12.866504539999999</c:v>
                </c:pt>
                <c:pt idx="175">
                  <c:v>14.1128015</c:v>
                </c:pt>
                <c:pt idx="176">
                  <c:v>13.889086020000001</c:v>
                </c:pt>
                <c:pt idx="177">
                  <c:v>13.359069909999999</c:v>
                </c:pt>
                <c:pt idx="178">
                  <c:v>13.378127179999998</c:v>
                </c:pt>
                <c:pt idx="179">
                  <c:v>13.472637309999998</c:v>
                </c:pt>
                <c:pt idx="180">
                  <c:v>12.591773380000001</c:v>
                </c:pt>
                <c:pt idx="181">
                  <c:v>13.17054248</c:v>
                </c:pt>
                <c:pt idx="182">
                  <c:v>13.953603999999999</c:v>
                </c:pt>
                <c:pt idx="183">
                  <c:v>13.479113790000001</c:v>
                </c:pt>
                <c:pt idx="184">
                  <c:v>14.16412635</c:v>
                </c:pt>
                <c:pt idx="185">
                  <c:v>10.94372894</c:v>
                </c:pt>
                <c:pt idx="186">
                  <c:v>9.0892563799999984</c:v>
                </c:pt>
                <c:pt idx="187">
                  <c:v>7.8963992800000007</c:v>
                </c:pt>
                <c:pt idx="188">
                  <c:v>5.3963011099999996</c:v>
                </c:pt>
                <c:pt idx="189">
                  <c:v>4.8832773899999999</c:v>
                </c:pt>
                <c:pt idx="190">
                  <c:v>5.1028062699999985</c:v>
                </c:pt>
                <c:pt idx="191">
                  <c:v>5.437740790000003</c:v>
                </c:pt>
                <c:pt idx="192">
                  <c:v>5.3735535900000002</c:v>
                </c:pt>
                <c:pt idx="193">
                  <c:v>4.0811329200000017</c:v>
                </c:pt>
                <c:pt idx="194">
                  <c:v>4.0501452799999988</c:v>
                </c:pt>
                <c:pt idx="195">
                  <c:v>7.2998981699999987</c:v>
                </c:pt>
                <c:pt idx="196">
                  <c:v>11.426392230000001</c:v>
                </c:pt>
                <c:pt idx="197">
                  <c:v>11.234564330000001</c:v>
                </c:pt>
                <c:pt idx="198">
                  <c:v>10.146508399999998</c:v>
                </c:pt>
                <c:pt idx="199">
                  <c:v>11.941512889999998</c:v>
                </c:pt>
                <c:pt idx="200">
                  <c:v>8.2388930099999982</c:v>
                </c:pt>
                <c:pt idx="201">
                  <c:v>4.8357447600000008</c:v>
                </c:pt>
                <c:pt idx="202">
                  <c:v>1.9313698100000032</c:v>
                </c:pt>
                <c:pt idx="203">
                  <c:v>2.1550221799999996</c:v>
                </c:pt>
                <c:pt idx="204">
                  <c:v>3.8796917699999973</c:v>
                </c:pt>
                <c:pt idx="205">
                  <c:v>3.3051875400000021</c:v>
                </c:pt>
                <c:pt idx="206">
                  <c:v>3.0827448900000007</c:v>
                </c:pt>
                <c:pt idx="207">
                  <c:v>4.16616724</c:v>
                </c:pt>
                <c:pt idx="208">
                  <c:v>6.3857813499999985</c:v>
                </c:pt>
                <c:pt idx="209">
                  <c:v>5.7782505999999998</c:v>
                </c:pt>
                <c:pt idx="210">
                  <c:v>5.3244932700000014</c:v>
                </c:pt>
                <c:pt idx="211">
                  <c:v>6.3296527299999994</c:v>
                </c:pt>
                <c:pt idx="212">
                  <c:v>6.5807767500000018</c:v>
                </c:pt>
                <c:pt idx="213">
                  <c:v>6.4905146399999971</c:v>
                </c:pt>
                <c:pt idx="214">
                  <c:v>6.5365689000000025</c:v>
                </c:pt>
                <c:pt idx="215">
                  <c:v>9.3201721299999996</c:v>
                </c:pt>
                <c:pt idx="216">
                  <c:v>8.6235094399999994</c:v>
                </c:pt>
                <c:pt idx="217">
                  <c:v>8.6386494800000015</c:v>
                </c:pt>
                <c:pt idx="218">
                  <c:v>8.5553140799999987</c:v>
                </c:pt>
                <c:pt idx="219">
                  <c:v>9.518861710000003</c:v>
                </c:pt>
                <c:pt idx="220">
                  <c:v>11.497817159999997</c:v>
                </c:pt>
                <c:pt idx="221">
                  <c:v>12.294915020000001</c:v>
                </c:pt>
                <c:pt idx="222">
                  <c:v>12.99077256</c:v>
                </c:pt>
                <c:pt idx="223">
                  <c:v>12.248004239999997</c:v>
                </c:pt>
                <c:pt idx="224">
                  <c:v>12.863602909999997</c:v>
                </c:pt>
                <c:pt idx="225">
                  <c:v>14.087737260000001</c:v>
                </c:pt>
                <c:pt idx="226">
                  <c:v>13.328646689999996</c:v>
                </c:pt>
                <c:pt idx="227">
                  <c:v>12.54474802</c:v>
                </c:pt>
                <c:pt idx="228">
                  <c:v>10.134729309999997</c:v>
                </c:pt>
                <c:pt idx="229">
                  <c:v>10.36647893</c:v>
                </c:pt>
                <c:pt idx="230">
                  <c:v>9.5720852899999969</c:v>
                </c:pt>
                <c:pt idx="231">
                  <c:v>8.517412979999996</c:v>
                </c:pt>
                <c:pt idx="232">
                  <c:v>6.3271694300000014</c:v>
                </c:pt>
                <c:pt idx="233">
                  <c:v>4.5900959300000004</c:v>
                </c:pt>
                <c:pt idx="234">
                  <c:v>1.7304432600000013</c:v>
                </c:pt>
                <c:pt idx="235">
                  <c:v>0.73885649999999714</c:v>
                </c:pt>
                <c:pt idx="236">
                  <c:v>-0.93874861999999837</c:v>
                </c:pt>
                <c:pt idx="237">
                  <c:v>-1.3983421800000002</c:v>
                </c:pt>
                <c:pt idx="238">
                  <c:v>-1.6987017299999998</c:v>
                </c:pt>
                <c:pt idx="239">
                  <c:v>-2.1242802499999982</c:v>
                </c:pt>
                <c:pt idx="240">
                  <c:v>-3.3468071299999984</c:v>
                </c:pt>
                <c:pt idx="241">
                  <c:v>-1.8721281799999971</c:v>
                </c:pt>
                <c:pt idx="242">
                  <c:v>0.27615884000000079</c:v>
                </c:pt>
                <c:pt idx="243">
                  <c:v>2.2010770300000004</c:v>
                </c:pt>
                <c:pt idx="244">
                  <c:v>1.15648543</c:v>
                </c:pt>
                <c:pt idx="245">
                  <c:v>1.6738922599999988</c:v>
                </c:pt>
                <c:pt idx="246">
                  <c:v>1.1279831300000005</c:v>
                </c:pt>
                <c:pt idx="247">
                  <c:v>2.6406822000000005</c:v>
                </c:pt>
                <c:pt idx="248">
                  <c:v>3.0951498300000004</c:v>
                </c:pt>
                <c:pt idx="249">
                  <c:v>0.817368290000001</c:v>
                </c:pt>
                <c:pt idx="250">
                  <c:v>2.7533136100000029</c:v>
                </c:pt>
                <c:pt idx="251">
                  <c:v>1.9095892699999979</c:v>
                </c:pt>
                <c:pt idx="252">
                  <c:v>0.75874412000000291</c:v>
                </c:pt>
                <c:pt idx="253">
                  <c:v>1.2030382400000015</c:v>
                </c:pt>
                <c:pt idx="254">
                  <c:v>1.8173050099999983</c:v>
                </c:pt>
                <c:pt idx="255">
                  <c:v>3.9168117300000027</c:v>
                </c:pt>
                <c:pt idx="256">
                  <c:v>4.5175489800000008</c:v>
                </c:pt>
                <c:pt idx="257">
                  <c:v>3.1047712000000018</c:v>
                </c:pt>
                <c:pt idx="258">
                  <c:v>5.3766812900000005</c:v>
                </c:pt>
                <c:pt idx="259">
                  <c:v>4.6451676500000012</c:v>
                </c:pt>
                <c:pt idx="260">
                  <c:v>2.0368339800000008</c:v>
                </c:pt>
                <c:pt idx="261">
                  <c:v>3.360260310000001</c:v>
                </c:pt>
                <c:pt idx="262">
                  <c:v>2.4669159999999977</c:v>
                </c:pt>
                <c:pt idx="263">
                  <c:v>1.7571356199999997</c:v>
                </c:pt>
                <c:pt idx="264">
                  <c:v>2.4858927699999995</c:v>
                </c:pt>
                <c:pt idx="265">
                  <c:v>5.3695271199999972</c:v>
                </c:pt>
                <c:pt idx="266">
                  <c:v>4.7285147400000014</c:v>
                </c:pt>
                <c:pt idx="267">
                  <c:v>6.0392082600000023</c:v>
                </c:pt>
                <c:pt idx="268">
                  <c:v>5.8497280099999998</c:v>
                </c:pt>
                <c:pt idx="269">
                  <c:v>9.1801470300000005</c:v>
                </c:pt>
                <c:pt idx="270">
                  <c:v>9.6386495399999994</c:v>
                </c:pt>
                <c:pt idx="271">
                  <c:v>9.2103553599999977</c:v>
                </c:pt>
                <c:pt idx="272">
                  <c:v>7.820164909999999</c:v>
                </c:pt>
                <c:pt idx="273">
                  <c:v>9.3826425600000007</c:v>
                </c:pt>
                <c:pt idx="274">
                  <c:v>9.6210620899999988</c:v>
                </c:pt>
                <c:pt idx="275">
                  <c:v>7.1616112099999967</c:v>
                </c:pt>
                <c:pt idx="276">
                  <c:v>8.9352333199999983</c:v>
                </c:pt>
                <c:pt idx="277">
                  <c:v>9.6040659499999954</c:v>
                </c:pt>
                <c:pt idx="278">
                  <c:v>9.2887710200000022</c:v>
                </c:pt>
                <c:pt idx="279">
                  <c:v>9.6061537699999988</c:v>
                </c:pt>
                <c:pt idx="280">
                  <c:v>11.443378059999997</c:v>
                </c:pt>
                <c:pt idx="281">
                  <c:v>12.127844019999998</c:v>
                </c:pt>
                <c:pt idx="282">
                  <c:v>11.619779999999999</c:v>
                </c:pt>
                <c:pt idx="283">
                  <c:v>13.153190000000002</c:v>
                </c:pt>
                <c:pt idx="284">
                  <c:v>11.421494110000001</c:v>
                </c:pt>
                <c:pt idx="285">
                  <c:v>12.71783469</c:v>
                </c:pt>
                <c:pt idx="286">
                  <c:v>16.122616619999999</c:v>
                </c:pt>
                <c:pt idx="287">
                  <c:v>16.074983770000003</c:v>
                </c:pt>
                <c:pt idx="288">
                  <c:v>16.301495550000002</c:v>
                </c:pt>
                <c:pt idx="289">
                  <c:v>16.296095440000002</c:v>
                </c:pt>
                <c:pt idx="290">
                  <c:v>19.186710780000002</c:v>
                </c:pt>
                <c:pt idx="291">
                  <c:v>19.476170080000003</c:v>
                </c:pt>
                <c:pt idx="292">
                  <c:v>20.511561109999999</c:v>
                </c:pt>
                <c:pt idx="293">
                  <c:v>20.53692131</c:v>
                </c:pt>
                <c:pt idx="294">
                  <c:v>19.38775704</c:v>
                </c:pt>
                <c:pt idx="295">
                  <c:v>17.303788520000005</c:v>
                </c:pt>
                <c:pt idx="296">
                  <c:v>18.287041949999999</c:v>
                </c:pt>
                <c:pt idx="297">
                  <c:v>16.273597890000005</c:v>
                </c:pt>
                <c:pt idx="298">
                  <c:v>17.537933469999999</c:v>
                </c:pt>
                <c:pt idx="299">
                  <c:v>15.301512019999997</c:v>
                </c:pt>
                <c:pt idx="300">
                  <c:v>12.90328469</c:v>
                </c:pt>
                <c:pt idx="301">
                  <c:v>11.718483290000002</c:v>
                </c:pt>
                <c:pt idx="302">
                  <c:v>10.909718609999999</c:v>
                </c:pt>
                <c:pt idx="303">
                  <c:v>12.59587015</c:v>
                </c:pt>
                <c:pt idx="304">
                  <c:v>13.354470660000004</c:v>
                </c:pt>
                <c:pt idx="305">
                  <c:v>11.523063</c:v>
                </c:pt>
                <c:pt idx="306">
                  <c:v>10.057028589999998</c:v>
                </c:pt>
                <c:pt idx="307">
                  <c:v>11.876046110000001</c:v>
                </c:pt>
                <c:pt idx="308">
                  <c:v>9.8042147100000001</c:v>
                </c:pt>
                <c:pt idx="309">
                  <c:v>8.4836764500000008</c:v>
                </c:pt>
                <c:pt idx="310">
                  <c:v>10.979279699999996</c:v>
                </c:pt>
                <c:pt idx="311">
                  <c:v>9.0560966699999987</c:v>
                </c:pt>
                <c:pt idx="312">
                  <c:v>10.025515420000005</c:v>
                </c:pt>
                <c:pt idx="313">
                  <c:v>9.49530545</c:v>
                </c:pt>
                <c:pt idx="314">
                  <c:v>10.406795600000002</c:v>
                </c:pt>
                <c:pt idx="315">
                  <c:v>11.529015560000001</c:v>
                </c:pt>
                <c:pt idx="316">
                  <c:v>12.579463530000002</c:v>
                </c:pt>
                <c:pt idx="317">
                  <c:v>15.140947320000002</c:v>
                </c:pt>
                <c:pt idx="318">
                  <c:v>14.594094009999999</c:v>
                </c:pt>
                <c:pt idx="319">
                  <c:v>14.196943039999997</c:v>
                </c:pt>
                <c:pt idx="320">
                  <c:v>15.242114740000002</c:v>
                </c:pt>
                <c:pt idx="321">
                  <c:v>18.32320575</c:v>
                </c:pt>
                <c:pt idx="322">
                  <c:v>19.35138435</c:v>
                </c:pt>
                <c:pt idx="323">
                  <c:v>16.889321509999998</c:v>
                </c:pt>
                <c:pt idx="324">
                  <c:v>15.713568780000003</c:v>
                </c:pt>
                <c:pt idx="325">
                  <c:v>15.530781080000001</c:v>
                </c:pt>
                <c:pt idx="326">
                  <c:v>17.064596380000001</c:v>
                </c:pt>
                <c:pt idx="327">
                  <c:v>19.167408710000004</c:v>
                </c:pt>
                <c:pt idx="328">
                  <c:v>20.909366510000002</c:v>
                </c:pt>
                <c:pt idx="329">
                  <c:v>21.50355102</c:v>
                </c:pt>
                <c:pt idx="330">
                  <c:v>21.805122950000001</c:v>
                </c:pt>
                <c:pt idx="331">
                  <c:v>19.314891839999998</c:v>
                </c:pt>
                <c:pt idx="332">
                  <c:v>20.136789359999998</c:v>
                </c:pt>
                <c:pt idx="333">
                  <c:v>18.677046909999998</c:v>
                </c:pt>
                <c:pt idx="334">
                  <c:v>15.469604589999996</c:v>
                </c:pt>
              </c:numCache>
            </c:numRef>
          </c:val>
          <c:smooth val="0"/>
          <c:extLst>
            <c:ext xmlns:c16="http://schemas.microsoft.com/office/drawing/2014/chart" uri="{C3380CC4-5D6E-409C-BE32-E72D297353CC}">
              <c16:uniqueId val="{00000000-3B7A-4666-92B9-EDBCCDA97845}"/>
            </c:ext>
          </c:extLst>
        </c:ser>
        <c:dLbls>
          <c:showLegendKey val="0"/>
          <c:showVal val="0"/>
          <c:showCatName val="0"/>
          <c:showSerName val="0"/>
          <c:showPercent val="0"/>
          <c:showBubbleSize val="0"/>
        </c:dLbls>
        <c:smooth val="0"/>
        <c:axId val="596234416"/>
        <c:axId val="1292859792"/>
      </c:lineChart>
      <c:catAx>
        <c:axId val="596234416"/>
        <c:scaling>
          <c:orientation val="minMax"/>
        </c:scaling>
        <c:delete val="0"/>
        <c:axPos val="b"/>
        <c:numFmt formatCode="dd-mmm-yy"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292859792"/>
        <c:crosses val="autoZero"/>
        <c:auto val="1"/>
        <c:lblAlgn val="ctr"/>
        <c:lblOffset val="100"/>
        <c:noMultiLvlLbl val="0"/>
      </c:catAx>
      <c:valAx>
        <c:axId val="1292859792"/>
        <c:scaling>
          <c:orientation val="minMax"/>
        </c:scaling>
        <c:delete val="0"/>
        <c:axPos val="l"/>
        <c:majorGridlines>
          <c:spPr>
            <a:ln w="9525" cap="flat" cmpd="sng" algn="ctr">
              <a:solidFill>
                <a:schemeClr val="tx2">
                  <a:lumMod val="15000"/>
                  <a:lumOff val="85000"/>
                </a:schemeClr>
              </a:solidFill>
              <a:round/>
            </a:ln>
            <a:effectLst/>
          </c:spPr>
        </c:majorGridlines>
        <c:minorGridlines>
          <c:spPr>
            <a:ln>
              <a:solidFill>
                <a:schemeClr val="tx2">
                  <a:lumMod val="5000"/>
                  <a:lumOff val="95000"/>
                </a:schemeClr>
              </a:solidFill>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596234416"/>
        <c:crosses val="autoZero"/>
        <c:crossBetween val="between"/>
      </c:valAx>
      <c:spPr>
        <a:noFill/>
        <a:ln>
          <a:noFill/>
        </a:ln>
        <a:effectLst/>
      </c:spPr>
    </c:plotArea>
    <c:plotVisOnly val="1"/>
    <c:dispBlanksAs val="zero"/>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1">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31">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31">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31">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31">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31">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7.xml><?xml version="1.0" encoding="utf-8"?>
<cs:chartStyle xmlns:cs="http://schemas.microsoft.com/office/drawing/2012/chartStyle" xmlns:a="http://schemas.openxmlformats.org/drawingml/2006/main" id="231">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8.xml><?xml version="1.0" encoding="utf-8"?>
<cs:chartStyle xmlns:cs="http://schemas.microsoft.com/office/drawing/2012/chartStyle" xmlns:a="http://schemas.openxmlformats.org/drawingml/2006/main" id="231">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9.xml><?xml version="1.0" encoding="utf-8"?>
<cs:chartStyle xmlns:cs="http://schemas.microsoft.com/office/drawing/2012/chartStyle" xmlns:a="http://schemas.openxmlformats.org/drawingml/2006/main" id="231">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0.xml><?xml version="1.0" encoding="utf-8"?>
<cs:chartStyle xmlns:cs="http://schemas.microsoft.com/office/drawing/2012/chartStyle" xmlns:a="http://schemas.openxmlformats.org/drawingml/2006/main" id="231">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1.xml><?xml version="1.0" encoding="utf-8"?>
<cs:chartStyle xmlns:cs="http://schemas.microsoft.com/office/drawing/2012/chartStyle" xmlns:a="http://schemas.openxmlformats.org/drawingml/2006/main" id="231">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2.xml><?xml version="1.0" encoding="utf-8"?>
<cs:chartStyle xmlns:cs="http://schemas.microsoft.com/office/drawing/2012/chartStyle" xmlns:a="http://schemas.openxmlformats.org/drawingml/2006/main" id="231">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3.xml><?xml version="1.0" encoding="utf-8"?>
<cs:chartStyle xmlns:cs="http://schemas.microsoft.com/office/drawing/2012/chartStyle" xmlns:a="http://schemas.openxmlformats.org/drawingml/2006/main" id="231">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4.xml><?xml version="1.0" encoding="utf-8"?>
<cs:chartStyle xmlns:cs="http://schemas.microsoft.com/office/drawing/2012/chartStyle" xmlns:a="http://schemas.openxmlformats.org/drawingml/2006/main" id="231">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5.xml><?xml version="1.0" encoding="utf-8"?>
<cs:chartStyle xmlns:cs="http://schemas.microsoft.com/office/drawing/2012/chartStyle" xmlns:a="http://schemas.openxmlformats.org/drawingml/2006/main" id="231">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8.xml"/></Relationships>
</file>

<file path=xl/drawings/_rels/drawing9.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xdr:twoCellAnchor editAs="oneCell">
    <xdr:from>
      <xdr:col>0</xdr:col>
      <xdr:colOff>2286</xdr:colOff>
      <xdr:row>33</xdr:row>
      <xdr:rowOff>2285</xdr:rowOff>
    </xdr:from>
    <xdr:to>
      <xdr:col>13</xdr:col>
      <xdr:colOff>70231</xdr:colOff>
      <xdr:row>33</xdr:row>
      <xdr:rowOff>2285</xdr:rowOff>
    </xdr:to>
    <xdr:sp macro="" textlink="">
      <xdr:nvSpPr>
        <xdr:cNvPr id="2" name="Shape 2">
          <a:extLst>
            <a:ext uri="{FF2B5EF4-FFF2-40B4-BE49-F238E27FC236}">
              <a16:creationId xmlns:a16="http://schemas.microsoft.com/office/drawing/2014/main" id="{E7709D35-0607-4C02-8F64-066877C9EF98}"/>
            </a:ext>
          </a:extLst>
        </xdr:cNvPr>
        <xdr:cNvSpPr/>
      </xdr:nvSpPr>
      <xdr:spPr>
        <a:xfrm>
          <a:off x="2286" y="7812785"/>
          <a:ext cx="1696720" cy="0"/>
        </a:xfrm>
        <a:custGeom>
          <a:avLst/>
          <a:gdLst/>
          <a:ahLst/>
          <a:cxnLst/>
          <a:rect l="0" t="0" r="0" b="0"/>
          <a:pathLst>
            <a:path w="1655445">
              <a:moveTo>
                <a:pt x="0" y="0"/>
              </a:moveTo>
              <a:lnTo>
                <a:pt x="1655064" y="0"/>
              </a:lnTo>
            </a:path>
          </a:pathLst>
        </a:custGeom>
        <a:ln w="4572">
          <a:solidFill>
            <a:srgbClr val="343434"/>
          </a:solidFill>
        </a:ln>
      </xdr:spPr>
    </xdr:sp>
    <xdr:clientData/>
  </xdr:twoCellAnchor>
  <xdr:twoCellAnchor editAs="oneCell">
    <xdr:from>
      <xdr:col>0</xdr:col>
      <xdr:colOff>6858</xdr:colOff>
      <xdr:row>42</xdr:row>
      <xdr:rowOff>6857</xdr:rowOff>
    </xdr:from>
    <xdr:to>
      <xdr:col>0</xdr:col>
      <xdr:colOff>6858</xdr:colOff>
      <xdr:row>42</xdr:row>
      <xdr:rowOff>4062602</xdr:rowOff>
    </xdr:to>
    <xdr:sp macro="" textlink="">
      <xdr:nvSpPr>
        <xdr:cNvPr id="3" name="Shape 3">
          <a:extLst>
            <a:ext uri="{FF2B5EF4-FFF2-40B4-BE49-F238E27FC236}">
              <a16:creationId xmlns:a16="http://schemas.microsoft.com/office/drawing/2014/main" id="{927E551A-CD7C-4DAB-8FAE-B19F72BF0B58}"/>
            </a:ext>
          </a:extLst>
        </xdr:cNvPr>
        <xdr:cNvSpPr/>
      </xdr:nvSpPr>
      <xdr:spPr>
        <a:xfrm>
          <a:off x="6858" y="9236582"/>
          <a:ext cx="0" cy="4055745"/>
        </a:xfrm>
        <a:custGeom>
          <a:avLst/>
          <a:gdLst/>
          <a:ahLst/>
          <a:cxnLst/>
          <a:rect l="0" t="0" r="0" b="0"/>
          <a:pathLst>
            <a:path h="4055745">
              <a:moveTo>
                <a:pt x="0" y="4055364"/>
              </a:moveTo>
              <a:lnTo>
                <a:pt x="0" y="0"/>
              </a:lnTo>
            </a:path>
          </a:pathLst>
        </a:custGeom>
        <a:ln w="13716">
          <a:solidFill>
            <a:srgbClr val="343434"/>
          </a:solidFill>
        </a:ln>
      </xdr:spPr>
    </xdr:sp>
    <xdr:clientData/>
  </xdr:twoCellAnchor>
  <xdr:oneCellAnchor>
    <xdr:from>
      <xdr:col>0</xdr:col>
      <xdr:colOff>2286</xdr:colOff>
      <xdr:row>43</xdr:row>
      <xdr:rowOff>2286</xdr:rowOff>
    </xdr:from>
    <xdr:ext cx="3657600" cy="0"/>
    <xdr:sp macro="" textlink="">
      <xdr:nvSpPr>
        <xdr:cNvPr id="4" name="Shape 4">
          <a:extLst>
            <a:ext uri="{FF2B5EF4-FFF2-40B4-BE49-F238E27FC236}">
              <a16:creationId xmlns:a16="http://schemas.microsoft.com/office/drawing/2014/main" id="{3D7EA572-B5E4-455B-9428-5697160499E6}"/>
            </a:ext>
          </a:extLst>
        </xdr:cNvPr>
        <xdr:cNvSpPr/>
      </xdr:nvSpPr>
      <xdr:spPr>
        <a:xfrm>
          <a:off x="2286" y="13308711"/>
          <a:ext cx="3657600" cy="0"/>
        </a:xfrm>
        <a:custGeom>
          <a:avLst/>
          <a:gdLst/>
          <a:ahLst/>
          <a:cxnLst/>
          <a:rect l="0" t="0" r="0" b="0"/>
          <a:pathLst>
            <a:path w="3657600">
              <a:moveTo>
                <a:pt x="0" y="0"/>
              </a:moveTo>
              <a:lnTo>
                <a:pt x="3657600" y="0"/>
              </a:lnTo>
            </a:path>
          </a:pathLst>
        </a:custGeom>
        <a:ln w="4572">
          <a:solidFill>
            <a:srgbClr val="343434"/>
          </a:solidFill>
        </a:ln>
      </xdr:spPr>
    </xdr:sp>
    <xdr:clientData/>
  </xdr:oneCellAnchor>
  <xdr:oneCellAnchor>
    <xdr:from>
      <xdr:col>0</xdr:col>
      <xdr:colOff>4572</xdr:colOff>
      <xdr:row>48</xdr:row>
      <xdr:rowOff>4571</xdr:rowOff>
    </xdr:from>
    <xdr:ext cx="3653154" cy="0"/>
    <xdr:sp macro="" textlink="">
      <xdr:nvSpPr>
        <xdr:cNvPr id="5" name="Shape 5">
          <a:extLst>
            <a:ext uri="{FF2B5EF4-FFF2-40B4-BE49-F238E27FC236}">
              <a16:creationId xmlns:a16="http://schemas.microsoft.com/office/drawing/2014/main" id="{BBD88227-49DF-4272-87AC-3617282ED1FF}"/>
            </a:ext>
          </a:extLst>
        </xdr:cNvPr>
        <xdr:cNvSpPr/>
      </xdr:nvSpPr>
      <xdr:spPr>
        <a:xfrm>
          <a:off x="4572" y="14015846"/>
          <a:ext cx="3653154" cy="0"/>
        </a:xfrm>
        <a:custGeom>
          <a:avLst/>
          <a:gdLst/>
          <a:ahLst/>
          <a:cxnLst/>
          <a:rect l="0" t="0" r="0" b="0"/>
          <a:pathLst>
            <a:path w="3653154">
              <a:moveTo>
                <a:pt x="0" y="0"/>
              </a:moveTo>
              <a:lnTo>
                <a:pt x="3653028" y="0"/>
              </a:lnTo>
            </a:path>
          </a:pathLst>
        </a:custGeom>
        <a:ln w="9144">
          <a:solidFill>
            <a:srgbClr val="343434"/>
          </a:solidFill>
        </a:ln>
      </xdr:spPr>
    </xdr:sp>
    <xdr:clientData/>
  </xdr:oneCellAnchor>
  <xdr:oneCellAnchor>
    <xdr:from>
      <xdr:col>0</xdr:col>
      <xdr:colOff>4572</xdr:colOff>
      <xdr:row>50</xdr:row>
      <xdr:rowOff>4572</xdr:rowOff>
    </xdr:from>
    <xdr:ext cx="3653154" cy="0"/>
    <xdr:sp macro="" textlink="">
      <xdr:nvSpPr>
        <xdr:cNvPr id="6" name="Shape 6">
          <a:extLst>
            <a:ext uri="{FF2B5EF4-FFF2-40B4-BE49-F238E27FC236}">
              <a16:creationId xmlns:a16="http://schemas.microsoft.com/office/drawing/2014/main" id="{FB6D3EA5-4BEC-4E6E-A5AE-C9B87CD4229D}"/>
            </a:ext>
          </a:extLst>
        </xdr:cNvPr>
        <xdr:cNvSpPr/>
      </xdr:nvSpPr>
      <xdr:spPr>
        <a:xfrm>
          <a:off x="4572" y="14215872"/>
          <a:ext cx="3653154" cy="0"/>
        </a:xfrm>
        <a:custGeom>
          <a:avLst/>
          <a:gdLst/>
          <a:ahLst/>
          <a:cxnLst/>
          <a:rect l="0" t="0" r="0" b="0"/>
          <a:pathLst>
            <a:path w="3653154">
              <a:moveTo>
                <a:pt x="0" y="0"/>
              </a:moveTo>
              <a:lnTo>
                <a:pt x="3653028" y="0"/>
              </a:lnTo>
            </a:path>
          </a:pathLst>
        </a:custGeom>
        <a:ln w="9144">
          <a:solidFill>
            <a:srgbClr val="343434"/>
          </a:solidFill>
        </a:ln>
      </xdr:spPr>
    </xdr:sp>
    <xdr:clientData/>
  </xdr:oneCellAnchor>
  <xdr:oneCellAnchor>
    <xdr:from>
      <xdr:col>0</xdr:col>
      <xdr:colOff>4572</xdr:colOff>
      <xdr:row>52</xdr:row>
      <xdr:rowOff>4571</xdr:rowOff>
    </xdr:from>
    <xdr:ext cx="3653154" cy="0"/>
    <xdr:sp macro="" textlink="">
      <xdr:nvSpPr>
        <xdr:cNvPr id="7" name="Shape 7">
          <a:extLst>
            <a:ext uri="{FF2B5EF4-FFF2-40B4-BE49-F238E27FC236}">
              <a16:creationId xmlns:a16="http://schemas.microsoft.com/office/drawing/2014/main" id="{BE90D147-23DE-4460-A81C-B8909903B265}"/>
            </a:ext>
          </a:extLst>
        </xdr:cNvPr>
        <xdr:cNvSpPr/>
      </xdr:nvSpPr>
      <xdr:spPr>
        <a:xfrm>
          <a:off x="4572" y="14415896"/>
          <a:ext cx="3653154" cy="0"/>
        </a:xfrm>
        <a:custGeom>
          <a:avLst/>
          <a:gdLst/>
          <a:ahLst/>
          <a:cxnLst/>
          <a:rect l="0" t="0" r="0" b="0"/>
          <a:pathLst>
            <a:path w="3653154">
              <a:moveTo>
                <a:pt x="0" y="0"/>
              </a:moveTo>
              <a:lnTo>
                <a:pt x="3653028" y="0"/>
              </a:lnTo>
            </a:path>
          </a:pathLst>
        </a:custGeom>
        <a:ln w="9144">
          <a:solidFill>
            <a:srgbClr val="343434"/>
          </a:solidFill>
        </a:ln>
      </xdr:spPr>
    </xdr:sp>
    <xdr:clientData/>
  </xdr:oneCellAnchor>
  <xdr:twoCellAnchor editAs="oneCell">
    <xdr:from>
      <xdr:col>0</xdr:col>
      <xdr:colOff>2286</xdr:colOff>
      <xdr:row>57</xdr:row>
      <xdr:rowOff>2285</xdr:rowOff>
    </xdr:from>
    <xdr:to>
      <xdr:col>2</xdr:col>
      <xdr:colOff>279781</xdr:colOff>
      <xdr:row>57</xdr:row>
      <xdr:rowOff>2285</xdr:rowOff>
    </xdr:to>
    <xdr:sp macro="" textlink="">
      <xdr:nvSpPr>
        <xdr:cNvPr id="8" name="Shape 8">
          <a:extLst>
            <a:ext uri="{FF2B5EF4-FFF2-40B4-BE49-F238E27FC236}">
              <a16:creationId xmlns:a16="http://schemas.microsoft.com/office/drawing/2014/main" id="{959D178D-A9DF-4B57-A456-5EEC8DF4DAD9}"/>
            </a:ext>
          </a:extLst>
        </xdr:cNvPr>
        <xdr:cNvSpPr/>
      </xdr:nvSpPr>
      <xdr:spPr>
        <a:xfrm>
          <a:off x="2286" y="15185135"/>
          <a:ext cx="668020" cy="0"/>
        </a:xfrm>
        <a:custGeom>
          <a:avLst/>
          <a:gdLst/>
          <a:ahLst/>
          <a:cxnLst/>
          <a:rect l="0" t="0" r="0" b="0"/>
          <a:pathLst>
            <a:path w="658495">
              <a:moveTo>
                <a:pt x="0" y="0"/>
              </a:moveTo>
              <a:lnTo>
                <a:pt x="658368" y="0"/>
              </a:lnTo>
            </a:path>
          </a:pathLst>
        </a:custGeom>
        <a:ln w="4572">
          <a:solidFill>
            <a:srgbClr val="343434"/>
          </a:solidFill>
        </a:ln>
      </xdr:spPr>
    </xdr:sp>
    <xdr:clientData/>
  </xdr:twoCellAnchor>
  <xdr:twoCellAnchor editAs="oneCell">
    <xdr:from>
      <xdr:col>0</xdr:col>
      <xdr:colOff>0</xdr:colOff>
      <xdr:row>58</xdr:row>
      <xdr:rowOff>0</xdr:rowOff>
    </xdr:from>
    <xdr:to>
      <xdr:col>16</xdr:col>
      <xdr:colOff>60960</xdr:colOff>
      <xdr:row>58</xdr:row>
      <xdr:rowOff>758952</xdr:rowOff>
    </xdr:to>
    <xdr:pic>
      <xdr:nvPicPr>
        <xdr:cNvPr id="9" name="image1.png">
          <a:extLst>
            <a:ext uri="{FF2B5EF4-FFF2-40B4-BE49-F238E27FC236}">
              <a16:creationId xmlns:a16="http://schemas.microsoft.com/office/drawing/2014/main" id="{342BE371-CABB-4226-8905-55695C2E49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5192375"/>
          <a:ext cx="2004060" cy="758952"/>
        </a:xfrm>
        <a:prstGeom prst="rect">
          <a:avLst/>
        </a:prstGeom>
      </xdr:spPr>
    </xdr:pic>
    <xdr:clientData/>
  </xdr:twoCellAnchor>
  <xdr:twoCellAnchor editAs="oneCell">
    <xdr:from>
      <xdr:col>0</xdr:col>
      <xdr:colOff>4572</xdr:colOff>
      <xdr:row>69</xdr:row>
      <xdr:rowOff>4572</xdr:rowOff>
    </xdr:from>
    <xdr:to>
      <xdr:col>0</xdr:col>
      <xdr:colOff>4572</xdr:colOff>
      <xdr:row>69</xdr:row>
      <xdr:rowOff>4069207</xdr:rowOff>
    </xdr:to>
    <xdr:sp macro="" textlink="">
      <xdr:nvSpPr>
        <xdr:cNvPr id="10" name="Shape 10">
          <a:extLst>
            <a:ext uri="{FF2B5EF4-FFF2-40B4-BE49-F238E27FC236}">
              <a16:creationId xmlns:a16="http://schemas.microsoft.com/office/drawing/2014/main" id="{AA0DFD57-1990-4B81-BDC7-60A5AED51B48}"/>
            </a:ext>
          </a:extLst>
        </xdr:cNvPr>
        <xdr:cNvSpPr/>
      </xdr:nvSpPr>
      <xdr:spPr>
        <a:xfrm>
          <a:off x="4572" y="17863947"/>
          <a:ext cx="0" cy="4064635"/>
        </a:xfrm>
        <a:custGeom>
          <a:avLst/>
          <a:gdLst/>
          <a:ahLst/>
          <a:cxnLst/>
          <a:rect l="0" t="0" r="0" b="0"/>
          <a:pathLst>
            <a:path h="4064635">
              <a:moveTo>
                <a:pt x="0" y="4064507"/>
              </a:moveTo>
              <a:lnTo>
                <a:pt x="0" y="0"/>
              </a:lnTo>
            </a:path>
          </a:pathLst>
        </a:custGeom>
        <a:ln w="9144">
          <a:solidFill>
            <a:srgbClr val="343434"/>
          </a:solidFill>
        </a:ln>
      </xdr:spPr>
    </xdr:sp>
    <xdr:clientData/>
  </xdr:twoCellAnchor>
  <xdr:oneCellAnchor>
    <xdr:from>
      <xdr:col>0</xdr:col>
      <xdr:colOff>0</xdr:colOff>
      <xdr:row>95</xdr:row>
      <xdr:rowOff>0</xdr:rowOff>
    </xdr:from>
    <xdr:ext cx="3515867" cy="864108"/>
    <xdr:pic>
      <xdr:nvPicPr>
        <xdr:cNvPr id="11" name="image2.png">
          <a:extLst>
            <a:ext uri="{FF2B5EF4-FFF2-40B4-BE49-F238E27FC236}">
              <a16:creationId xmlns:a16="http://schemas.microsoft.com/office/drawing/2014/main" id="{CC7B0E0E-D02D-4C85-8286-0F19EA2C4773}"/>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31003875"/>
          <a:ext cx="3515867" cy="864108"/>
        </a:xfrm>
        <a:prstGeom prst="rect">
          <a:avLst/>
        </a:prstGeom>
      </xdr:spPr>
    </xdr:pic>
    <xdr:clientData/>
  </xdr:oneCellAnchor>
  <xdr:twoCellAnchor editAs="oneCell">
    <xdr:from>
      <xdr:col>0</xdr:col>
      <xdr:colOff>4572</xdr:colOff>
      <xdr:row>91</xdr:row>
      <xdr:rowOff>4571</xdr:rowOff>
    </xdr:from>
    <xdr:to>
      <xdr:col>0</xdr:col>
      <xdr:colOff>4572</xdr:colOff>
      <xdr:row>91</xdr:row>
      <xdr:rowOff>4650231</xdr:rowOff>
    </xdr:to>
    <xdr:sp macro="" textlink="">
      <xdr:nvSpPr>
        <xdr:cNvPr id="12" name="Shape 12">
          <a:extLst>
            <a:ext uri="{FF2B5EF4-FFF2-40B4-BE49-F238E27FC236}">
              <a16:creationId xmlns:a16="http://schemas.microsoft.com/office/drawing/2014/main" id="{AD3BF2B2-47DD-49C8-87FB-FFCFA1047550}"/>
            </a:ext>
          </a:extLst>
        </xdr:cNvPr>
        <xdr:cNvSpPr/>
      </xdr:nvSpPr>
      <xdr:spPr>
        <a:xfrm>
          <a:off x="4572" y="25741121"/>
          <a:ext cx="0" cy="4645660"/>
        </a:xfrm>
        <a:custGeom>
          <a:avLst/>
          <a:gdLst/>
          <a:ahLst/>
          <a:cxnLst/>
          <a:rect l="0" t="0" r="0" b="0"/>
          <a:pathLst>
            <a:path h="4645660">
              <a:moveTo>
                <a:pt x="0" y="4645152"/>
              </a:moveTo>
              <a:lnTo>
                <a:pt x="0" y="0"/>
              </a:lnTo>
            </a:path>
          </a:pathLst>
        </a:custGeom>
        <a:ln w="9144">
          <a:solidFill>
            <a:srgbClr val="343434"/>
          </a:solidFill>
        </a:ln>
      </xdr:spPr>
    </xdr:sp>
    <xdr:clientData/>
  </xdr:twoCellAnchor>
  <xdr:twoCellAnchor editAs="oneCell">
    <xdr:from>
      <xdr:col>0</xdr:col>
      <xdr:colOff>2286</xdr:colOff>
      <xdr:row>87</xdr:row>
      <xdr:rowOff>2285</xdr:rowOff>
    </xdr:from>
    <xdr:to>
      <xdr:col>1</xdr:col>
      <xdr:colOff>186436</xdr:colOff>
      <xdr:row>87</xdr:row>
      <xdr:rowOff>2285</xdr:rowOff>
    </xdr:to>
    <xdr:sp macro="" textlink="">
      <xdr:nvSpPr>
        <xdr:cNvPr id="13" name="Shape 13">
          <a:extLst>
            <a:ext uri="{FF2B5EF4-FFF2-40B4-BE49-F238E27FC236}">
              <a16:creationId xmlns:a16="http://schemas.microsoft.com/office/drawing/2014/main" id="{58795FDD-0B5E-4AC4-9FB2-F8959F2A1329}"/>
            </a:ext>
          </a:extLst>
        </xdr:cNvPr>
        <xdr:cNvSpPr/>
      </xdr:nvSpPr>
      <xdr:spPr>
        <a:xfrm>
          <a:off x="2286" y="25262585"/>
          <a:ext cx="307975" cy="0"/>
        </a:xfrm>
        <a:custGeom>
          <a:avLst/>
          <a:gdLst/>
          <a:ahLst/>
          <a:cxnLst/>
          <a:rect l="0" t="0" r="0" b="0"/>
          <a:pathLst>
            <a:path w="311150">
              <a:moveTo>
                <a:pt x="0" y="0"/>
              </a:moveTo>
              <a:lnTo>
                <a:pt x="310895" y="0"/>
              </a:lnTo>
            </a:path>
          </a:pathLst>
        </a:custGeom>
        <a:ln w="4572">
          <a:solidFill>
            <a:srgbClr val="343434"/>
          </a:solidFill>
        </a:ln>
      </xdr:spPr>
    </xdr:sp>
    <xdr:clientData/>
  </xdr:twoCellAnchor>
  <xdr:oneCellAnchor>
    <xdr:from>
      <xdr:col>0</xdr:col>
      <xdr:colOff>2286</xdr:colOff>
      <xdr:row>104</xdr:row>
      <xdr:rowOff>2287</xdr:rowOff>
    </xdr:from>
    <xdr:ext cx="4823460" cy="0"/>
    <xdr:sp macro="" textlink="">
      <xdr:nvSpPr>
        <xdr:cNvPr id="14" name="Shape 14">
          <a:extLst>
            <a:ext uri="{FF2B5EF4-FFF2-40B4-BE49-F238E27FC236}">
              <a16:creationId xmlns:a16="http://schemas.microsoft.com/office/drawing/2014/main" id="{C0EC553A-8E70-4C7A-81CC-770225EE860C}"/>
            </a:ext>
          </a:extLst>
        </xdr:cNvPr>
        <xdr:cNvSpPr/>
      </xdr:nvSpPr>
      <xdr:spPr>
        <a:xfrm>
          <a:off x="2286" y="33292162"/>
          <a:ext cx="4823460" cy="0"/>
        </a:xfrm>
        <a:custGeom>
          <a:avLst/>
          <a:gdLst/>
          <a:ahLst/>
          <a:cxnLst/>
          <a:rect l="0" t="0" r="0" b="0"/>
          <a:pathLst>
            <a:path w="4823460">
              <a:moveTo>
                <a:pt x="0" y="0"/>
              </a:moveTo>
              <a:lnTo>
                <a:pt x="4823460" y="0"/>
              </a:lnTo>
            </a:path>
          </a:pathLst>
        </a:custGeom>
        <a:ln w="4572">
          <a:solidFill>
            <a:srgbClr val="343434"/>
          </a:solidFill>
        </a:ln>
      </xdr:spPr>
    </xdr:sp>
    <xdr:clientData/>
  </xdr:oneCellAnchor>
  <xdr:twoCellAnchor editAs="oneCell">
    <xdr:from>
      <xdr:col>0</xdr:col>
      <xdr:colOff>2286</xdr:colOff>
      <xdr:row>155</xdr:row>
      <xdr:rowOff>2286</xdr:rowOff>
    </xdr:from>
    <xdr:to>
      <xdr:col>13</xdr:col>
      <xdr:colOff>83566</xdr:colOff>
      <xdr:row>155</xdr:row>
      <xdr:rowOff>2286</xdr:rowOff>
    </xdr:to>
    <xdr:sp macro="" textlink="">
      <xdr:nvSpPr>
        <xdr:cNvPr id="15" name="Shape 15">
          <a:extLst>
            <a:ext uri="{FF2B5EF4-FFF2-40B4-BE49-F238E27FC236}">
              <a16:creationId xmlns:a16="http://schemas.microsoft.com/office/drawing/2014/main" id="{97F0B30D-0CE0-43A6-9E57-6BB4DA06C7AC}"/>
            </a:ext>
          </a:extLst>
        </xdr:cNvPr>
        <xdr:cNvSpPr/>
      </xdr:nvSpPr>
      <xdr:spPr>
        <a:xfrm>
          <a:off x="2286" y="42788586"/>
          <a:ext cx="1710055" cy="0"/>
        </a:xfrm>
        <a:custGeom>
          <a:avLst/>
          <a:gdLst/>
          <a:ahLst/>
          <a:cxnLst/>
          <a:rect l="0" t="0" r="0" b="0"/>
          <a:pathLst>
            <a:path w="1668780">
              <a:moveTo>
                <a:pt x="0" y="0"/>
              </a:moveTo>
              <a:lnTo>
                <a:pt x="1668780" y="0"/>
              </a:lnTo>
            </a:path>
          </a:pathLst>
        </a:custGeom>
        <a:ln w="4572">
          <a:solidFill>
            <a:srgbClr val="343434"/>
          </a:solidFill>
        </a:ln>
      </xdr:spPr>
    </xdr:sp>
    <xdr:clientData/>
  </xdr:twoCellAnchor>
  <xdr:twoCellAnchor editAs="oneCell">
    <xdr:from>
      <xdr:col>0</xdr:col>
      <xdr:colOff>2286</xdr:colOff>
      <xdr:row>203</xdr:row>
      <xdr:rowOff>2285</xdr:rowOff>
    </xdr:from>
    <xdr:to>
      <xdr:col>2</xdr:col>
      <xdr:colOff>169926</xdr:colOff>
      <xdr:row>203</xdr:row>
      <xdr:rowOff>2285</xdr:rowOff>
    </xdr:to>
    <xdr:sp macro="" textlink="">
      <xdr:nvSpPr>
        <xdr:cNvPr id="16" name="Shape 16">
          <a:extLst>
            <a:ext uri="{FF2B5EF4-FFF2-40B4-BE49-F238E27FC236}">
              <a16:creationId xmlns:a16="http://schemas.microsoft.com/office/drawing/2014/main" id="{E1D9A7B0-8F24-4842-8BEF-BDE20B2B5368}"/>
            </a:ext>
          </a:extLst>
        </xdr:cNvPr>
        <xdr:cNvSpPr/>
      </xdr:nvSpPr>
      <xdr:spPr>
        <a:xfrm>
          <a:off x="2286" y="51618260"/>
          <a:ext cx="558165" cy="0"/>
        </a:xfrm>
        <a:custGeom>
          <a:avLst/>
          <a:gdLst/>
          <a:ahLst/>
          <a:cxnLst/>
          <a:rect l="0" t="0" r="0" b="0"/>
          <a:pathLst>
            <a:path w="548640">
              <a:moveTo>
                <a:pt x="0" y="0"/>
              </a:moveTo>
              <a:lnTo>
                <a:pt x="548640" y="0"/>
              </a:lnTo>
            </a:path>
          </a:pathLst>
        </a:custGeom>
        <a:ln w="4572">
          <a:solidFill>
            <a:srgbClr val="343434"/>
          </a:solidFill>
        </a:ln>
      </xdr:spPr>
    </xdr:sp>
    <xdr:clientData/>
  </xdr:twoCellAnchor>
  <xdr:twoCellAnchor editAs="oneCell">
    <xdr:from>
      <xdr:col>0</xdr:col>
      <xdr:colOff>0</xdr:colOff>
      <xdr:row>250</xdr:row>
      <xdr:rowOff>100401</xdr:rowOff>
    </xdr:from>
    <xdr:to>
      <xdr:col>30</xdr:col>
      <xdr:colOff>73660</xdr:colOff>
      <xdr:row>251</xdr:row>
      <xdr:rowOff>10302</xdr:rowOff>
    </xdr:to>
    <xdr:sp macro="" textlink="">
      <xdr:nvSpPr>
        <xdr:cNvPr id="17" name="Shape 17">
          <a:extLst>
            <a:ext uri="{FF2B5EF4-FFF2-40B4-BE49-F238E27FC236}">
              <a16:creationId xmlns:a16="http://schemas.microsoft.com/office/drawing/2014/main" id="{FE2E9996-6EFD-47C5-9C55-B5068B81F799}"/>
            </a:ext>
          </a:extLst>
        </xdr:cNvPr>
        <xdr:cNvSpPr/>
      </xdr:nvSpPr>
      <xdr:spPr>
        <a:xfrm>
          <a:off x="0" y="60650826"/>
          <a:ext cx="4197985" cy="4374"/>
        </a:xfrm>
        <a:custGeom>
          <a:avLst/>
          <a:gdLst/>
          <a:ahLst/>
          <a:cxnLst/>
          <a:rect l="0" t="0" r="0" b="0"/>
          <a:pathLst>
            <a:path w="4137660">
              <a:moveTo>
                <a:pt x="0" y="0"/>
              </a:moveTo>
              <a:lnTo>
                <a:pt x="4137660" y="0"/>
              </a:lnTo>
            </a:path>
          </a:pathLst>
        </a:custGeom>
        <a:ln w="3175">
          <a:solidFill>
            <a:srgbClr val="363434"/>
          </a:solidFill>
        </a:ln>
      </xdr:spPr>
    </xdr:sp>
    <xdr:clientData/>
  </xdr:twoCellAnchor>
  <xdr:oneCellAnchor>
    <xdr:from>
      <xdr:col>0</xdr:col>
      <xdr:colOff>4572</xdr:colOff>
      <xdr:row>348</xdr:row>
      <xdr:rowOff>4571</xdr:rowOff>
    </xdr:from>
    <xdr:ext cx="4133215" cy="0"/>
    <xdr:sp macro="" textlink="">
      <xdr:nvSpPr>
        <xdr:cNvPr id="18" name="Shape 18">
          <a:extLst>
            <a:ext uri="{FF2B5EF4-FFF2-40B4-BE49-F238E27FC236}">
              <a16:creationId xmlns:a16="http://schemas.microsoft.com/office/drawing/2014/main" id="{AC4E4EEA-3F60-4350-932B-7E4CF58C7F1E}"/>
            </a:ext>
          </a:extLst>
        </xdr:cNvPr>
        <xdr:cNvSpPr/>
      </xdr:nvSpPr>
      <xdr:spPr>
        <a:xfrm>
          <a:off x="4572" y="79243046"/>
          <a:ext cx="4133215" cy="0"/>
        </a:xfrm>
        <a:custGeom>
          <a:avLst/>
          <a:gdLst/>
          <a:ahLst/>
          <a:cxnLst/>
          <a:rect l="0" t="0" r="0" b="0"/>
          <a:pathLst>
            <a:path w="4133215">
              <a:moveTo>
                <a:pt x="0" y="0"/>
              </a:moveTo>
              <a:lnTo>
                <a:pt x="4133088" y="0"/>
              </a:lnTo>
            </a:path>
          </a:pathLst>
        </a:custGeom>
        <a:ln w="9144">
          <a:solidFill>
            <a:srgbClr val="343434"/>
          </a:solidFill>
        </a:ln>
      </xdr:spPr>
    </xdr:sp>
    <xdr:clientData/>
  </xdr:oneCellAnchor>
  <xdr:twoCellAnchor editAs="oneCell">
    <xdr:from>
      <xdr:col>0</xdr:col>
      <xdr:colOff>4572</xdr:colOff>
      <xdr:row>376</xdr:row>
      <xdr:rowOff>4572</xdr:rowOff>
    </xdr:from>
    <xdr:to>
      <xdr:col>0</xdr:col>
      <xdr:colOff>4572</xdr:colOff>
      <xdr:row>376</xdr:row>
      <xdr:rowOff>4069207</xdr:rowOff>
    </xdr:to>
    <xdr:sp macro="" textlink="">
      <xdr:nvSpPr>
        <xdr:cNvPr id="19" name="Shape 19">
          <a:extLst>
            <a:ext uri="{FF2B5EF4-FFF2-40B4-BE49-F238E27FC236}">
              <a16:creationId xmlns:a16="http://schemas.microsoft.com/office/drawing/2014/main" id="{0A25D66B-69DA-4DCD-ADA1-68542FB11E1C}"/>
            </a:ext>
          </a:extLst>
        </xdr:cNvPr>
        <xdr:cNvSpPr/>
      </xdr:nvSpPr>
      <xdr:spPr>
        <a:xfrm>
          <a:off x="4572" y="84396072"/>
          <a:ext cx="0" cy="4064635"/>
        </a:xfrm>
        <a:custGeom>
          <a:avLst/>
          <a:gdLst/>
          <a:ahLst/>
          <a:cxnLst/>
          <a:rect l="0" t="0" r="0" b="0"/>
          <a:pathLst>
            <a:path h="4064635">
              <a:moveTo>
                <a:pt x="0" y="4064507"/>
              </a:moveTo>
              <a:lnTo>
                <a:pt x="0" y="0"/>
              </a:lnTo>
            </a:path>
          </a:pathLst>
        </a:custGeom>
        <a:ln w="9144">
          <a:solidFill>
            <a:srgbClr val="343434"/>
          </a:solidFill>
        </a:ln>
      </xdr:spPr>
    </xdr:sp>
    <xdr:clientData/>
  </xdr:twoCellAnchor>
  <xdr:twoCellAnchor editAs="oneCell">
    <xdr:from>
      <xdr:col>0</xdr:col>
      <xdr:colOff>2286</xdr:colOff>
      <xdr:row>383</xdr:row>
      <xdr:rowOff>2287</xdr:rowOff>
    </xdr:from>
    <xdr:to>
      <xdr:col>0</xdr:col>
      <xdr:colOff>2286</xdr:colOff>
      <xdr:row>383</xdr:row>
      <xdr:rowOff>1131952</xdr:rowOff>
    </xdr:to>
    <xdr:sp macro="" textlink="">
      <xdr:nvSpPr>
        <xdr:cNvPr id="20" name="Shape 20">
          <a:extLst>
            <a:ext uri="{FF2B5EF4-FFF2-40B4-BE49-F238E27FC236}">
              <a16:creationId xmlns:a16="http://schemas.microsoft.com/office/drawing/2014/main" id="{42B1CEB1-FC03-4FBE-AAB2-1626AA86371F}"/>
            </a:ext>
          </a:extLst>
        </xdr:cNvPr>
        <xdr:cNvSpPr/>
      </xdr:nvSpPr>
      <xdr:spPr>
        <a:xfrm>
          <a:off x="2286" y="89642062"/>
          <a:ext cx="0" cy="1129665"/>
        </a:xfrm>
        <a:custGeom>
          <a:avLst/>
          <a:gdLst/>
          <a:ahLst/>
          <a:cxnLst/>
          <a:rect l="0" t="0" r="0" b="0"/>
          <a:pathLst>
            <a:path h="1129665">
              <a:moveTo>
                <a:pt x="0" y="1129283"/>
              </a:moveTo>
              <a:lnTo>
                <a:pt x="0" y="0"/>
              </a:lnTo>
            </a:path>
          </a:pathLst>
        </a:custGeom>
        <a:ln w="4572">
          <a:solidFill>
            <a:srgbClr val="343434"/>
          </a:solidFill>
        </a:ln>
      </xdr:spPr>
    </xdr:sp>
    <xdr:clientData/>
  </xdr:twoCellAnchor>
  <xdr:oneCellAnchor>
    <xdr:from>
      <xdr:col>0</xdr:col>
      <xdr:colOff>2286</xdr:colOff>
      <xdr:row>421</xdr:row>
      <xdr:rowOff>2286</xdr:rowOff>
    </xdr:from>
    <xdr:ext cx="3388360" cy="0"/>
    <xdr:sp macro="" textlink="">
      <xdr:nvSpPr>
        <xdr:cNvPr id="21" name="Shape 21">
          <a:extLst>
            <a:ext uri="{FF2B5EF4-FFF2-40B4-BE49-F238E27FC236}">
              <a16:creationId xmlns:a16="http://schemas.microsoft.com/office/drawing/2014/main" id="{30FED903-F30B-4D37-985A-4D393EE734EB}"/>
            </a:ext>
          </a:extLst>
        </xdr:cNvPr>
        <xdr:cNvSpPr/>
      </xdr:nvSpPr>
      <xdr:spPr>
        <a:xfrm>
          <a:off x="2286" y="97995486"/>
          <a:ext cx="3388360" cy="0"/>
        </a:xfrm>
        <a:custGeom>
          <a:avLst/>
          <a:gdLst/>
          <a:ahLst/>
          <a:cxnLst/>
          <a:rect l="0" t="0" r="0" b="0"/>
          <a:pathLst>
            <a:path w="3388360">
              <a:moveTo>
                <a:pt x="0" y="0"/>
              </a:moveTo>
              <a:lnTo>
                <a:pt x="3387852" y="0"/>
              </a:lnTo>
            </a:path>
          </a:pathLst>
        </a:custGeom>
        <a:ln w="4572">
          <a:solidFill>
            <a:srgbClr val="343434"/>
          </a:solidFill>
        </a:ln>
      </xdr:spPr>
    </xdr:sp>
    <xdr:clientData/>
  </xdr:oneCellAnchor>
</xdr:wsDr>
</file>

<file path=xl/drawings/drawing2.xml><?xml version="1.0" encoding="utf-8"?>
<xdr:wsDr xmlns:xdr="http://schemas.openxmlformats.org/drawingml/2006/spreadsheetDrawing" xmlns:a="http://schemas.openxmlformats.org/drawingml/2006/main">
  <xdr:twoCellAnchor>
    <xdr:from>
      <xdr:col>6</xdr:col>
      <xdr:colOff>220980</xdr:colOff>
      <xdr:row>317</xdr:row>
      <xdr:rowOff>129540</xdr:rowOff>
    </xdr:from>
    <xdr:to>
      <xdr:col>21</xdr:col>
      <xdr:colOff>76200</xdr:colOff>
      <xdr:row>338</xdr:row>
      <xdr:rowOff>7620</xdr:rowOff>
    </xdr:to>
    <xdr:graphicFrame macro="">
      <xdr:nvGraphicFramePr>
        <xdr:cNvPr id="2" name="Chart 1">
          <a:extLst>
            <a:ext uri="{FF2B5EF4-FFF2-40B4-BE49-F238E27FC236}">
              <a16:creationId xmlns:a16="http://schemas.microsoft.com/office/drawing/2014/main" id="{D58A64E7-93FE-4FD4-9FEF-EAB35FC264D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289560</xdr:colOff>
      <xdr:row>330</xdr:row>
      <xdr:rowOff>106680</xdr:rowOff>
    </xdr:from>
    <xdr:to>
      <xdr:col>21</xdr:col>
      <xdr:colOff>144780</xdr:colOff>
      <xdr:row>350</xdr:row>
      <xdr:rowOff>167640</xdr:rowOff>
    </xdr:to>
    <xdr:graphicFrame macro="">
      <xdr:nvGraphicFramePr>
        <xdr:cNvPr id="2" name="Chart 1">
          <a:extLst>
            <a:ext uri="{FF2B5EF4-FFF2-40B4-BE49-F238E27FC236}">
              <a16:creationId xmlns:a16="http://schemas.microsoft.com/office/drawing/2014/main" id="{0882C494-155D-462E-84AE-F425D88D9C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289560</xdr:colOff>
      <xdr:row>330</xdr:row>
      <xdr:rowOff>106680</xdr:rowOff>
    </xdr:from>
    <xdr:to>
      <xdr:col>21</xdr:col>
      <xdr:colOff>144780</xdr:colOff>
      <xdr:row>350</xdr:row>
      <xdr:rowOff>167640</xdr:rowOff>
    </xdr:to>
    <xdr:graphicFrame macro="">
      <xdr:nvGraphicFramePr>
        <xdr:cNvPr id="3" name="Chart 2">
          <a:extLst>
            <a:ext uri="{FF2B5EF4-FFF2-40B4-BE49-F238E27FC236}">
              <a16:creationId xmlns:a16="http://schemas.microsoft.com/office/drawing/2014/main" id="{4E4883B2-C0A4-4324-B700-F02538E22F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419100</xdr:colOff>
      <xdr:row>319</xdr:row>
      <xdr:rowOff>30480</xdr:rowOff>
    </xdr:from>
    <xdr:to>
      <xdr:col>8</xdr:col>
      <xdr:colOff>53340</xdr:colOff>
      <xdr:row>337</xdr:row>
      <xdr:rowOff>76200</xdr:rowOff>
    </xdr:to>
    <xdr:graphicFrame macro="">
      <xdr:nvGraphicFramePr>
        <xdr:cNvPr id="2" name="Chart 1">
          <a:extLst>
            <a:ext uri="{FF2B5EF4-FFF2-40B4-BE49-F238E27FC236}">
              <a16:creationId xmlns:a16="http://schemas.microsoft.com/office/drawing/2014/main" id="{DD8B1331-27A4-4A1E-AEBF-872A163A92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6</xdr:col>
      <xdr:colOff>220980</xdr:colOff>
      <xdr:row>317</xdr:row>
      <xdr:rowOff>152400</xdr:rowOff>
    </xdr:from>
    <xdr:to>
      <xdr:col>18</xdr:col>
      <xdr:colOff>53340</xdr:colOff>
      <xdr:row>338</xdr:row>
      <xdr:rowOff>7620</xdr:rowOff>
    </xdr:to>
    <xdr:graphicFrame macro="">
      <xdr:nvGraphicFramePr>
        <xdr:cNvPr id="2" name="Chart 1">
          <a:extLst>
            <a:ext uri="{FF2B5EF4-FFF2-40B4-BE49-F238E27FC236}">
              <a16:creationId xmlns:a16="http://schemas.microsoft.com/office/drawing/2014/main" id="{C1C11A11-A65F-47DF-9073-DE677BFDC2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6</xdr:col>
      <xdr:colOff>220980</xdr:colOff>
      <xdr:row>317</xdr:row>
      <xdr:rowOff>129540</xdr:rowOff>
    </xdr:from>
    <xdr:to>
      <xdr:col>21</xdr:col>
      <xdr:colOff>76200</xdr:colOff>
      <xdr:row>338</xdr:row>
      <xdr:rowOff>7620</xdr:rowOff>
    </xdr:to>
    <xdr:graphicFrame macro="">
      <xdr:nvGraphicFramePr>
        <xdr:cNvPr id="2" name="Chart 1">
          <a:extLst>
            <a:ext uri="{FF2B5EF4-FFF2-40B4-BE49-F238E27FC236}">
              <a16:creationId xmlns:a16="http://schemas.microsoft.com/office/drawing/2014/main" id="{B44D0BE6-B43E-47B2-8ABF-9F2C3745B4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6</xdr:col>
      <xdr:colOff>220980</xdr:colOff>
      <xdr:row>317</xdr:row>
      <xdr:rowOff>129540</xdr:rowOff>
    </xdr:from>
    <xdr:to>
      <xdr:col>21</xdr:col>
      <xdr:colOff>76200</xdr:colOff>
      <xdr:row>338</xdr:row>
      <xdr:rowOff>7620</xdr:rowOff>
    </xdr:to>
    <xdr:graphicFrame macro="">
      <xdr:nvGraphicFramePr>
        <xdr:cNvPr id="2" name="Chart 1">
          <a:extLst>
            <a:ext uri="{FF2B5EF4-FFF2-40B4-BE49-F238E27FC236}">
              <a16:creationId xmlns:a16="http://schemas.microsoft.com/office/drawing/2014/main" id="{08F38D29-6C63-4C6F-98B2-EF7812DFE9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9</xdr:col>
      <xdr:colOff>342900</xdr:colOff>
      <xdr:row>328</xdr:row>
      <xdr:rowOff>106680</xdr:rowOff>
    </xdr:from>
    <xdr:to>
      <xdr:col>24</xdr:col>
      <xdr:colOff>198120</xdr:colOff>
      <xdr:row>348</xdr:row>
      <xdr:rowOff>167640</xdr:rowOff>
    </xdr:to>
    <xdr:graphicFrame macro="">
      <xdr:nvGraphicFramePr>
        <xdr:cNvPr id="5" name="Chart 4">
          <a:extLst>
            <a:ext uri="{FF2B5EF4-FFF2-40B4-BE49-F238E27FC236}">
              <a16:creationId xmlns:a16="http://schemas.microsoft.com/office/drawing/2014/main" id="{D7BCDF5B-48CC-48A9-8E0F-0E65BDC80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9</xdr:col>
      <xdr:colOff>129540</xdr:colOff>
      <xdr:row>313</xdr:row>
      <xdr:rowOff>91440</xdr:rowOff>
    </xdr:from>
    <xdr:to>
      <xdr:col>23</xdr:col>
      <xdr:colOff>594360</xdr:colOff>
      <xdr:row>333</xdr:row>
      <xdr:rowOff>152400</xdr:rowOff>
    </xdr:to>
    <xdr:graphicFrame macro="">
      <xdr:nvGraphicFramePr>
        <xdr:cNvPr id="2" name="Chart 1">
          <a:extLst>
            <a:ext uri="{FF2B5EF4-FFF2-40B4-BE49-F238E27FC236}">
              <a16:creationId xmlns:a16="http://schemas.microsoft.com/office/drawing/2014/main" id="{131C906B-647B-4F94-A5BD-835A09570F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8</xdr:col>
      <xdr:colOff>548640</xdr:colOff>
      <xdr:row>318</xdr:row>
      <xdr:rowOff>167640</xdr:rowOff>
    </xdr:from>
    <xdr:to>
      <xdr:col>23</xdr:col>
      <xdr:colOff>403860</xdr:colOff>
      <xdr:row>339</xdr:row>
      <xdr:rowOff>45720</xdr:rowOff>
    </xdr:to>
    <xdr:graphicFrame macro="">
      <xdr:nvGraphicFramePr>
        <xdr:cNvPr id="2" name="Chart 1">
          <a:extLst>
            <a:ext uri="{FF2B5EF4-FFF2-40B4-BE49-F238E27FC236}">
              <a16:creationId xmlns:a16="http://schemas.microsoft.com/office/drawing/2014/main" id="{8F1364E7-A771-486F-80FF-4E12A0E6F4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6</xdr:col>
      <xdr:colOff>220980</xdr:colOff>
      <xdr:row>317</xdr:row>
      <xdr:rowOff>129540</xdr:rowOff>
    </xdr:from>
    <xdr:to>
      <xdr:col>21</xdr:col>
      <xdr:colOff>76200</xdr:colOff>
      <xdr:row>338</xdr:row>
      <xdr:rowOff>7620</xdr:rowOff>
    </xdr:to>
    <xdr:graphicFrame macro="">
      <xdr:nvGraphicFramePr>
        <xdr:cNvPr id="2" name="Chart 1">
          <a:extLst>
            <a:ext uri="{FF2B5EF4-FFF2-40B4-BE49-F238E27FC236}">
              <a16:creationId xmlns:a16="http://schemas.microsoft.com/office/drawing/2014/main" id="{D93AE06B-6671-4487-B95C-A49E6FDA73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6</xdr:col>
      <xdr:colOff>220980</xdr:colOff>
      <xdr:row>317</xdr:row>
      <xdr:rowOff>129540</xdr:rowOff>
    </xdr:from>
    <xdr:to>
      <xdr:col>21</xdr:col>
      <xdr:colOff>76200</xdr:colOff>
      <xdr:row>338</xdr:row>
      <xdr:rowOff>7620</xdr:rowOff>
    </xdr:to>
    <xdr:graphicFrame macro="">
      <xdr:nvGraphicFramePr>
        <xdr:cNvPr id="2" name="Chart 1">
          <a:extLst>
            <a:ext uri="{FF2B5EF4-FFF2-40B4-BE49-F238E27FC236}">
              <a16:creationId xmlns:a16="http://schemas.microsoft.com/office/drawing/2014/main" id="{2764180E-34BC-4C3A-9FB8-0AE5B30C21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2308860</xdr:colOff>
      <xdr:row>316</xdr:row>
      <xdr:rowOff>114300</xdr:rowOff>
    </xdr:from>
    <xdr:to>
      <xdr:col>15</xdr:col>
      <xdr:colOff>152400</xdr:colOff>
      <xdr:row>336</xdr:row>
      <xdr:rowOff>175260</xdr:rowOff>
    </xdr:to>
    <xdr:graphicFrame macro="">
      <xdr:nvGraphicFramePr>
        <xdr:cNvPr id="2" name="Chart 1">
          <a:extLst>
            <a:ext uri="{FF2B5EF4-FFF2-40B4-BE49-F238E27FC236}">
              <a16:creationId xmlns:a16="http://schemas.microsoft.com/office/drawing/2014/main" id="{621846A3-E21F-4D46-B734-762D64E930D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6</xdr:col>
      <xdr:colOff>220980</xdr:colOff>
      <xdr:row>317</xdr:row>
      <xdr:rowOff>129540</xdr:rowOff>
    </xdr:from>
    <xdr:to>
      <xdr:col>21</xdr:col>
      <xdr:colOff>76200</xdr:colOff>
      <xdr:row>338</xdr:row>
      <xdr:rowOff>7620</xdr:rowOff>
    </xdr:to>
    <xdr:graphicFrame macro="">
      <xdr:nvGraphicFramePr>
        <xdr:cNvPr id="2" name="Chart 1">
          <a:extLst>
            <a:ext uri="{FF2B5EF4-FFF2-40B4-BE49-F238E27FC236}">
              <a16:creationId xmlns:a16="http://schemas.microsoft.com/office/drawing/2014/main" id="{C4473FBA-8975-4EEC-B973-E698CC4287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6</xdr:col>
      <xdr:colOff>220980</xdr:colOff>
      <xdr:row>317</xdr:row>
      <xdr:rowOff>129540</xdr:rowOff>
    </xdr:from>
    <xdr:to>
      <xdr:col>21</xdr:col>
      <xdr:colOff>76200</xdr:colOff>
      <xdr:row>338</xdr:row>
      <xdr:rowOff>7620</xdr:rowOff>
    </xdr:to>
    <xdr:graphicFrame macro="">
      <xdr:nvGraphicFramePr>
        <xdr:cNvPr id="2" name="Chart 1">
          <a:extLst>
            <a:ext uri="{FF2B5EF4-FFF2-40B4-BE49-F238E27FC236}">
              <a16:creationId xmlns:a16="http://schemas.microsoft.com/office/drawing/2014/main" id="{0BB6FBF2-58D4-488F-9E2E-A705409A30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A492"/>
  <sheetViews>
    <sheetView topLeftCell="A160" workbookViewId="0">
      <selection activeCell="A190" sqref="A190"/>
    </sheetView>
  </sheetViews>
  <sheetFormatPr defaultColWidth="9.109375" defaultRowHeight="14.4" x14ac:dyDescent="0.3"/>
  <cols>
    <col min="1" max="1" width="1.88671875" style="1" customWidth="1"/>
    <col min="2" max="2" width="4" style="1" customWidth="1"/>
    <col min="3" max="3" width="5" style="1" customWidth="1"/>
    <col min="4" max="4" width="1" style="1" customWidth="1"/>
    <col min="5" max="5" width="2.88671875" style="1" customWidth="1"/>
    <col min="6" max="6" width="1" style="1" customWidth="1"/>
    <col min="7" max="7" width="1.88671875" style="1" customWidth="1"/>
    <col min="8" max="10" width="1" style="1" customWidth="1"/>
    <col min="11" max="11" width="1.88671875" style="1" customWidth="1"/>
    <col min="12" max="13" width="1" style="1" customWidth="1"/>
    <col min="14" max="14" width="1.88671875" style="1" customWidth="1"/>
    <col min="15" max="15" width="1" style="1" customWidth="1"/>
    <col min="16" max="16" width="1.88671875" style="1" customWidth="1"/>
    <col min="17" max="17" width="1" style="1" customWidth="1"/>
    <col min="18" max="22" width="1.88671875" style="1" customWidth="1"/>
    <col min="23" max="23" width="1" style="1" customWidth="1"/>
    <col min="24" max="24" width="1.88671875" style="1" customWidth="1"/>
    <col min="25" max="26" width="1" style="1" customWidth="1"/>
    <col min="27" max="28" width="1.88671875" style="1" customWidth="1"/>
    <col min="29" max="29" width="9.88671875" style="1" customWidth="1"/>
    <col min="30" max="30" width="4" style="1" customWidth="1"/>
    <col min="31" max="31" width="5" style="1" customWidth="1"/>
    <col min="32" max="32" width="8" style="1" customWidth="1"/>
    <col min="33" max="33" width="5.88671875" style="1" customWidth="1"/>
    <col min="34" max="34" width="10.88671875" style="1" customWidth="1"/>
    <col min="35" max="16384" width="9.109375" style="1"/>
  </cols>
  <sheetData>
    <row r="1" spans="1:1" ht="17.100000000000001" customHeight="1" x14ac:dyDescent="0.3">
      <c r="A1" s="2" t="s">
        <v>21</v>
      </c>
    </row>
    <row r="2" spans="1:1" ht="27" customHeight="1" x14ac:dyDescent="0.3">
      <c r="A2" s="1" t="s">
        <v>22</v>
      </c>
    </row>
    <row r="3" spans="1:1" ht="38.1" customHeight="1" x14ac:dyDescent="0.3">
      <c r="A3" s="1" t="s">
        <v>23</v>
      </c>
    </row>
    <row r="4" spans="1:1" ht="59.1" customHeight="1" x14ac:dyDescent="0.3">
      <c r="A4" s="1" t="s">
        <v>24</v>
      </c>
    </row>
    <row r="5" spans="1:1" ht="15.9" customHeight="1" x14ac:dyDescent="0.3">
      <c r="A5" s="2" t="s">
        <v>25</v>
      </c>
    </row>
    <row r="6" spans="1:1" ht="48" customHeight="1" x14ac:dyDescent="0.3">
      <c r="A6" s="1" t="s">
        <v>26</v>
      </c>
    </row>
    <row r="7" spans="1:1" ht="15.9" customHeight="1" x14ac:dyDescent="0.3">
      <c r="A7" s="3" t="s">
        <v>27</v>
      </c>
    </row>
    <row r="8" spans="1:1" ht="15.9" customHeight="1" x14ac:dyDescent="0.3">
      <c r="A8" s="1" t="s">
        <v>28</v>
      </c>
    </row>
    <row r="9" spans="1:1" ht="15.9" customHeight="1" x14ac:dyDescent="0.3">
      <c r="A9" s="1" t="s">
        <v>29</v>
      </c>
    </row>
    <row r="10" spans="1:1" ht="15.9" customHeight="1" x14ac:dyDescent="0.3">
      <c r="A10" s="3" t="s">
        <v>30</v>
      </c>
    </row>
    <row r="11" spans="1:1" ht="15.9" customHeight="1" x14ac:dyDescent="0.3">
      <c r="A11" s="3" t="s">
        <v>31</v>
      </c>
    </row>
    <row r="12" spans="1:1" ht="15.9" customHeight="1" x14ac:dyDescent="0.3">
      <c r="A12" s="3" t="s">
        <v>32</v>
      </c>
    </row>
    <row r="13" spans="1:1" ht="15" customHeight="1" x14ac:dyDescent="0.3">
      <c r="A13" s="1" t="s">
        <v>33</v>
      </c>
    </row>
    <row r="14" spans="1:1" ht="12" customHeight="1" x14ac:dyDescent="0.3">
      <c r="A14" s="4" t="s">
        <v>34</v>
      </c>
    </row>
    <row r="15" spans="1:1" ht="12" customHeight="1" x14ac:dyDescent="0.3">
      <c r="A15" s="5" t="s">
        <v>35</v>
      </c>
    </row>
    <row r="16" spans="1:1" ht="12" customHeight="1" x14ac:dyDescent="0.3">
      <c r="A16" s="6" t="s">
        <v>36</v>
      </c>
    </row>
    <row r="17" spans="1:1" ht="17.100000000000001" customHeight="1" x14ac:dyDescent="0.3">
      <c r="A17" s="7" t="s">
        <v>37</v>
      </c>
    </row>
    <row r="18" spans="1:1" ht="15.9" customHeight="1" x14ac:dyDescent="0.3">
      <c r="A18" s="2" t="s">
        <v>38</v>
      </c>
    </row>
    <row r="19" spans="1:1" ht="17.100000000000001" customHeight="1" x14ac:dyDescent="0.3">
      <c r="A19" s="7" t="s">
        <v>37</v>
      </c>
    </row>
    <row r="20" spans="1:1" ht="20.100000000000001" customHeight="1" x14ac:dyDescent="0.3">
      <c r="A20" s="1" t="s">
        <v>39</v>
      </c>
    </row>
    <row r="21" spans="1:1" ht="15.9" customHeight="1" x14ac:dyDescent="0.3">
      <c r="A21" s="2" t="s">
        <v>40</v>
      </c>
    </row>
    <row r="22" spans="1:1" ht="17.100000000000001" customHeight="1" x14ac:dyDescent="0.3">
      <c r="A22" s="7" t="s">
        <v>37</v>
      </c>
    </row>
    <row r="23" spans="1:1" ht="15.9" customHeight="1" x14ac:dyDescent="0.3">
      <c r="A23" s="2" t="s">
        <v>40</v>
      </c>
    </row>
    <row r="24" spans="1:1" ht="15.9" customHeight="1" x14ac:dyDescent="0.3">
      <c r="A24" s="1" t="s">
        <v>41</v>
      </c>
    </row>
    <row r="25" spans="1:1" ht="15.9" customHeight="1" x14ac:dyDescent="0.3">
      <c r="A25" s="1" t="s">
        <v>42</v>
      </c>
    </row>
    <row r="26" spans="1:1" ht="15" customHeight="1" x14ac:dyDescent="0.3">
      <c r="A26" s="8" t="s">
        <v>43</v>
      </c>
    </row>
    <row r="27" spans="1:1" ht="15" customHeight="1" x14ac:dyDescent="0.3">
      <c r="A27" s="8" t="s">
        <v>44</v>
      </c>
    </row>
    <row r="28" spans="1:1" ht="15" customHeight="1" x14ac:dyDescent="0.3">
      <c r="A28" s="8" t="s">
        <v>45</v>
      </c>
    </row>
    <row r="29" spans="1:1" ht="15" customHeight="1" x14ac:dyDescent="0.3">
      <c r="A29" s="1" t="s">
        <v>46</v>
      </c>
    </row>
    <row r="30" spans="1:1" ht="15" customHeight="1" x14ac:dyDescent="0.3">
      <c r="A30" s="1" t="s">
        <v>47</v>
      </c>
    </row>
    <row r="31" spans="1:1" ht="18.899999999999999" customHeight="1" x14ac:dyDescent="0.3">
      <c r="A31" s="1" t="s">
        <v>48</v>
      </c>
    </row>
    <row r="32" spans="1:1" ht="9.9" customHeight="1" x14ac:dyDescent="0.3">
      <c r="A32" s="1" t="s">
        <v>49</v>
      </c>
    </row>
    <row r="33" spans="1:1" ht="15" customHeight="1" x14ac:dyDescent="0.3">
      <c r="A33" s="8" t="s">
        <v>50</v>
      </c>
    </row>
    <row r="34" spans="1:1" ht="0.9" customHeight="1" x14ac:dyDescent="0.3"/>
    <row r="35" spans="1:1" ht="12" customHeight="1" x14ac:dyDescent="0.3">
      <c r="A35" s="6" t="s">
        <v>51</v>
      </c>
    </row>
    <row r="36" spans="1:1" ht="15.9" customHeight="1" x14ac:dyDescent="0.3">
      <c r="A36" s="1" t="s">
        <v>52</v>
      </c>
    </row>
    <row r="37" spans="1:1" ht="14.1" customHeight="1" x14ac:dyDescent="0.3">
      <c r="A37" s="9" t="s">
        <v>53</v>
      </c>
    </row>
    <row r="38" spans="1:1" ht="14.1" customHeight="1" x14ac:dyDescent="0.3">
      <c r="A38" s="9" t="s">
        <v>54</v>
      </c>
    </row>
    <row r="39" spans="1:1" ht="14.1" customHeight="1" x14ac:dyDescent="0.3">
      <c r="A39" s="9" t="s">
        <v>55</v>
      </c>
    </row>
    <row r="40" spans="1:1" ht="15.9" customHeight="1" x14ac:dyDescent="0.3">
      <c r="A40" s="1" t="s">
        <v>56</v>
      </c>
    </row>
    <row r="41" spans="1:1" ht="14.1" customHeight="1" x14ac:dyDescent="0.3">
      <c r="A41" s="9" t="s">
        <v>57</v>
      </c>
    </row>
    <row r="42" spans="1:1" ht="14.1" customHeight="1" x14ac:dyDescent="0.3">
      <c r="A42" s="1" t="s">
        <v>58</v>
      </c>
    </row>
    <row r="43" spans="1:1" ht="321" customHeight="1" x14ac:dyDescent="0.3"/>
    <row r="44" spans="1:1" ht="0.9" customHeight="1" x14ac:dyDescent="0.3"/>
    <row r="45" spans="1:1" ht="12" customHeight="1" x14ac:dyDescent="0.3">
      <c r="A45" s="6" t="s">
        <v>59</v>
      </c>
    </row>
    <row r="46" spans="1:1" ht="12" customHeight="1" x14ac:dyDescent="0.3">
      <c r="A46" s="1" t="s">
        <v>60</v>
      </c>
    </row>
    <row r="47" spans="1:1" ht="15.9" customHeight="1" x14ac:dyDescent="0.3">
      <c r="A47" s="1" t="s">
        <v>61</v>
      </c>
    </row>
    <row r="48" spans="1:1" ht="15" customHeight="1" x14ac:dyDescent="0.3">
      <c r="A48" s="8" t="s">
        <v>62</v>
      </c>
    </row>
    <row r="49" spans="1:1" ht="0.9" customHeight="1" x14ac:dyDescent="0.3"/>
    <row r="50" spans="1:1" ht="15" customHeight="1" x14ac:dyDescent="0.3">
      <c r="A50" s="8" t="s">
        <v>63</v>
      </c>
    </row>
    <row r="51" spans="1:1" ht="0.9" customHeight="1" x14ac:dyDescent="0.3"/>
    <row r="52" spans="1:1" ht="15" customHeight="1" x14ac:dyDescent="0.3">
      <c r="A52" s="8" t="s">
        <v>64</v>
      </c>
    </row>
    <row r="53" spans="1:1" ht="0.9" customHeight="1" x14ac:dyDescent="0.3"/>
    <row r="54" spans="1:1" ht="15" customHeight="1" x14ac:dyDescent="0.3">
      <c r="A54" s="1" t="s">
        <v>65</v>
      </c>
    </row>
    <row r="55" spans="1:1" ht="15" customHeight="1" x14ac:dyDescent="0.3">
      <c r="A55" s="8" t="s">
        <v>66</v>
      </c>
    </row>
    <row r="56" spans="1:1" ht="15" customHeight="1" x14ac:dyDescent="0.3">
      <c r="A56" s="8" t="s">
        <v>67</v>
      </c>
    </row>
    <row r="57" spans="1:1" ht="15" customHeight="1" x14ac:dyDescent="0.3">
      <c r="A57" s="8" t="s">
        <v>68</v>
      </c>
    </row>
    <row r="58" spans="1:1" ht="0.9" customHeight="1" x14ac:dyDescent="0.3"/>
    <row r="59" spans="1:1" ht="60" customHeight="1" x14ac:dyDescent="0.3"/>
    <row r="60" spans="1:1" ht="15.9" customHeight="1" x14ac:dyDescent="0.3">
      <c r="A60" s="2" t="s">
        <v>69</v>
      </c>
    </row>
    <row r="61" spans="1:1" ht="15.9" customHeight="1" x14ac:dyDescent="0.3">
      <c r="A61" s="1" t="s">
        <v>70</v>
      </c>
    </row>
    <row r="62" spans="1:1" ht="15.9" customHeight="1" x14ac:dyDescent="0.3">
      <c r="A62" s="1" t="s">
        <v>71</v>
      </c>
    </row>
    <row r="63" spans="1:1" ht="15.9" customHeight="1" x14ac:dyDescent="0.3">
      <c r="A63" s="2" t="s">
        <v>72</v>
      </c>
    </row>
    <row r="64" spans="1:1" ht="15.9" customHeight="1" x14ac:dyDescent="0.3">
      <c r="A64" s="2" t="s">
        <v>73</v>
      </c>
    </row>
    <row r="65" spans="1:1" ht="12" customHeight="1" x14ac:dyDescent="0.3">
      <c r="A65" s="6" t="s">
        <v>74</v>
      </c>
    </row>
    <row r="66" spans="1:1" ht="12" customHeight="1" x14ac:dyDescent="0.3">
      <c r="A66" s="6" t="s">
        <v>75</v>
      </c>
    </row>
    <row r="67" spans="1:1" ht="15.9" customHeight="1" x14ac:dyDescent="0.3">
      <c r="A67" s="2" t="s">
        <v>76</v>
      </c>
    </row>
    <row r="68" spans="1:1" ht="15.9" customHeight="1" x14ac:dyDescent="0.3">
      <c r="A68" s="2" t="s">
        <v>40</v>
      </c>
    </row>
    <row r="69" spans="1:1" ht="15.9" customHeight="1" x14ac:dyDescent="0.3">
      <c r="A69" s="1" t="s">
        <v>77</v>
      </c>
    </row>
    <row r="70" spans="1:1" ht="321" customHeight="1" x14ac:dyDescent="0.3"/>
    <row r="71" spans="1:1" ht="15.9" customHeight="1" x14ac:dyDescent="0.3">
      <c r="A71" s="3" t="s">
        <v>30</v>
      </c>
    </row>
    <row r="72" spans="1:1" ht="15.9" customHeight="1" x14ac:dyDescent="0.3">
      <c r="A72" s="3" t="s">
        <v>31</v>
      </c>
    </row>
    <row r="73" spans="1:1" ht="15.9" customHeight="1" x14ac:dyDescent="0.3">
      <c r="A73" s="3" t="s">
        <v>78</v>
      </c>
    </row>
    <row r="74" spans="1:1" ht="15.9" customHeight="1" x14ac:dyDescent="0.3">
      <c r="A74" s="10" t="s">
        <v>79</v>
      </c>
    </row>
    <row r="75" spans="1:1" ht="21" customHeight="1" x14ac:dyDescent="0.3">
      <c r="A75" s="11" t="s">
        <v>80</v>
      </c>
    </row>
    <row r="76" spans="1:1" ht="17.100000000000001" customHeight="1" x14ac:dyDescent="0.3">
      <c r="A76" s="7" t="s">
        <v>37</v>
      </c>
    </row>
    <row r="77" spans="1:1" ht="17.100000000000001" customHeight="1" x14ac:dyDescent="0.3">
      <c r="A77" s="7" t="s">
        <v>37</v>
      </c>
    </row>
    <row r="78" spans="1:1" ht="15.9" customHeight="1" x14ac:dyDescent="0.3">
      <c r="A78" s="2" t="s">
        <v>40</v>
      </c>
    </row>
    <row r="79" spans="1:1" ht="15.9" customHeight="1" x14ac:dyDescent="0.3">
      <c r="A79" s="2" t="s">
        <v>81</v>
      </c>
    </row>
    <row r="80" spans="1:1" ht="15.9" customHeight="1" x14ac:dyDescent="0.3">
      <c r="A80" s="1" t="s">
        <v>82</v>
      </c>
    </row>
    <row r="81" spans="1:1" ht="17.100000000000001" customHeight="1" x14ac:dyDescent="0.3">
      <c r="A81" s="1" t="s">
        <v>83</v>
      </c>
    </row>
    <row r="82" spans="1:1" ht="15.9" customHeight="1" x14ac:dyDescent="0.3">
      <c r="A82" s="2" t="s">
        <v>84</v>
      </c>
    </row>
    <row r="83" spans="1:1" ht="17.100000000000001" customHeight="1" x14ac:dyDescent="0.3">
      <c r="A83" s="1" t="s">
        <v>85</v>
      </c>
    </row>
    <row r="84" spans="1:1" ht="15.9" customHeight="1" x14ac:dyDescent="0.3">
      <c r="A84" s="2" t="s">
        <v>86</v>
      </c>
    </row>
    <row r="85" spans="1:1" ht="17.100000000000001" customHeight="1" x14ac:dyDescent="0.3">
      <c r="A85" s="1" t="s">
        <v>87</v>
      </c>
    </row>
    <row r="86" spans="1:1" ht="9.9" customHeight="1" x14ac:dyDescent="0.3">
      <c r="A86" s="1" t="s">
        <v>88</v>
      </c>
    </row>
    <row r="87" spans="1:1" ht="6.9" customHeight="1" x14ac:dyDescent="0.3">
      <c r="A87" s="12" t="s">
        <v>89</v>
      </c>
    </row>
    <row r="88" spans="1:1" ht="0.9" customHeight="1" x14ac:dyDescent="0.3"/>
    <row r="89" spans="1:1" ht="12" customHeight="1" x14ac:dyDescent="0.3">
      <c r="A89" s="6" t="s">
        <v>90</v>
      </c>
    </row>
    <row r="90" spans="1:1" ht="12.9" customHeight="1" x14ac:dyDescent="0.3">
      <c r="A90" s="1" t="s">
        <v>91</v>
      </c>
    </row>
    <row r="91" spans="1:1" ht="12" customHeight="1" x14ac:dyDescent="0.3">
      <c r="A91" s="6" t="s">
        <v>92</v>
      </c>
    </row>
    <row r="92" spans="1:1" ht="366.9" customHeight="1" x14ac:dyDescent="0.3"/>
    <row r="93" spans="1:1" ht="17.100000000000001" customHeight="1" x14ac:dyDescent="0.3">
      <c r="A93" s="1" t="s">
        <v>93</v>
      </c>
    </row>
    <row r="94" spans="1:1" ht="15.9" customHeight="1" x14ac:dyDescent="0.3">
      <c r="A94" s="1" t="s">
        <v>94</v>
      </c>
    </row>
    <row r="95" spans="1:1" ht="15.9" customHeight="1" x14ac:dyDescent="0.3">
      <c r="A95" s="2" t="s">
        <v>95</v>
      </c>
    </row>
    <row r="96" spans="1:1" ht="69" customHeight="1" x14ac:dyDescent="0.3"/>
    <row r="97" spans="1:1" ht="15.9" customHeight="1" x14ac:dyDescent="0.3">
      <c r="A97" s="13" t="s">
        <v>96</v>
      </c>
    </row>
    <row r="98" spans="1:1" ht="15.9" customHeight="1" x14ac:dyDescent="0.3">
      <c r="A98" s="14" t="s">
        <v>97</v>
      </c>
    </row>
    <row r="99" spans="1:1" ht="15.9" customHeight="1" x14ac:dyDescent="0.3">
      <c r="A99" s="2" t="s">
        <v>98</v>
      </c>
    </row>
    <row r="100" spans="1:1" ht="15.9" customHeight="1" x14ac:dyDescent="0.3">
      <c r="A100" s="1" t="s">
        <v>99</v>
      </c>
    </row>
    <row r="101" spans="1:1" ht="15.9" customHeight="1" x14ac:dyDescent="0.3">
      <c r="A101" s="2" t="s">
        <v>100</v>
      </c>
    </row>
    <row r="102" spans="1:1" ht="15" customHeight="1" x14ac:dyDescent="0.3">
      <c r="A102" s="15" t="s">
        <v>101</v>
      </c>
    </row>
    <row r="103" spans="1:1" ht="11.1" customHeight="1" x14ac:dyDescent="0.3">
      <c r="A103" s="1" t="s">
        <v>102</v>
      </c>
    </row>
    <row r="104" spans="1:1" ht="6.9" customHeight="1" x14ac:dyDescent="0.3">
      <c r="A104" s="16" t="s">
        <v>103</v>
      </c>
    </row>
    <row r="105" spans="1:1" ht="0.9" customHeight="1" x14ac:dyDescent="0.3"/>
    <row r="106" spans="1:1" ht="14.1" customHeight="1" x14ac:dyDescent="0.3">
      <c r="A106" s="9" t="s">
        <v>104</v>
      </c>
    </row>
    <row r="107" spans="1:1" ht="14.1" customHeight="1" x14ac:dyDescent="0.3">
      <c r="A107" s="1" t="s">
        <v>105</v>
      </c>
    </row>
    <row r="108" spans="1:1" ht="15" customHeight="1" x14ac:dyDescent="0.3">
      <c r="A108" s="1" t="s">
        <v>106</v>
      </c>
    </row>
    <row r="109" spans="1:1" ht="15" customHeight="1" x14ac:dyDescent="0.3">
      <c r="A109" s="1" t="s">
        <v>107</v>
      </c>
    </row>
    <row r="110" spans="1:1" ht="17.100000000000001" customHeight="1" x14ac:dyDescent="0.3">
      <c r="A110" s="17" t="s">
        <v>108</v>
      </c>
    </row>
    <row r="111" spans="1:1" ht="15" customHeight="1" x14ac:dyDescent="0.3">
      <c r="A111" s="8" t="s">
        <v>109</v>
      </c>
    </row>
    <row r="112" spans="1:1" ht="15" customHeight="1" x14ac:dyDescent="0.3">
      <c r="A112" s="8" t="s">
        <v>110</v>
      </c>
    </row>
    <row r="113" spans="1:1" ht="15.9" customHeight="1" x14ac:dyDescent="0.3">
      <c r="A113" s="18" t="s">
        <v>111</v>
      </c>
    </row>
    <row r="114" spans="1:1" ht="15" customHeight="1" x14ac:dyDescent="0.3">
      <c r="A114" s="8" t="s">
        <v>112</v>
      </c>
    </row>
    <row r="115" spans="1:1" ht="15.9" customHeight="1" x14ac:dyDescent="0.3">
      <c r="A115" s="1" t="s">
        <v>113</v>
      </c>
    </row>
    <row r="116" spans="1:1" ht="15" customHeight="1" x14ac:dyDescent="0.3">
      <c r="A116" s="8" t="s">
        <v>114</v>
      </c>
    </row>
    <row r="117" spans="1:1" ht="15.9" customHeight="1" x14ac:dyDescent="0.3">
      <c r="A117" s="1" t="s">
        <v>115</v>
      </c>
    </row>
    <row r="118" spans="1:1" ht="15" customHeight="1" x14ac:dyDescent="0.3">
      <c r="A118" s="8" t="s">
        <v>116</v>
      </c>
    </row>
    <row r="119" spans="1:1" ht="15.9" customHeight="1" x14ac:dyDescent="0.3">
      <c r="A119" s="17" t="s">
        <v>117</v>
      </c>
    </row>
    <row r="120" spans="1:1" ht="15.9" customHeight="1" x14ac:dyDescent="0.3">
      <c r="A120" s="17" t="s">
        <v>118</v>
      </c>
    </row>
    <row r="121" spans="1:1" ht="15.9" customHeight="1" x14ac:dyDescent="0.3">
      <c r="A121" s="1" t="s">
        <v>119</v>
      </c>
    </row>
    <row r="122" spans="1:1" ht="15" customHeight="1" x14ac:dyDescent="0.3">
      <c r="A122" s="8" t="s">
        <v>120</v>
      </c>
    </row>
    <row r="123" spans="1:1" ht="15.9" customHeight="1" x14ac:dyDescent="0.3">
      <c r="A123" s="1" t="s">
        <v>121</v>
      </c>
    </row>
    <row r="124" spans="1:1" ht="15" customHeight="1" x14ac:dyDescent="0.3">
      <c r="A124" s="8" t="s">
        <v>122</v>
      </c>
    </row>
    <row r="125" spans="1:1" ht="15" customHeight="1" x14ac:dyDescent="0.3">
      <c r="A125" s="8" t="s">
        <v>123</v>
      </c>
    </row>
    <row r="126" spans="1:1" ht="15.9" customHeight="1" x14ac:dyDescent="0.3">
      <c r="A126" s="17" t="s">
        <v>124</v>
      </c>
    </row>
    <row r="127" spans="1:1" ht="15" customHeight="1" x14ac:dyDescent="0.3">
      <c r="A127" s="8" t="s">
        <v>125</v>
      </c>
    </row>
    <row r="128" spans="1:1" ht="15" customHeight="1" x14ac:dyDescent="0.3">
      <c r="A128" s="8" t="s">
        <v>126</v>
      </c>
    </row>
    <row r="129" spans="1:1" ht="17.100000000000001" customHeight="1" x14ac:dyDescent="0.3">
      <c r="A129" s="1" t="s">
        <v>127</v>
      </c>
    </row>
    <row r="130" spans="1:1" ht="15" customHeight="1" x14ac:dyDescent="0.3">
      <c r="A130" s="8" t="s">
        <v>128</v>
      </c>
    </row>
    <row r="131" spans="1:1" ht="15" customHeight="1" x14ac:dyDescent="0.3">
      <c r="A131" s="8" t="s">
        <v>129</v>
      </c>
    </row>
    <row r="132" spans="1:1" ht="15" customHeight="1" x14ac:dyDescent="0.3">
      <c r="A132" s="8" t="s">
        <v>130</v>
      </c>
    </row>
    <row r="133" spans="1:1" ht="15" customHeight="1" x14ac:dyDescent="0.3">
      <c r="A133" s="8" t="s">
        <v>131</v>
      </c>
    </row>
    <row r="134" spans="1:1" ht="15.9" customHeight="1" x14ac:dyDescent="0.3">
      <c r="A134" s="1" t="s">
        <v>132</v>
      </c>
    </row>
    <row r="135" spans="1:1" ht="15" customHeight="1" x14ac:dyDescent="0.3">
      <c r="A135" s="8" t="s">
        <v>133</v>
      </c>
    </row>
    <row r="136" spans="1:1" ht="15" customHeight="1" x14ac:dyDescent="0.3">
      <c r="A136" s="8" t="s">
        <v>134</v>
      </c>
    </row>
    <row r="137" spans="1:1" ht="15" customHeight="1" x14ac:dyDescent="0.3">
      <c r="A137" s="8" t="s">
        <v>135</v>
      </c>
    </row>
    <row r="138" spans="1:1" ht="15" customHeight="1" x14ac:dyDescent="0.3">
      <c r="A138" s="8" t="s">
        <v>136</v>
      </c>
    </row>
    <row r="139" spans="1:1" ht="15" customHeight="1" x14ac:dyDescent="0.3">
      <c r="A139" s="8" t="s">
        <v>137</v>
      </c>
    </row>
    <row r="140" spans="1:1" ht="15" customHeight="1" x14ac:dyDescent="0.3">
      <c r="A140" s="8" t="s">
        <v>138</v>
      </c>
    </row>
    <row r="141" spans="1:1" ht="15" customHeight="1" x14ac:dyDescent="0.3">
      <c r="A141" s="8" t="s">
        <v>139</v>
      </c>
    </row>
    <row r="142" spans="1:1" ht="15" customHeight="1" x14ac:dyDescent="0.3">
      <c r="A142" s="8" t="s">
        <v>140</v>
      </c>
    </row>
    <row r="143" spans="1:1" ht="15" customHeight="1" x14ac:dyDescent="0.3">
      <c r="A143" s="19" t="s">
        <v>12</v>
      </c>
    </row>
    <row r="144" spans="1:1" ht="15" customHeight="1" x14ac:dyDescent="0.3">
      <c r="A144" s="8" t="s">
        <v>141</v>
      </c>
    </row>
    <row r="145" spans="1:1" ht="15" customHeight="1" x14ac:dyDescent="0.3">
      <c r="A145" s="8" t="s">
        <v>142</v>
      </c>
    </row>
    <row r="146" spans="1:1" ht="15" customHeight="1" x14ac:dyDescent="0.3">
      <c r="A146" s="8" t="s">
        <v>143</v>
      </c>
    </row>
    <row r="147" spans="1:1" ht="15" customHeight="1" x14ac:dyDescent="0.3">
      <c r="A147" s="8" t="s">
        <v>137</v>
      </c>
    </row>
    <row r="148" spans="1:1" ht="17.100000000000001" customHeight="1" x14ac:dyDescent="0.3">
      <c r="A148" s="1" t="s">
        <v>144</v>
      </c>
    </row>
    <row r="149" spans="1:1" ht="17.100000000000001" customHeight="1" x14ac:dyDescent="0.3">
      <c r="A149" s="1" t="s">
        <v>145</v>
      </c>
    </row>
    <row r="150" spans="1:1" ht="15" customHeight="1" x14ac:dyDescent="0.3">
      <c r="A150" s="8" t="s">
        <v>146</v>
      </c>
    </row>
    <row r="151" spans="1:1" ht="15.9" customHeight="1" x14ac:dyDescent="0.3">
      <c r="A151" s="22" t="s">
        <v>147</v>
      </c>
    </row>
    <row r="152" spans="1:1" ht="15.9" customHeight="1" x14ac:dyDescent="0.3">
      <c r="A152" s="17" t="s">
        <v>148</v>
      </c>
    </row>
    <row r="153" spans="1:1" ht="15" customHeight="1" x14ac:dyDescent="0.3">
      <c r="A153" s="19" t="s">
        <v>416</v>
      </c>
    </row>
    <row r="154" spans="1:1" ht="9" customHeight="1" x14ac:dyDescent="0.3">
      <c r="A154" s="1" t="s">
        <v>150</v>
      </c>
    </row>
    <row r="155" spans="1:1" ht="6.9" customHeight="1" x14ac:dyDescent="0.3">
      <c r="A155" s="12" t="s">
        <v>151</v>
      </c>
    </row>
    <row r="156" spans="1:1" ht="0.9" customHeight="1" x14ac:dyDescent="0.3"/>
    <row r="157" spans="1:1" ht="14.1" customHeight="1" x14ac:dyDescent="0.3">
      <c r="A157" s="9" t="s">
        <v>104</v>
      </c>
    </row>
    <row r="158" spans="1:1" ht="14.1" customHeight="1" x14ac:dyDescent="0.3">
      <c r="A158" s="1" t="s">
        <v>105</v>
      </c>
    </row>
    <row r="159" spans="1:1" ht="15.9" customHeight="1" x14ac:dyDescent="0.3">
      <c r="A159" s="1" t="s">
        <v>152</v>
      </c>
    </row>
    <row r="160" spans="1:1" ht="15" customHeight="1" x14ac:dyDescent="0.3">
      <c r="A160" s="8" t="s">
        <v>153</v>
      </c>
    </row>
    <row r="161" spans="1:1" ht="15" customHeight="1" x14ac:dyDescent="0.3">
      <c r="A161" s="8" t="s">
        <v>154</v>
      </c>
    </row>
    <row r="162" spans="1:1" ht="15.9" customHeight="1" x14ac:dyDescent="0.3">
      <c r="A162" s="1" t="s">
        <v>155</v>
      </c>
    </row>
    <row r="163" spans="1:1" ht="15" customHeight="1" x14ac:dyDescent="0.3">
      <c r="A163" s="8" t="s">
        <v>133</v>
      </c>
    </row>
    <row r="164" spans="1:1" ht="15" customHeight="1" x14ac:dyDescent="0.3">
      <c r="A164" s="8" t="s">
        <v>156</v>
      </c>
    </row>
    <row r="165" spans="1:1" ht="15" customHeight="1" x14ac:dyDescent="0.3">
      <c r="A165" s="8" t="s">
        <v>157</v>
      </c>
    </row>
    <row r="166" spans="1:1" ht="15" customHeight="1" x14ac:dyDescent="0.3">
      <c r="A166" s="8" t="s">
        <v>158</v>
      </c>
    </row>
    <row r="167" spans="1:1" ht="15" customHeight="1" x14ac:dyDescent="0.3">
      <c r="A167" s="8" t="s">
        <v>137</v>
      </c>
    </row>
    <row r="168" spans="1:1" ht="15" customHeight="1" x14ac:dyDescent="0.3">
      <c r="A168" s="19" t="s">
        <v>179</v>
      </c>
    </row>
    <row r="169" spans="1:1" ht="15.9" customHeight="1" x14ac:dyDescent="0.3">
      <c r="A169" s="1" t="s">
        <v>160</v>
      </c>
    </row>
    <row r="170" spans="1:1" ht="15" customHeight="1" x14ac:dyDescent="0.3">
      <c r="A170" s="8" t="s">
        <v>161</v>
      </c>
    </row>
    <row r="171" spans="1:1" ht="15" customHeight="1" x14ac:dyDescent="0.3">
      <c r="A171" s="8" t="s">
        <v>162</v>
      </c>
    </row>
    <row r="172" spans="1:1" ht="15" customHeight="1" x14ac:dyDescent="0.3">
      <c r="A172" s="8" t="s">
        <v>163</v>
      </c>
    </row>
    <row r="173" spans="1:1" ht="15" customHeight="1" x14ac:dyDescent="0.3">
      <c r="A173" s="8" t="s">
        <v>164</v>
      </c>
    </row>
    <row r="174" spans="1:1" ht="15" customHeight="1" x14ac:dyDescent="0.3">
      <c r="A174" s="8" t="s">
        <v>165</v>
      </c>
    </row>
    <row r="175" spans="1:1" ht="15" customHeight="1" x14ac:dyDescent="0.3">
      <c r="A175" s="8" t="s">
        <v>166</v>
      </c>
    </row>
    <row r="176" spans="1:1" ht="15" customHeight="1" x14ac:dyDescent="0.3">
      <c r="A176" s="8" t="s">
        <v>167</v>
      </c>
    </row>
    <row r="177" spans="1:1" ht="15" customHeight="1" x14ac:dyDescent="0.3">
      <c r="A177" s="8" t="s">
        <v>168</v>
      </c>
    </row>
    <row r="178" spans="1:1" ht="15" customHeight="1" x14ac:dyDescent="0.3">
      <c r="A178" s="8" t="s">
        <v>169</v>
      </c>
    </row>
    <row r="179" spans="1:1" ht="15" customHeight="1" x14ac:dyDescent="0.3">
      <c r="A179" s="8" t="s">
        <v>170</v>
      </c>
    </row>
    <row r="180" spans="1:1" ht="15" customHeight="1" x14ac:dyDescent="0.3">
      <c r="A180" s="8" t="s">
        <v>171</v>
      </c>
    </row>
    <row r="181" spans="1:1" ht="15" customHeight="1" x14ac:dyDescent="0.3">
      <c r="A181" s="8" t="s">
        <v>172</v>
      </c>
    </row>
    <row r="182" spans="1:1" ht="15.9" customHeight="1" x14ac:dyDescent="0.3">
      <c r="A182" s="1" t="s">
        <v>173</v>
      </c>
    </row>
    <row r="183" spans="1:1" ht="15" customHeight="1" x14ac:dyDescent="0.3">
      <c r="A183" s="8" t="s">
        <v>174</v>
      </c>
    </row>
    <row r="184" spans="1:1" ht="15" customHeight="1" x14ac:dyDescent="0.3">
      <c r="A184" s="8" t="s">
        <v>140</v>
      </c>
    </row>
    <row r="185" spans="1:1" ht="15.9" customHeight="1" x14ac:dyDescent="0.3">
      <c r="A185" s="18" t="s">
        <v>175</v>
      </c>
    </row>
    <row r="186" spans="1:1" ht="15" customHeight="1" x14ac:dyDescent="0.3">
      <c r="A186" s="8" t="s">
        <v>176</v>
      </c>
    </row>
    <row r="187" spans="1:1" ht="15" customHeight="1" x14ac:dyDescent="0.3">
      <c r="A187" s="8" t="s">
        <v>157</v>
      </c>
    </row>
    <row r="188" spans="1:1" ht="15" customHeight="1" x14ac:dyDescent="0.3">
      <c r="A188" s="8" t="s">
        <v>177</v>
      </c>
    </row>
    <row r="189" spans="1:1" ht="15" customHeight="1" x14ac:dyDescent="0.3">
      <c r="A189" s="1" t="s">
        <v>178</v>
      </c>
    </row>
    <row r="190" spans="1:1" ht="15" customHeight="1" x14ac:dyDescent="0.3">
      <c r="A190" s="19" t="s">
        <v>179</v>
      </c>
    </row>
    <row r="191" spans="1:1" ht="15" customHeight="1" x14ac:dyDescent="0.3">
      <c r="A191" s="8" t="s">
        <v>180</v>
      </c>
    </row>
    <row r="192" spans="1:1" ht="15" customHeight="1" x14ac:dyDescent="0.3">
      <c r="A192" s="19" t="s">
        <v>181</v>
      </c>
    </row>
    <row r="193" spans="1:1" ht="15" customHeight="1" x14ac:dyDescent="0.3">
      <c r="A193" s="8" t="s">
        <v>182</v>
      </c>
    </row>
    <row r="194" spans="1:1" ht="15" customHeight="1" x14ac:dyDescent="0.3">
      <c r="A194" s="19" t="s">
        <v>183</v>
      </c>
    </row>
    <row r="195" spans="1:1" ht="15" customHeight="1" x14ac:dyDescent="0.3">
      <c r="A195" s="19" t="s">
        <v>15</v>
      </c>
    </row>
    <row r="196" spans="1:1" ht="15.9" customHeight="1" x14ac:dyDescent="0.3">
      <c r="A196" s="1" t="s">
        <v>184</v>
      </c>
    </row>
    <row r="197" spans="1:1" ht="15" customHeight="1" x14ac:dyDescent="0.3">
      <c r="A197" s="8" t="s">
        <v>185</v>
      </c>
    </row>
    <row r="198" spans="1:1" ht="15" customHeight="1" x14ac:dyDescent="0.3">
      <c r="A198" s="8" t="s">
        <v>186</v>
      </c>
    </row>
    <row r="199" spans="1:1" ht="15" customHeight="1" x14ac:dyDescent="0.3">
      <c r="A199" s="1" t="s">
        <v>187</v>
      </c>
    </row>
    <row r="200" spans="1:1" ht="15" customHeight="1" x14ac:dyDescent="0.3">
      <c r="A200" s="1" t="s">
        <v>188</v>
      </c>
    </row>
    <row r="201" spans="1:1" ht="15" customHeight="1" x14ac:dyDescent="0.3">
      <c r="A201" s="19" t="s">
        <v>14</v>
      </c>
    </row>
    <row r="202" spans="1:1" ht="11.1" customHeight="1" x14ac:dyDescent="0.3">
      <c r="A202" s="20" t="s">
        <v>189</v>
      </c>
    </row>
    <row r="203" spans="1:1" ht="8.1" customHeight="1" x14ac:dyDescent="0.3">
      <c r="A203" s="1" t="s">
        <v>190</v>
      </c>
    </row>
    <row r="204" spans="1:1" ht="0.9" customHeight="1" x14ac:dyDescent="0.3"/>
    <row r="205" spans="1:1" ht="15" customHeight="1" x14ac:dyDescent="0.3">
      <c r="A205" s="1" t="s">
        <v>191</v>
      </c>
    </row>
    <row r="206" spans="1:1" ht="15.9" customHeight="1" x14ac:dyDescent="0.3">
      <c r="A206" s="1" t="s">
        <v>192</v>
      </c>
    </row>
    <row r="207" spans="1:1" ht="15.9" customHeight="1" x14ac:dyDescent="0.3">
      <c r="A207" s="1" t="s">
        <v>193</v>
      </c>
    </row>
    <row r="208" spans="1:1" ht="15" customHeight="1" x14ac:dyDescent="0.3">
      <c r="A208" s="19" t="s">
        <v>194</v>
      </c>
    </row>
    <row r="209" spans="1:1" ht="15.9" customHeight="1" x14ac:dyDescent="0.3">
      <c r="A209" s="17" t="s">
        <v>195</v>
      </c>
    </row>
    <row r="210" spans="1:1" ht="15.9" customHeight="1" x14ac:dyDescent="0.3">
      <c r="A210" s="1" t="s">
        <v>196</v>
      </c>
    </row>
    <row r="211" spans="1:1" ht="15.9" customHeight="1" x14ac:dyDescent="0.3">
      <c r="A211" s="1" t="s">
        <v>197</v>
      </c>
    </row>
    <row r="212" spans="1:1" ht="15.9" customHeight="1" x14ac:dyDescent="0.3">
      <c r="A212" s="1" t="s">
        <v>198</v>
      </c>
    </row>
    <row r="213" spans="1:1" ht="15.9" customHeight="1" x14ac:dyDescent="0.3">
      <c r="A213" s="1" t="s">
        <v>199</v>
      </c>
    </row>
    <row r="214" spans="1:1" ht="15" customHeight="1" x14ac:dyDescent="0.3">
      <c r="A214" s="8" t="s">
        <v>200</v>
      </c>
    </row>
    <row r="215" spans="1:1" ht="15.9" customHeight="1" x14ac:dyDescent="0.3">
      <c r="A215" s="1" t="s">
        <v>201</v>
      </c>
    </row>
    <row r="216" spans="1:1" ht="15" customHeight="1" x14ac:dyDescent="0.3">
      <c r="A216" s="8" t="s">
        <v>116</v>
      </c>
    </row>
    <row r="217" spans="1:1" ht="15.9" customHeight="1" x14ac:dyDescent="0.3">
      <c r="A217" s="1" t="s">
        <v>202</v>
      </c>
    </row>
    <row r="218" spans="1:1" ht="15.9" customHeight="1" x14ac:dyDescent="0.3">
      <c r="A218" s="1" t="s">
        <v>203</v>
      </c>
    </row>
    <row r="219" spans="1:1" ht="15.9" customHeight="1" x14ac:dyDescent="0.3">
      <c r="A219" s="1" t="s">
        <v>204</v>
      </c>
    </row>
    <row r="220" spans="1:1" ht="15.9" customHeight="1" x14ac:dyDescent="0.3">
      <c r="A220" s="21" t="s">
        <v>205</v>
      </c>
    </row>
    <row r="221" spans="1:1" ht="15" customHeight="1" x14ac:dyDescent="0.3">
      <c r="A221" s="8" t="s">
        <v>206</v>
      </c>
    </row>
    <row r="222" spans="1:1" ht="15.9" customHeight="1" x14ac:dyDescent="0.3">
      <c r="A222" s="1" t="s">
        <v>207</v>
      </c>
    </row>
    <row r="223" spans="1:1" ht="15.9" customHeight="1" x14ac:dyDescent="0.3">
      <c r="A223" s="21" t="s">
        <v>208</v>
      </c>
    </row>
    <row r="224" spans="1:1" ht="15" customHeight="1" x14ac:dyDescent="0.3">
      <c r="A224" s="8" t="s">
        <v>209</v>
      </c>
    </row>
    <row r="225" spans="1:1" ht="15" customHeight="1" x14ac:dyDescent="0.3">
      <c r="A225" s="8" t="s">
        <v>210</v>
      </c>
    </row>
    <row r="226" spans="1:1" ht="15.9" customHeight="1" x14ac:dyDescent="0.3">
      <c r="A226" s="17" t="s">
        <v>211</v>
      </c>
    </row>
    <row r="227" spans="1:1" ht="15" customHeight="1" x14ac:dyDescent="0.3">
      <c r="A227" s="8" t="s">
        <v>212</v>
      </c>
    </row>
    <row r="228" spans="1:1" ht="15.9" customHeight="1" x14ac:dyDescent="0.3">
      <c r="A228" s="1" t="s">
        <v>213</v>
      </c>
    </row>
    <row r="229" spans="1:1" ht="15.9" customHeight="1" x14ac:dyDescent="0.3">
      <c r="A229" s="1" t="s">
        <v>214</v>
      </c>
    </row>
    <row r="230" spans="1:1" ht="15.9" customHeight="1" x14ac:dyDescent="0.3">
      <c r="A230" s="1" t="s">
        <v>215</v>
      </c>
    </row>
    <row r="231" spans="1:1" ht="15.9" customHeight="1" x14ac:dyDescent="0.3">
      <c r="A231" s="1" t="s">
        <v>216</v>
      </c>
    </row>
    <row r="232" spans="1:1" ht="17.100000000000001" customHeight="1" x14ac:dyDescent="0.3">
      <c r="A232" s="1" t="s">
        <v>217</v>
      </c>
    </row>
    <row r="233" spans="1:1" ht="15" customHeight="1" x14ac:dyDescent="0.3">
      <c r="A233" s="1" t="s">
        <v>218</v>
      </c>
    </row>
    <row r="234" spans="1:1" ht="15" customHeight="1" x14ac:dyDescent="0.3">
      <c r="A234" s="8" t="s">
        <v>219</v>
      </c>
    </row>
    <row r="235" spans="1:1" ht="15" customHeight="1" x14ac:dyDescent="0.3">
      <c r="A235" s="1" t="s">
        <v>220</v>
      </c>
    </row>
    <row r="236" spans="1:1" ht="15" customHeight="1" x14ac:dyDescent="0.3">
      <c r="A236" s="8" t="s">
        <v>221</v>
      </c>
    </row>
    <row r="237" spans="1:1" ht="15" customHeight="1" x14ac:dyDescent="0.3">
      <c r="A237" s="8" t="s">
        <v>222</v>
      </c>
    </row>
    <row r="238" spans="1:1" ht="15.9" customHeight="1" x14ac:dyDescent="0.3">
      <c r="A238" s="1" t="s">
        <v>223</v>
      </c>
    </row>
    <row r="239" spans="1:1" ht="17.100000000000001" customHeight="1" x14ac:dyDescent="0.3">
      <c r="A239" s="1" t="s">
        <v>224</v>
      </c>
    </row>
    <row r="240" spans="1:1" ht="15.9" customHeight="1" x14ac:dyDescent="0.3">
      <c r="A240" s="1" t="s">
        <v>225</v>
      </c>
    </row>
    <row r="241" spans="1:1" ht="15.9" customHeight="1" x14ac:dyDescent="0.3">
      <c r="A241" s="1" t="s">
        <v>226</v>
      </c>
    </row>
    <row r="242" spans="1:1" ht="15" customHeight="1" x14ac:dyDescent="0.3">
      <c r="A242" s="1" t="s">
        <v>227</v>
      </c>
    </row>
    <row r="243" spans="1:1" ht="15" customHeight="1" x14ac:dyDescent="0.3">
      <c r="A243" s="8" t="s">
        <v>228</v>
      </c>
    </row>
    <row r="244" spans="1:1" ht="15" customHeight="1" x14ac:dyDescent="0.3">
      <c r="A244" s="8" t="s">
        <v>229</v>
      </c>
    </row>
    <row r="245" spans="1:1" ht="15" customHeight="1" x14ac:dyDescent="0.3">
      <c r="A245" s="8" t="s">
        <v>230</v>
      </c>
    </row>
    <row r="246" spans="1:1" ht="15" customHeight="1" x14ac:dyDescent="0.3">
      <c r="A246" s="8" t="s">
        <v>231</v>
      </c>
    </row>
    <row r="247" spans="1:1" ht="15" customHeight="1" x14ac:dyDescent="0.3">
      <c r="A247" s="8" t="s">
        <v>232</v>
      </c>
    </row>
    <row r="248" spans="1:1" ht="15" customHeight="1" x14ac:dyDescent="0.3">
      <c r="A248" s="1" t="s">
        <v>233</v>
      </c>
    </row>
    <row r="249" spans="1:1" ht="15" customHeight="1" x14ac:dyDescent="0.3">
      <c r="A249" s="8" t="s">
        <v>234</v>
      </c>
    </row>
    <row r="250" spans="1:1" ht="9.9" customHeight="1" x14ac:dyDescent="0.3">
      <c r="A250" s="1" t="s">
        <v>235</v>
      </c>
    </row>
    <row r="251" spans="1:1" ht="6.9" customHeight="1" x14ac:dyDescent="0.3">
      <c r="A251" s="12" t="s">
        <v>236</v>
      </c>
    </row>
    <row r="252" spans="1:1" ht="14.1" customHeight="1" x14ac:dyDescent="0.3"/>
    <row r="253" spans="1:1" ht="14.1" customHeight="1" x14ac:dyDescent="0.3">
      <c r="A253" s="1" t="s">
        <v>237</v>
      </c>
    </row>
    <row r="254" spans="1:1" ht="15" customHeight="1" x14ac:dyDescent="0.3">
      <c r="A254" s="19" t="s">
        <v>238</v>
      </c>
    </row>
    <row r="255" spans="1:1" ht="15" customHeight="1" x14ac:dyDescent="0.3">
      <c r="A255" s="8" t="s">
        <v>239</v>
      </c>
    </row>
    <row r="256" spans="1:1" ht="17.100000000000001" customHeight="1" x14ac:dyDescent="0.3">
      <c r="A256" s="1" t="s">
        <v>240</v>
      </c>
    </row>
    <row r="257" spans="1:1" ht="15" customHeight="1" x14ac:dyDescent="0.3">
      <c r="A257" s="8" t="s">
        <v>232</v>
      </c>
    </row>
    <row r="258" spans="1:1" ht="15" customHeight="1" x14ac:dyDescent="0.3">
      <c r="A258" s="1" t="s">
        <v>241</v>
      </c>
    </row>
    <row r="259" spans="1:1" ht="15" customHeight="1" x14ac:dyDescent="0.3">
      <c r="A259" s="8" t="s">
        <v>231</v>
      </c>
    </row>
    <row r="260" spans="1:1" ht="15" customHeight="1" x14ac:dyDescent="0.3">
      <c r="A260" s="8" t="s">
        <v>232</v>
      </c>
    </row>
    <row r="261" spans="1:1" ht="15" customHeight="1" x14ac:dyDescent="0.3">
      <c r="A261" s="8" t="s">
        <v>242</v>
      </c>
    </row>
    <row r="262" spans="1:1" ht="15" customHeight="1" x14ac:dyDescent="0.3">
      <c r="A262" s="8" t="s">
        <v>231</v>
      </c>
    </row>
    <row r="263" spans="1:1" ht="15" customHeight="1" x14ac:dyDescent="0.3">
      <c r="A263" s="8" t="s">
        <v>232</v>
      </c>
    </row>
    <row r="264" spans="1:1" ht="15" customHeight="1" x14ac:dyDescent="0.3">
      <c r="A264" s="8" t="s">
        <v>243</v>
      </c>
    </row>
    <row r="265" spans="1:1" ht="15" customHeight="1" x14ac:dyDescent="0.3">
      <c r="A265" s="8" t="s">
        <v>244</v>
      </c>
    </row>
    <row r="266" spans="1:1" ht="15" customHeight="1" x14ac:dyDescent="0.3">
      <c r="A266" s="1" t="s">
        <v>245</v>
      </c>
    </row>
    <row r="267" spans="1:1" ht="15" customHeight="1" x14ac:dyDescent="0.3">
      <c r="A267" s="8" t="s">
        <v>131</v>
      </c>
    </row>
    <row r="268" spans="1:1" ht="15.9" customHeight="1" x14ac:dyDescent="0.3">
      <c r="A268" s="1" t="s">
        <v>132</v>
      </c>
    </row>
    <row r="269" spans="1:1" ht="15.9" customHeight="1" x14ac:dyDescent="0.3">
      <c r="A269" s="1" t="s">
        <v>175</v>
      </c>
    </row>
    <row r="270" spans="1:1" ht="15" customHeight="1" x14ac:dyDescent="0.3">
      <c r="A270" s="8" t="s">
        <v>246</v>
      </c>
    </row>
    <row r="271" spans="1:1" ht="15" customHeight="1" x14ac:dyDescent="0.3">
      <c r="A271" s="8" t="s">
        <v>247</v>
      </c>
    </row>
    <row r="272" spans="1:1" ht="15" customHeight="1" x14ac:dyDescent="0.3">
      <c r="A272" s="8" t="s">
        <v>248</v>
      </c>
    </row>
    <row r="273" spans="1:1" ht="15" customHeight="1" x14ac:dyDescent="0.3">
      <c r="A273" s="8" t="s">
        <v>249</v>
      </c>
    </row>
    <row r="274" spans="1:1" ht="15" customHeight="1" x14ac:dyDescent="0.3">
      <c r="A274" s="8" t="s">
        <v>250</v>
      </c>
    </row>
    <row r="275" spans="1:1" ht="15" customHeight="1" x14ac:dyDescent="0.3">
      <c r="A275" s="8" t="s">
        <v>251</v>
      </c>
    </row>
    <row r="276" spans="1:1" ht="15.9" customHeight="1" x14ac:dyDescent="0.3">
      <c r="A276" s="1" t="s">
        <v>252</v>
      </c>
    </row>
    <row r="277" spans="1:1" ht="15.9" customHeight="1" x14ac:dyDescent="0.3">
      <c r="A277" s="1" t="s">
        <v>253</v>
      </c>
    </row>
    <row r="278" spans="1:1" ht="15.9" customHeight="1" x14ac:dyDescent="0.3">
      <c r="A278" s="1" t="s">
        <v>254</v>
      </c>
    </row>
    <row r="279" spans="1:1" ht="15" customHeight="1" x14ac:dyDescent="0.3">
      <c r="A279" s="8" t="s">
        <v>232</v>
      </c>
    </row>
    <row r="280" spans="1:1" ht="15.9" customHeight="1" x14ac:dyDescent="0.3">
      <c r="A280" s="1" t="s">
        <v>255</v>
      </c>
    </row>
    <row r="281" spans="1:1" ht="15" customHeight="1" x14ac:dyDescent="0.3">
      <c r="A281" s="8" t="s">
        <v>210</v>
      </c>
    </row>
    <row r="282" spans="1:1" ht="15" customHeight="1" x14ac:dyDescent="0.3">
      <c r="A282" s="8" t="s">
        <v>256</v>
      </c>
    </row>
    <row r="283" spans="1:1" ht="15.9" customHeight="1" x14ac:dyDescent="0.3">
      <c r="A283" s="1" t="s">
        <v>257</v>
      </c>
    </row>
    <row r="284" spans="1:1" ht="15.9" customHeight="1" x14ac:dyDescent="0.3">
      <c r="A284" s="1" t="s">
        <v>258</v>
      </c>
    </row>
    <row r="285" spans="1:1" ht="17.100000000000001" customHeight="1" x14ac:dyDescent="0.3">
      <c r="A285" s="1" t="s">
        <v>259</v>
      </c>
    </row>
    <row r="286" spans="1:1" ht="15" customHeight="1" x14ac:dyDescent="0.3">
      <c r="A286" s="8" t="s">
        <v>244</v>
      </c>
    </row>
    <row r="287" spans="1:1" ht="15" customHeight="1" x14ac:dyDescent="0.3">
      <c r="A287" s="8" t="s">
        <v>260</v>
      </c>
    </row>
    <row r="288" spans="1:1" ht="15" customHeight="1" x14ac:dyDescent="0.3">
      <c r="A288" s="8" t="s">
        <v>261</v>
      </c>
    </row>
    <row r="289" spans="1:1" ht="15" customHeight="1" x14ac:dyDescent="0.3">
      <c r="A289" s="8" t="s">
        <v>262</v>
      </c>
    </row>
    <row r="290" spans="1:1" ht="15" customHeight="1" x14ac:dyDescent="0.3">
      <c r="A290" s="8" t="s">
        <v>263</v>
      </c>
    </row>
    <row r="291" spans="1:1" ht="15" customHeight="1" x14ac:dyDescent="0.3">
      <c r="A291" s="8" t="s">
        <v>231</v>
      </c>
    </row>
    <row r="292" spans="1:1" ht="15" customHeight="1" x14ac:dyDescent="0.3">
      <c r="A292" s="8" t="s">
        <v>232</v>
      </c>
    </row>
    <row r="293" spans="1:1" ht="15" customHeight="1" x14ac:dyDescent="0.3">
      <c r="A293" s="8" t="s">
        <v>264</v>
      </c>
    </row>
    <row r="294" spans="1:1" ht="15" customHeight="1" x14ac:dyDescent="0.3">
      <c r="A294" s="8" t="s">
        <v>265</v>
      </c>
    </row>
    <row r="295" spans="1:1" ht="15" customHeight="1" x14ac:dyDescent="0.3">
      <c r="A295" s="8" t="s">
        <v>266</v>
      </c>
    </row>
    <row r="296" spans="1:1" ht="15" customHeight="1" x14ac:dyDescent="0.3">
      <c r="A296" s="8" t="s">
        <v>267</v>
      </c>
    </row>
    <row r="297" spans="1:1" ht="15" customHeight="1" x14ac:dyDescent="0.3">
      <c r="A297" s="8" t="s">
        <v>268</v>
      </c>
    </row>
    <row r="298" spans="1:1" ht="15" customHeight="1" x14ac:dyDescent="0.3">
      <c r="A298" s="8" t="s">
        <v>239</v>
      </c>
    </row>
    <row r="299" spans="1:1" ht="15.9" customHeight="1" x14ac:dyDescent="0.3">
      <c r="A299" s="1" t="s">
        <v>207</v>
      </c>
    </row>
    <row r="300" spans="1:1" ht="15" customHeight="1" x14ac:dyDescent="0.3">
      <c r="A300" s="8" t="s">
        <v>232</v>
      </c>
    </row>
    <row r="301" spans="1:1" ht="15" customHeight="1" x14ac:dyDescent="0.3">
      <c r="A301" s="8" t="s">
        <v>269</v>
      </c>
    </row>
    <row r="302" spans="1:1" ht="15" customHeight="1" x14ac:dyDescent="0.3">
      <c r="A302" s="1" t="s">
        <v>270</v>
      </c>
    </row>
    <row r="303" spans="1:1" ht="15" customHeight="1" x14ac:dyDescent="0.3">
      <c r="A303" s="1" t="s">
        <v>271</v>
      </c>
    </row>
    <row r="304" spans="1:1" ht="14.1" customHeight="1" x14ac:dyDescent="0.3">
      <c r="A304" s="1" t="s">
        <v>237</v>
      </c>
    </row>
    <row r="305" spans="1:1" ht="15.9" customHeight="1" x14ac:dyDescent="0.3">
      <c r="A305" s="18" t="s">
        <v>272</v>
      </c>
    </row>
    <row r="306" spans="1:1" ht="15" customHeight="1" x14ac:dyDescent="0.3">
      <c r="A306" s="8" t="s">
        <v>273</v>
      </c>
    </row>
    <row r="307" spans="1:1" ht="15" customHeight="1" x14ac:dyDescent="0.3">
      <c r="A307" s="8" t="s">
        <v>274</v>
      </c>
    </row>
    <row r="308" spans="1:1" ht="15" customHeight="1" x14ac:dyDescent="0.3">
      <c r="A308" s="8" t="s">
        <v>275</v>
      </c>
    </row>
    <row r="309" spans="1:1" ht="15.9" customHeight="1" x14ac:dyDescent="0.3">
      <c r="A309" s="1" t="s">
        <v>276</v>
      </c>
    </row>
    <row r="310" spans="1:1" ht="15" customHeight="1" x14ac:dyDescent="0.3">
      <c r="A310" s="8" t="s">
        <v>277</v>
      </c>
    </row>
    <row r="311" spans="1:1" ht="15" customHeight="1" x14ac:dyDescent="0.3">
      <c r="A311" s="8" t="s">
        <v>278</v>
      </c>
    </row>
    <row r="312" spans="1:1" ht="15" customHeight="1" x14ac:dyDescent="0.3">
      <c r="A312" s="8" t="s">
        <v>279</v>
      </c>
    </row>
    <row r="313" spans="1:1" ht="15.9" customHeight="1" x14ac:dyDescent="0.3">
      <c r="A313" s="1" t="s">
        <v>280</v>
      </c>
    </row>
    <row r="314" spans="1:1" ht="15" customHeight="1" x14ac:dyDescent="0.3">
      <c r="A314" s="8" t="s">
        <v>281</v>
      </c>
    </row>
    <row r="315" spans="1:1" ht="15" customHeight="1" x14ac:dyDescent="0.3">
      <c r="A315" s="8" t="s">
        <v>129</v>
      </c>
    </row>
    <row r="316" spans="1:1" ht="15" customHeight="1" x14ac:dyDescent="0.3">
      <c r="A316" s="8" t="s">
        <v>282</v>
      </c>
    </row>
    <row r="317" spans="1:1" ht="15" customHeight="1" x14ac:dyDescent="0.3">
      <c r="A317" s="8" t="s">
        <v>283</v>
      </c>
    </row>
    <row r="318" spans="1:1" ht="15" customHeight="1" x14ac:dyDescent="0.3">
      <c r="A318" s="8" t="s">
        <v>284</v>
      </c>
    </row>
    <row r="319" spans="1:1" ht="15" customHeight="1" x14ac:dyDescent="0.3">
      <c r="A319" s="8" t="s">
        <v>285</v>
      </c>
    </row>
    <row r="320" spans="1:1" ht="15" customHeight="1" x14ac:dyDescent="0.3">
      <c r="A320" s="8" t="s">
        <v>286</v>
      </c>
    </row>
    <row r="321" spans="1:1" ht="15" customHeight="1" x14ac:dyDescent="0.3">
      <c r="A321" s="8" t="s">
        <v>140</v>
      </c>
    </row>
    <row r="322" spans="1:1" ht="15" customHeight="1" x14ac:dyDescent="0.3">
      <c r="A322" s="8" t="s">
        <v>287</v>
      </c>
    </row>
    <row r="323" spans="1:1" ht="15" customHeight="1" x14ac:dyDescent="0.3">
      <c r="A323" s="8" t="s">
        <v>288</v>
      </c>
    </row>
    <row r="324" spans="1:1" ht="15" customHeight="1" x14ac:dyDescent="0.3">
      <c r="A324" s="8" t="s">
        <v>157</v>
      </c>
    </row>
    <row r="325" spans="1:1" ht="15" customHeight="1" x14ac:dyDescent="0.3">
      <c r="A325" s="1" t="s">
        <v>289</v>
      </c>
    </row>
    <row r="326" spans="1:1" ht="15" customHeight="1" x14ac:dyDescent="0.3">
      <c r="A326" s="8" t="s">
        <v>290</v>
      </c>
    </row>
    <row r="327" spans="1:1" ht="15" customHeight="1" x14ac:dyDescent="0.3">
      <c r="A327" s="8" t="s">
        <v>291</v>
      </c>
    </row>
    <row r="328" spans="1:1" ht="15.9" customHeight="1" x14ac:dyDescent="0.3">
      <c r="A328" s="1" t="s">
        <v>292</v>
      </c>
    </row>
    <row r="329" spans="1:1" ht="15" customHeight="1" x14ac:dyDescent="0.3">
      <c r="A329" s="8" t="s">
        <v>273</v>
      </c>
    </row>
    <row r="330" spans="1:1" ht="15" customHeight="1" x14ac:dyDescent="0.3">
      <c r="A330" s="8" t="s">
        <v>274</v>
      </c>
    </row>
    <row r="331" spans="1:1" ht="15" customHeight="1" x14ac:dyDescent="0.3">
      <c r="A331" s="8" t="s">
        <v>293</v>
      </c>
    </row>
    <row r="332" spans="1:1" ht="15" customHeight="1" x14ac:dyDescent="0.3">
      <c r="A332" s="8" t="s">
        <v>294</v>
      </c>
    </row>
    <row r="333" spans="1:1" ht="15" customHeight="1" x14ac:dyDescent="0.3">
      <c r="A333" s="8" t="s">
        <v>295</v>
      </c>
    </row>
    <row r="334" spans="1:1" ht="15" customHeight="1" x14ac:dyDescent="0.3">
      <c r="A334" s="8" t="s">
        <v>296</v>
      </c>
    </row>
    <row r="335" spans="1:1" ht="15" customHeight="1" x14ac:dyDescent="0.3">
      <c r="A335" s="8" t="s">
        <v>294</v>
      </c>
    </row>
    <row r="336" spans="1:1" ht="15" customHeight="1" x14ac:dyDescent="0.3">
      <c r="A336" s="8" t="s">
        <v>297</v>
      </c>
    </row>
    <row r="337" spans="1:1" ht="15" customHeight="1" x14ac:dyDescent="0.3">
      <c r="A337" s="8" t="s">
        <v>298</v>
      </c>
    </row>
    <row r="338" spans="1:1" ht="15" customHeight="1" x14ac:dyDescent="0.3">
      <c r="A338" s="8" t="s">
        <v>299</v>
      </c>
    </row>
    <row r="339" spans="1:1" ht="15" customHeight="1" x14ac:dyDescent="0.3">
      <c r="A339" s="8" t="s">
        <v>300</v>
      </c>
    </row>
    <row r="340" spans="1:1" ht="15" customHeight="1" x14ac:dyDescent="0.3">
      <c r="A340" s="8" t="s">
        <v>301</v>
      </c>
    </row>
    <row r="341" spans="1:1" ht="15" customHeight="1" x14ac:dyDescent="0.3">
      <c r="A341" s="8" t="s">
        <v>137</v>
      </c>
    </row>
    <row r="342" spans="1:1" ht="15" customHeight="1" x14ac:dyDescent="0.3">
      <c r="A342" s="8" t="s">
        <v>159</v>
      </c>
    </row>
    <row r="343" spans="1:1" ht="15" customHeight="1" x14ac:dyDescent="0.3">
      <c r="A343" s="8" t="s">
        <v>302</v>
      </c>
    </row>
    <row r="344" spans="1:1" ht="15" customHeight="1" x14ac:dyDescent="0.3">
      <c r="A344" s="8" t="s">
        <v>303</v>
      </c>
    </row>
    <row r="345" spans="1:1" ht="15" customHeight="1" x14ac:dyDescent="0.3">
      <c r="A345" s="8" t="s">
        <v>231</v>
      </c>
    </row>
    <row r="346" spans="1:1" ht="15" customHeight="1" x14ac:dyDescent="0.3">
      <c r="A346" s="8" t="s">
        <v>232</v>
      </c>
    </row>
    <row r="347" spans="1:1" ht="15" customHeight="1" x14ac:dyDescent="0.3">
      <c r="A347" s="8" t="s">
        <v>304</v>
      </c>
    </row>
    <row r="348" spans="1:1" ht="15" customHeight="1" x14ac:dyDescent="0.3">
      <c r="A348" s="8" t="s">
        <v>305</v>
      </c>
    </row>
    <row r="349" spans="1:1" ht="0.9" customHeight="1" x14ac:dyDescent="0.3"/>
    <row r="350" spans="1:1" ht="15" customHeight="1" x14ac:dyDescent="0.3">
      <c r="A350" s="1" t="s">
        <v>306</v>
      </c>
    </row>
    <row r="351" spans="1:1" ht="15" customHeight="1" x14ac:dyDescent="0.3">
      <c r="A351" s="8" t="s">
        <v>307</v>
      </c>
    </row>
    <row r="352" spans="1:1" ht="15" customHeight="1" x14ac:dyDescent="0.3">
      <c r="A352" s="8" t="s">
        <v>308</v>
      </c>
    </row>
    <row r="353" spans="1:1" ht="15" customHeight="1" x14ac:dyDescent="0.3">
      <c r="A353" s="8" t="s">
        <v>261</v>
      </c>
    </row>
    <row r="354" spans="1:1" ht="15" customHeight="1" x14ac:dyDescent="0.3">
      <c r="A354" s="8" t="s">
        <v>309</v>
      </c>
    </row>
    <row r="355" spans="1:1" ht="15" customHeight="1" x14ac:dyDescent="0.3">
      <c r="A355" s="8" t="s">
        <v>310</v>
      </c>
    </row>
    <row r="356" spans="1:1" ht="15" customHeight="1" x14ac:dyDescent="0.3">
      <c r="A356" s="8" t="s">
        <v>311</v>
      </c>
    </row>
    <row r="357" spans="1:1" ht="15" customHeight="1" x14ac:dyDescent="0.3">
      <c r="A357" s="8" t="s">
        <v>312</v>
      </c>
    </row>
    <row r="358" spans="1:1" ht="15" customHeight="1" x14ac:dyDescent="0.3">
      <c r="A358" s="8" t="s">
        <v>313</v>
      </c>
    </row>
    <row r="359" spans="1:1" ht="15" customHeight="1" x14ac:dyDescent="0.3">
      <c r="A359" s="8" t="s">
        <v>314</v>
      </c>
    </row>
    <row r="360" spans="1:1" ht="15" customHeight="1" x14ac:dyDescent="0.3">
      <c r="A360" s="8" t="s">
        <v>315</v>
      </c>
    </row>
    <row r="361" spans="1:1" ht="15" customHeight="1" x14ac:dyDescent="0.3">
      <c r="A361" s="1" t="s">
        <v>122</v>
      </c>
    </row>
    <row r="362" spans="1:1" ht="15" customHeight="1" x14ac:dyDescent="0.3">
      <c r="A362" s="8" t="s">
        <v>316</v>
      </c>
    </row>
    <row r="363" spans="1:1" ht="15" customHeight="1" x14ac:dyDescent="0.3">
      <c r="A363" s="8" t="s">
        <v>317</v>
      </c>
    </row>
    <row r="364" spans="1:1" ht="15" customHeight="1" x14ac:dyDescent="0.3">
      <c r="A364" s="8" t="s">
        <v>318</v>
      </c>
    </row>
    <row r="365" spans="1:1" ht="15" customHeight="1" x14ac:dyDescent="0.3">
      <c r="A365" s="8" t="s">
        <v>319</v>
      </c>
    </row>
    <row r="366" spans="1:1" ht="15" customHeight="1" x14ac:dyDescent="0.3">
      <c r="A366" s="8" t="s">
        <v>320</v>
      </c>
    </row>
    <row r="367" spans="1:1" ht="15" customHeight="1" x14ac:dyDescent="0.3">
      <c r="A367" s="8" t="s">
        <v>126</v>
      </c>
    </row>
    <row r="368" spans="1:1" ht="15" customHeight="1" x14ac:dyDescent="0.3">
      <c r="A368" s="8" t="s">
        <v>321</v>
      </c>
    </row>
    <row r="369" spans="1:1" ht="15" customHeight="1" x14ac:dyDescent="0.3">
      <c r="A369" s="8" t="s">
        <v>232</v>
      </c>
    </row>
    <row r="370" spans="1:1" ht="15" customHeight="1" x14ac:dyDescent="0.3">
      <c r="A370" s="1" t="s">
        <v>322</v>
      </c>
    </row>
    <row r="371" spans="1:1" ht="15" customHeight="1" x14ac:dyDescent="0.3">
      <c r="A371" s="8" t="s">
        <v>323</v>
      </c>
    </row>
    <row r="372" spans="1:1" ht="15" customHeight="1" x14ac:dyDescent="0.3">
      <c r="A372" s="8" t="s">
        <v>232</v>
      </c>
    </row>
    <row r="373" spans="1:1" ht="15" customHeight="1" x14ac:dyDescent="0.3">
      <c r="A373" s="1" t="s">
        <v>324</v>
      </c>
    </row>
    <row r="374" spans="1:1" ht="15" customHeight="1" x14ac:dyDescent="0.3">
      <c r="A374" s="8" t="s">
        <v>325</v>
      </c>
    </row>
    <row r="375" spans="1:1" ht="15" customHeight="1" x14ac:dyDescent="0.3">
      <c r="A375" s="8" t="s">
        <v>326</v>
      </c>
    </row>
    <row r="376" spans="1:1" ht="15" customHeight="1" x14ac:dyDescent="0.3">
      <c r="A376" s="8" t="s">
        <v>327</v>
      </c>
    </row>
    <row r="377" spans="1:1" ht="321" customHeight="1" x14ac:dyDescent="0.3"/>
    <row r="378" spans="1:1" ht="15" customHeight="1" x14ac:dyDescent="0.3">
      <c r="A378" s="8" t="s">
        <v>328</v>
      </c>
    </row>
    <row r="379" spans="1:1" ht="15.9" customHeight="1" x14ac:dyDescent="0.3">
      <c r="A379" s="1" t="s">
        <v>329</v>
      </c>
    </row>
    <row r="380" spans="1:1" ht="15" customHeight="1" x14ac:dyDescent="0.3">
      <c r="A380" s="8" t="s">
        <v>330</v>
      </c>
    </row>
    <row r="381" spans="1:1" ht="15" customHeight="1" x14ac:dyDescent="0.3">
      <c r="A381" s="8" t="s">
        <v>331</v>
      </c>
    </row>
    <row r="382" spans="1:1" ht="17.100000000000001" customHeight="1" x14ac:dyDescent="0.3">
      <c r="A382" s="1" t="s">
        <v>332</v>
      </c>
    </row>
    <row r="383" spans="1:1" ht="15" customHeight="1" x14ac:dyDescent="0.3">
      <c r="A383" s="1" t="s">
        <v>333</v>
      </c>
    </row>
    <row r="384" spans="1:1" ht="90" customHeight="1" x14ac:dyDescent="0.3"/>
    <row r="385" spans="1:1" ht="15" customHeight="1" x14ac:dyDescent="0.3">
      <c r="A385" s="8" t="s">
        <v>334</v>
      </c>
    </row>
    <row r="386" spans="1:1" ht="15" customHeight="1" x14ac:dyDescent="0.3">
      <c r="A386" s="8" t="s">
        <v>310</v>
      </c>
    </row>
    <row r="387" spans="1:1" ht="15.9" customHeight="1" x14ac:dyDescent="0.3">
      <c r="A387" s="1" t="s">
        <v>335</v>
      </c>
    </row>
    <row r="388" spans="1:1" ht="15" customHeight="1" x14ac:dyDescent="0.3">
      <c r="A388" s="8" t="s">
        <v>336</v>
      </c>
    </row>
    <row r="389" spans="1:1" ht="15" customHeight="1" x14ac:dyDescent="0.3">
      <c r="A389" s="8" t="s">
        <v>337</v>
      </c>
    </row>
    <row r="390" spans="1:1" ht="15" customHeight="1" x14ac:dyDescent="0.3">
      <c r="A390" s="8" t="s">
        <v>133</v>
      </c>
    </row>
    <row r="391" spans="1:1" ht="15" customHeight="1" x14ac:dyDescent="0.3">
      <c r="A391" s="8" t="s">
        <v>338</v>
      </c>
    </row>
    <row r="392" spans="1:1" ht="17.100000000000001" customHeight="1" x14ac:dyDescent="0.3">
      <c r="A392" s="1" t="s">
        <v>339</v>
      </c>
    </row>
    <row r="393" spans="1:1" ht="15" customHeight="1" x14ac:dyDescent="0.3">
      <c r="A393" s="8" t="s">
        <v>340</v>
      </c>
    </row>
    <row r="394" spans="1:1" ht="15" customHeight="1" x14ac:dyDescent="0.3">
      <c r="A394" s="8" t="s">
        <v>341</v>
      </c>
    </row>
    <row r="395" spans="1:1" ht="15" customHeight="1" x14ac:dyDescent="0.3">
      <c r="A395" s="8" t="s">
        <v>342</v>
      </c>
    </row>
    <row r="396" spans="1:1" ht="17.100000000000001" customHeight="1" x14ac:dyDescent="0.3">
      <c r="A396" s="1" t="s">
        <v>343</v>
      </c>
    </row>
    <row r="397" spans="1:1" ht="15" customHeight="1" x14ac:dyDescent="0.3">
      <c r="A397" s="8" t="s">
        <v>287</v>
      </c>
    </row>
    <row r="398" spans="1:1" ht="14.1" customHeight="1" x14ac:dyDescent="0.3">
      <c r="A398" s="9" t="s">
        <v>104</v>
      </c>
    </row>
    <row r="399" spans="1:1" ht="14.1" customHeight="1" x14ac:dyDescent="0.3">
      <c r="A399" s="1" t="s">
        <v>105</v>
      </c>
    </row>
    <row r="400" spans="1:1" ht="15.9" customHeight="1" x14ac:dyDescent="0.3">
      <c r="A400" s="1" t="s">
        <v>344</v>
      </c>
    </row>
    <row r="401" spans="1:1" ht="15.9" customHeight="1" x14ac:dyDescent="0.3">
      <c r="A401" s="1" t="s">
        <v>345</v>
      </c>
    </row>
    <row r="402" spans="1:1" ht="15" customHeight="1" x14ac:dyDescent="0.3">
      <c r="A402" s="8" t="s">
        <v>346</v>
      </c>
    </row>
    <row r="403" spans="1:1" ht="15.9" customHeight="1" x14ac:dyDescent="0.3">
      <c r="A403" s="1" t="s">
        <v>347</v>
      </c>
    </row>
    <row r="404" spans="1:1" ht="15.9" customHeight="1" x14ac:dyDescent="0.3">
      <c r="A404" s="1" t="s">
        <v>348</v>
      </c>
    </row>
    <row r="405" spans="1:1" ht="15.9" customHeight="1" x14ac:dyDescent="0.3">
      <c r="A405" s="1" t="s">
        <v>349</v>
      </c>
    </row>
    <row r="406" spans="1:1" ht="15" customHeight="1" x14ac:dyDescent="0.3">
      <c r="A406" s="8" t="s">
        <v>350</v>
      </c>
    </row>
    <row r="407" spans="1:1" ht="15.9" customHeight="1" x14ac:dyDescent="0.3">
      <c r="A407" s="1" t="s">
        <v>351</v>
      </c>
    </row>
    <row r="408" spans="1:1" ht="15.9" customHeight="1" x14ac:dyDescent="0.3">
      <c r="A408" s="1" t="s">
        <v>352</v>
      </c>
    </row>
    <row r="409" spans="1:1" ht="15.9" customHeight="1" x14ac:dyDescent="0.3">
      <c r="A409" s="1" t="s">
        <v>353</v>
      </c>
    </row>
    <row r="410" spans="1:1" ht="15.9" customHeight="1" x14ac:dyDescent="0.3">
      <c r="A410" s="1" t="s">
        <v>354</v>
      </c>
    </row>
    <row r="411" spans="1:1" ht="15" customHeight="1" x14ac:dyDescent="0.3">
      <c r="A411" s="8" t="s">
        <v>355</v>
      </c>
    </row>
    <row r="412" spans="1:1" ht="15.9" customHeight="1" x14ac:dyDescent="0.3">
      <c r="A412" s="1" t="s">
        <v>356</v>
      </c>
    </row>
    <row r="413" spans="1:1" ht="15" customHeight="1" x14ac:dyDescent="0.3">
      <c r="A413" s="8" t="s">
        <v>357</v>
      </c>
    </row>
    <row r="414" spans="1:1" ht="15.9" customHeight="1" x14ac:dyDescent="0.3">
      <c r="A414" s="1" t="s">
        <v>358</v>
      </c>
    </row>
    <row r="415" spans="1:1" ht="15.9" customHeight="1" x14ac:dyDescent="0.3">
      <c r="A415" s="1" t="s">
        <v>359</v>
      </c>
    </row>
    <row r="416" spans="1:1" ht="15.9" customHeight="1" x14ac:dyDescent="0.3">
      <c r="A416" s="1" t="s">
        <v>360</v>
      </c>
    </row>
    <row r="417" spans="1:1" ht="15" customHeight="1" x14ac:dyDescent="0.3">
      <c r="A417" s="8" t="s">
        <v>361</v>
      </c>
    </row>
    <row r="418" spans="1:1" ht="15.9" customHeight="1" x14ac:dyDescent="0.3">
      <c r="A418" s="1" t="s">
        <v>362</v>
      </c>
    </row>
    <row r="419" spans="1:1" ht="15.9" customHeight="1" x14ac:dyDescent="0.3">
      <c r="A419" s="1" t="s">
        <v>363</v>
      </c>
    </row>
    <row r="420" spans="1:1" ht="15.9" customHeight="1" x14ac:dyDescent="0.3">
      <c r="A420" s="1" t="s">
        <v>364</v>
      </c>
    </row>
    <row r="421" spans="1:1" ht="15" customHeight="1" x14ac:dyDescent="0.3">
      <c r="A421" s="8" t="s">
        <v>284</v>
      </c>
    </row>
    <row r="422" spans="1:1" ht="0.9" customHeight="1" x14ac:dyDescent="0.3"/>
    <row r="423" spans="1:1" ht="15.9" customHeight="1" x14ac:dyDescent="0.3">
      <c r="A423" s="1" t="s">
        <v>365</v>
      </c>
    </row>
    <row r="424" spans="1:1" ht="15.9" customHeight="1" x14ac:dyDescent="0.3">
      <c r="A424" s="1" t="s">
        <v>366</v>
      </c>
    </row>
    <row r="425" spans="1:1" ht="15.9" customHeight="1" x14ac:dyDescent="0.3">
      <c r="A425" s="1" t="s">
        <v>367</v>
      </c>
    </row>
    <row r="426" spans="1:1" ht="15" customHeight="1" x14ac:dyDescent="0.3">
      <c r="A426" s="8" t="s">
        <v>149</v>
      </c>
    </row>
    <row r="427" spans="1:1" ht="17.100000000000001" customHeight="1" x14ac:dyDescent="0.3">
      <c r="A427" s="1" t="s">
        <v>368</v>
      </c>
    </row>
    <row r="428" spans="1:1" ht="15.9" customHeight="1" x14ac:dyDescent="0.3">
      <c r="A428" s="1" t="s">
        <v>369</v>
      </c>
    </row>
    <row r="429" spans="1:1" ht="15" customHeight="1" x14ac:dyDescent="0.3">
      <c r="A429" s="8" t="s">
        <v>239</v>
      </c>
    </row>
    <row r="430" spans="1:1" ht="15.9" customHeight="1" x14ac:dyDescent="0.3">
      <c r="A430" s="1" t="s">
        <v>207</v>
      </c>
    </row>
    <row r="431" spans="1:1" ht="15" customHeight="1" x14ac:dyDescent="0.3">
      <c r="A431" s="8" t="s">
        <v>232</v>
      </c>
    </row>
    <row r="432" spans="1:1" ht="15.9" customHeight="1" x14ac:dyDescent="0.3">
      <c r="A432" s="1" t="s">
        <v>370</v>
      </c>
    </row>
    <row r="433" spans="1:1" ht="15.9" customHeight="1" x14ac:dyDescent="0.3">
      <c r="A433" s="1" t="s">
        <v>371</v>
      </c>
    </row>
    <row r="434" spans="1:1" ht="15.9" customHeight="1" x14ac:dyDescent="0.3">
      <c r="A434" s="1" t="s">
        <v>372</v>
      </c>
    </row>
    <row r="435" spans="1:1" ht="15.9" customHeight="1" x14ac:dyDescent="0.3">
      <c r="A435" s="1" t="s">
        <v>373</v>
      </c>
    </row>
    <row r="436" spans="1:1" ht="15.9" customHeight="1" x14ac:dyDescent="0.3">
      <c r="A436" s="1" t="s">
        <v>374</v>
      </c>
    </row>
    <row r="437" spans="1:1" ht="15.9" customHeight="1" x14ac:dyDescent="0.3">
      <c r="A437" s="1" t="s">
        <v>375</v>
      </c>
    </row>
    <row r="438" spans="1:1" ht="15.9" customHeight="1" x14ac:dyDescent="0.3">
      <c r="A438" s="1" t="s">
        <v>345</v>
      </c>
    </row>
    <row r="439" spans="1:1" ht="15" customHeight="1" x14ac:dyDescent="0.3">
      <c r="A439" s="8" t="s">
        <v>346</v>
      </c>
    </row>
    <row r="440" spans="1:1" ht="15.9" customHeight="1" x14ac:dyDescent="0.3">
      <c r="A440" s="1" t="s">
        <v>376</v>
      </c>
    </row>
    <row r="441" spans="1:1" ht="15.9" customHeight="1" x14ac:dyDescent="0.3">
      <c r="A441" s="1" t="s">
        <v>377</v>
      </c>
    </row>
    <row r="442" spans="1:1" ht="15.9" customHeight="1" x14ac:dyDescent="0.3">
      <c r="A442" s="1" t="s">
        <v>378</v>
      </c>
    </row>
    <row r="443" spans="1:1" ht="15" customHeight="1" x14ac:dyDescent="0.3">
      <c r="A443" s="8" t="s">
        <v>379</v>
      </c>
    </row>
    <row r="444" spans="1:1" ht="15" customHeight="1" x14ac:dyDescent="0.3">
      <c r="A444" s="8" t="s">
        <v>239</v>
      </c>
    </row>
    <row r="445" spans="1:1" ht="15.9" customHeight="1" x14ac:dyDescent="0.3">
      <c r="A445" s="1" t="s">
        <v>240</v>
      </c>
    </row>
    <row r="446" spans="1:1" ht="15" customHeight="1" x14ac:dyDescent="0.3">
      <c r="A446" s="8" t="s">
        <v>232</v>
      </c>
    </row>
    <row r="447" spans="1:1" ht="14.1" customHeight="1" x14ac:dyDescent="0.3">
      <c r="A447" s="9" t="s">
        <v>104</v>
      </c>
    </row>
    <row r="448" spans="1:1" ht="14.1" customHeight="1" x14ac:dyDescent="0.3">
      <c r="A448" s="1" t="s">
        <v>105</v>
      </c>
    </row>
    <row r="449" spans="1:1" ht="15" customHeight="1" x14ac:dyDescent="0.3">
      <c r="A449" s="8" t="s">
        <v>380</v>
      </c>
    </row>
    <row r="450" spans="1:1" ht="15.9" customHeight="1" x14ac:dyDescent="0.3">
      <c r="A450" s="1" t="s">
        <v>381</v>
      </c>
    </row>
    <row r="451" spans="1:1" ht="15" customHeight="1" x14ac:dyDescent="0.3">
      <c r="A451" s="8" t="s">
        <v>382</v>
      </c>
    </row>
    <row r="452" spans="1:1" ht="15" customHeight="1" x14ac:dyDescent="0.3">
      <c r="A452" s="8" t="s">
        <v>287</v>
      </c>
    </row>
    <row r="453" spans="1:1" ht="15" customHeight="1" x14ac:dyDescent="0.3">
      <c r="A453" s="8" t="s">
        <v>383</v>
      </c>
    </row>
    <row r="454" spans="1:1" ht="15" customHeight="1" x14ac:dyDescent="0.3">
      <c r="A454" s="8" t="s">
        <v>384</v>
      </c>
    </row>
    <row r="455" spans="1:1" ht="15.9" customHeight="1" x14ac:dyDescent="0.3">
      <c r="A455" s="1" t="s">
        <v>385</v>
      </c>
    </row>
    <row r="456" spans="1:1" ht="15" customHeight="1" x14ac:dyDescent="0.3">
      <c r="A456" s="8" t="s">
        <v>386</v>
      </c>
    </row>
    <row r="457" spans="1:1" ht="15" customHeight="1" x14ac:dyDescent="0.3">
      <c r="A457" s="8" t="s">
        <v>387</v>
      </c>
    </row>
    <row r="458" spans="1:1" ht="15" customHeight="1" x14ac:dyDescent="0.3">
      <c r="A458" s="8" t="s">
        <v>388</v>
      </c>
    </row>
    <row r="459" spans="1:1" ht="15" customHeight="1" x14ac:dyDescent="0.3">
      <c r="A459" s="1" t="s">
        <v>389</v>
      </c>
    </row>
    <row r="460" spans="1:1" ht="15.9" customHeight="1" x14ac:dyDescent="0.3">
      <c r="A460" s="1" t="s">
        <v>390</v>
      </c>
    </row>
    <row r="461" spans="1:1" ht="15" customHeight="1" x14ac:dyDescent="0.3">
      <c r="A461" s="1" t="s">
        <v>391</v>
      </c>
    </row>
    <row r="462" spans="1:1" ht="15" customHeight="1" x14ac:dyDescent="0.3">
      <c r="A462" s="1" t="s">
        <v>392</v>
      </c>
    </row>
    <row r="463" spans="1:1" ht="15" customHeight="1" x14ac:dyDescent="0.3">
      <c r="A463" s="8" t="s">
        <v>393</v>
      </c>
    </row>
    <row r="464" spans="1:1" ht="15" customHeight="1" x14ac:dyDescent="0.3">
      <c r="A464" s="8" t="s">
        <v>231</v>
      </c>
    </row>
    <row r="465" spans="1:1" ht="15" customHeight="1" x14ac:dyDescent="0.3">
      <c r="A465" s="8" t="s">
        <v>232</v>
      </c>
    </row>
    <row r="466" spans="1:1" ht="15.9" customHeight="1" x14ac:dyDescent="0.3">
      <c r="A466" s="1" t="s">
        <v>394</v>
      </c>
    </row>
    <row r="467" spans="1:1" ht="15.9" customHeight="1" x14ac:dyDescent="0.3">
      <c r="A467" s="1" t="s">
        <v>395</v>
      </c>
    </row>
    <row r="468" spans="1:1" ht="15" customHeight="1" x14ac:dyDescent="0.3">
      <c r="A468" s="1" t="s">
        <v>396</v>
      </c>
    </row>
    <row r="469" spans="1:1" ht="15" customHeight="1" x14ac:dyDescent="0.3">
      <c r="A469" s="8" t="s">
        <v>273</v>
      </c>
    </row>
    <row r="470" spans="1:1" ht="15" customHeight="1" x14ac:dyDescent="0.3">
      <c r="A470" s="8" t="s">
        <v>397</v>
      </c>
    </row>
    <row r="471" spans="1:1" ht="15" customHeight="1" x14ac:dyDescent="0.3">
      <c r="A471" s="8" t="s">
        <v>398</v>
      </c>
    </row>
    <row r="472" spans="1:1" ht="15" customHeight="1" x14ac:dyDescent="0.3">
      <c r="A472" s="8" t="s">
        <v>232</v>
      </c>
    </row>
    <row r="473" spans="1:1" ht="15" customHeight="1" x14ac:dyDescent="0.3">
      <c r="A473" s="8" t="s">
        <v>399</v>
      </c>
    </row>
    <row r="474" spans="1:1" ht="15" customHeight="1" x14ac:dyDescent="0.3">
      <c r="A474" s="8" t="s">
        <v>400</v>
      </c>
    </row>
    <row r="475" spans="1:1" ht="15.9" customHeight="1" x14ac:dyDescent="0.3">
      <c r="A475" s="1" t="s">
        <v>401</v>
      </c>
    </row>
    <row r="476" spans="1:1" ht="15" customHeight="1" x14ac:dyDescent="0.3">
      <c r="A476" s="8" t="s">
        <v>402</v>
      </c>
    </row>
    <row r="477" spans="1:1" ht="15" customHeight="1" x14ac:dyDescent="0.3">
      <c r="A477" s="8" t="s">
        <v>403</v>
      </c>
    </row>
    <row r="478" spans="1:1" ht="15" customHeight="1" x14ac:dyDescent="0.3">
      <c r="A478" s="8" t="s">
        <v>357</v>
      </c>
    </row>
    <row r="479" spans="1:1" ht="15" customHeight="1" x14ac:dyDescent="0.3">
      <c r="A479" s="8" t="s">
        <v>404</v>
      </c>
    </row>
    <row r="480" spans="1:1" ht="15.9" customHeight="1" x14ac:dyDescent="0.3">
      <c r="A480" s="1" t="s">
        <v>405</v>
      </c>
    </row>
    <row r="481" spans="1:1" ht="15" customHeight="1" x14ac:dyDescent="0.3">
      <c r="A481" s="1" t="s">
        <v>406</v>
      </c>
    </row>
    <row r="482" spans="1:1" ht="15" customHeight="1" x14ac:dyDescent="0.3">
      <c r="A482" s="8" t="s">
        <v>407</v>
      </c>
    </row>
    <row r="483" spans="1:1" ht="15.9" customHeight="1" x14ac:dyDescent="0.3">
      <c r="A483" s="1" t="s">
        <v>408</v>
      </c>
    </row>
    <row r="484" spans="1:1" ht="15" customHeight="1" x14ac:dyDescent="0.3">
      <c r="A484" s="8" t="s">
        <v>409</v>
      </c>
    </row>
    <row r="485" spans="1:1" ht="15" customHeight="1" x14ac:dyDescent="0.3">
      <c r="A485" s="8" t="s">
        <v>410</v>
      </c>
    </row>
    <row r="486" spans="1:1" ht="15" customHeight="1" x14ac:dyDescent="0.3">
      <c r="A486" s="8" t="s">
        <v>231</v>
      </c>
    </row>
    <row r="487" spans="1:1" ht="15" customHeight="1" x14ac:dyDescent="0.3">
      <c r="A487" s="8" t="s">
        <v>232</v>
      </c>
    </row>
    <row r="488" spans="1:1" ht="15" customHeight="1" x14ac:dyDescent="0.3">
      <c r="A488" s="8" t="s">
        <v>411</v>
      </c>
    </row>
    <row r="489" spans="1:1" ht="15" customHeight="1" x14ac:dyDescent="0.3">
      <c r="A489" s="1" t="s">
        <v>412</v>
      </c>
    </row>
    <row r="490" spans="1:1" ht="15" customHeight="1" x14ac:dyDescent="0.3">
      <c r="A490" s="1" t="s">
        <v>413</v>
      </c>
    </row>
    <row r="491" spans="1:1" ht="15" customHeight="1" x14ac:dyDescent="0.3">
      <c r="A491" s="1" t="s">
        <v>414</v>
      </c>
    </row>
    <row r="492" spans="1:1" ht="15" customHeight="1" x14ac:dyDescent="0.3">
      <c r="A492" s="8" t="s">
        <v>415</v>
      </c>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1:L33"/>
  <sheetViews>
    <sheetView workbookViewId="0">
      <selection activeCell="B26" sqref="B26"/>
    </sheetView>
  </sheetViews>
  <sheetFormatPr defaultRowHeight="14.4" x14ac:dyDescent="0.3"/>
  <cols>
    <col min="1" max="1" width="28.33203125" style="25" customWidth="1"/>
    <col min="2" max="2" width="24.88671875" style="25" customWidth="1"/>
    <col min="3" max="4" width="23.33203125" style="26" customWidth="1"/>
    <col min="5" max="5" width="8.88671875" style="26"/>
    <col min="6" max="6" width="17.44140625" style="26" customWidth="1"/>
    <col min="7" max="7" width="20.44140625" style="26" customWidth="1"/>
    <col min="8" max="9" width="22.6640625" style="26" customWidth="1"/>
    <col min="10" max="10" width="14" style="26" customWidth="1"/>
    <col min="11" max="11" width="25.88671875" style="26" customWidth="1"/>
    <col min="12" max="12" width="20.33203125" style="26" customWidth="1"/>
    <col min="13" max="16384" width="8.88671875" style="26"/>
  </cols>
  <sheetData>
    <row r="1" spans="1:12" s="24" customFormat="1" x14ac:dyDescent="0.3">
      <c r="A1" s="23" t="s">
        <v>0</v>
      </c>
      <c r="B1" s="23" t="s">
        <v>1</v>
      </c>
      <c r="C1" s="23" t="s">
        <v>2</v>
      </c>
      <c r="D1" s="23" t="s">
        <v>3</v>
      </c>
      <c r="E1" s="23" t="s">
        <v>4</v>
      </c>
      <c r="F1" s="23" t="s">
        <v>5</v>
      </c>
      <c r="G1" s="23" t="s">
        <v>6</v>
      </c>
      <c r="H1" s="23" t="s">
        <v>7</v>
      </c>
      <c r="I1" s="23" t="s">
        <v>8</v>
      </c>
      <c r="J1" s="23" t="s">
        <v>9</v>
      </c>
      <c r="K1" s="23" t="s">
        <v>10</v>
      </c>
      <c r="L1" s="23" t="s">
        <v>11</v>
      </c>
    </row>
    <row r="3" spans="1:12" x14ac:dyDescent="0.3">
      <c r="D3" s="26" t="s">
        <v>18</v>
      </c>
      <c r="E3" s="26" t="s">
        <v>17</v>
      </c>
      <c r="F3" s="26">
        <v>73114</v>
      </c>
    </row>
    <row r="4" spans="1:12" x14ac:dyDescent="0.3">
      <c r="D4" s="26" t="s">
        <v>19</v>
      </c>
      <c r="E4" s="26" t="s">
        <v>16</v>
      </c>
      <c r="F4" s="26">
        <v>75034</v>
      </c>
    </row>
    <row r="5" spans="1:12" x14ac:dyDescent="0.3">
      <c r="D5" s="26" t="s">
        <v>20</v>
      </c>
      <c r="E5" s="26" t="s">
        <v>16</v>
      </c>
      <c r="F5" s="27">
        <v>75402</v>
      </c>
    </row>
    <row r="7" spans="1:12" x14ac:dyDescent="0.3">
      <c r="D7" s="26" t="s">
        <v>13</v>
      </c>
      <c r="E7" s="26" t="s">
        <v>16</v>
      </c>
      <c r="F7" s="26">
        <v>75244</v>
      </c>
    </row>
    <row r="8" spans="1:12" x14ac:dyDescent="0.3">
      <c r="D8" s="26" t="s">
        <v>417</v>
      </c>
      <c r="E8" s="26" t="s">
        <v>16</v>
      </c>
      <c r="F8" s="26">
        <v>77070</v>
      </c>
    </row>
    <row r="9" spans="1:12" x14ac:dyDescent="0.3">
      <c r="D9" s="26" t="s">
        <v>419</v>
      </c>
      <c r="E9" s="26" t="s">
        <v>418</v>
      </c>
      <c r="F9" s="26">
        <v>94022</v>
      </c>
    </row>
    <row r="12" spans="1:12" x14ac:dyDescent="0.3">
      <c r="B12" s="26"/>
    </row>
    <row r="13" spans="1:12" x14ac:dyDescent="0.3">
      <c r="A13" s="27"/>
      <c r="B13" s="27"/>
    </row>
    <row r="24" spans="2:2" x14ac:dyDescent="0.3">
      <c r="B24" s="26"/>
    </row>
    <row r="30" spans="2:2" x14ac:dyDescent="0.3">
      <c r="B30" s="26"/>
    </row>
    <row r="33" spans="1:1" x14ac:dyDescent="0.3">
      <c r="A33" s="28"/>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FAAC88-C095-4D51-B7C7-22405DCE1DFD}">
  <sheetPr codeName="Sheet1"/>
  <dimension ref="A1:F356"/>
  <sheetViews>
    <sheetView workbookViewId="0">
      <selection activeCell="E324" sqref="E324"/>
    </sheetView>
  </sheetViews>
  <sheetFormatPr defaultRowHeight="14.4" x14ac:dyDescent="0.3"/>
  <cols>
    <col min="1" max="1" width="37.21875" style="29" bestFit="1" customWidth="1"/>
    <col min="4" max="5" width="8.88671875" style="29"/>
    <col min="6" max="6" width="9.88671875" style="29" bestFit="1" customWidth="1"/>
    <col min="7" max="16384" width="8.88671875" style="29"/>
  </cols>
  <sheetData>
    <row r="1" spans="1:6" x14ac:dyDescent="0.3">
      <c r="A1" s="32"/>
      <c r="E1" s="29" t="s">
        <v>776</v>
      </c>
      <c r="F1" s="29" t="s">
        <v>775</v>
      </c>
    </row>
    <row r="2" spans="1:6" x14ac:dyDescent="0.3">
      <c r="A2" s="36" t="s">
        <v>2024</v>
      </c>
      <c r="B2">
        <v>-1.40857316</v>
      </c>
      <c r="C2">
        <v>2.8858877999999999</v>
      </c>
      <c r="E2" s="29">
        <f>B2-C2</f>
        <v>-4.2944609600000003</v>
      </c>
      <c r="F2" s="30">
        <v>42659</v>
      </c>
    </row>
    <row r="3" spans="1:6" x14ac:dyDescent="0.3">
      <c r="A3" s="36" t="s">
        <v>2025</v>
      </c>
      <c r="B3">
        <v>-1.33785566</v>
      </c>
      <c r="C3">
        <v>2.3815556999999998</v>
      </c>
      <c r="E3" s="29">
        <f t="shared" ref="E3:E66" si="0">B3-C3</f>
        <v>-3.7194113599999996</v>
      </c>
      <c r="F3" s="30">
        <v>42660</v>
      </c>
    </row>
    <row r="4" spans="1:6" x14ac:dyDescent="0.3">
      <c r="A4" s="36" t="s">
        <v>2026</v>
      </c>
      <c r="B4">
        <v>-2.3839237199999999</v>
      </c>
      <c r="C4">
        <v>1.2871840999999999</v>
      </c>
      <c r="E4" s="29">
        <f t="shared" si="0"/>
        <v>-3.6711078199999996</v>
      </c>
      <c r="F4" s="30">
        <v>42661</v>
      </c>
    </row>
    <row r="5" spans="1:6" x14ac:dyDescent="0.3">
      <c r="A5" s="36" t="s">
        <v>2027</v>
      </c>
      <c r="B5">
        <v>-2.5107305900000001</v>
      </c>
      <c r="C5">
        <v>0.80031039999999998</v>
      </c>
      <c r="E5" s="29">
        <f t="shared" si="0"/>
        <v>-3.31104099</v>
      </c>
      <c r="F5" s="30">
        <v>42662</v>
      </c>
    </row>
    <row r="6" spans="1:6" x14ac:dyDescent="0.3">
      <c r="A6" s="36" t="s">
        <v>2028</v>
      </c>
      <c r="B6">
        <v>-1.7230333499999999</v>
      </c>
      <c r="C6">
        <v>1.6519870000000001</v>
      </c>
      <c r="E6" s="29">
        <f t="shared" si="0"/>
        <v>-3.3750203499999998</v>
      </c>
      <c r="F6" s="30">
        <v>42663</v>
      </c>
    </row>
    <row r="7" spans="1:6" x14ac:dyDescent="0.3">
      <c r="A7" s="36" t="s">
        <v>2029</v>
      </c>
      <c r="B7">
        <v>-1.46588864</v>
      </c>
      <c r="C7">
        <v>2.2730652999999998</v>
      </c>
      <c r="E7" s="29">
        <f t="shared" si="0"/>
        <v>-3.73895394</v>
      </c>
      <c r="F7" s="30">
        <v>42664</v>
      </c>
    </row>
    <row r="8" spans="1:6" x14ac:dyDescent="0.3">
      <c r="A8" s="36" t="s">
        <v>2030</v>
      </c>
      <c r="B8">
        <v>-1.19214401</v>
      </c>
      <c r="C8">
        <v>1.755638</v>
      </c>
      <c r="E8" s="29">
        <f t="shared" si="0"/>
        <v>-2.9477820100000001</v>
      </c>
      <c r="F8" s="30">
        <v>42665</v>
      </c>
    </row>
    <row r="9" spans="1:6" x14ac:dyDescent="0.3">
      <c r="A9" s="36" t="s">
        <v>2031</v>
      </c>
      <c r="B9">
        <v>-1.76408795</v>
      </c>
      <c r="C9">
        <v>1.0977774</v>
      </c>
      <c r="E9" s="29">
        <f t="shared" si="0"/>
        <v>-2.86186535</v>
      </c>
      <c r="F9" s="30">
        <v>42666</v>
      </c>
    </row>
    <row r="10" spans="1:6" x14ac:dyDescent="0.3">
      <c r="A10" s="36" t="s">
        <v>2032</v>
      </c>
      <c r="B10">
        <v>-1.0659227600000001</v>
      </c>
      <c r="C10">
        <v>3.3540616999999999</v>
      </c>
      <c r="E10" s="29">
        <f t="shared" si="0"/>
        <v>-4.4199844600000002</v>
      </c>
      <c r="F10" s="30">
        <v>42667</v>
      </c>
    </row>
    <row r="11" spans="1:6" x14ac:dyDescent="0.3">
      <c r="A11" s="36" t="s">
        <v>2033</v>
      </c>
      <c r="B11">
        <v>-1.0889093599999999</v>
      </c>
      <c r="C11">
        <v>2.1100854</v>
      </c>
      <c r="E11" s="29">
        <f t="shared" si="0"/>
        <v>-3.1989947599999997</v>
      </c>
      <c r="F11" s="30">
        <v>42668</v>
      </c>
    </row>
    <row r="12" spans="1:6" x14ac:dyDescent="0.3">
      <c r="A12" s="36" t="s">
        <v>2034</v>
      </c>
      <c r="B12">
        <v>-1.6285591800000001</v>
      </c>
      <c r="C12">
        <v>3.0907369999999998</v>
      </c>
      <c r="E12" s="29">
        <f t="shared" si="0"/>
        <v>-4.7192961799999997</v>
      </c>
      <c r="F12" s="30">
        <v>42669</v>
      </c>
    </row>
    <row r="13" spans="1:6" x14ac:dyDescent="0.3">
      <c r="A13" s="36" t="s">
        <v>2035</v>
      </c>
      <c r="B13">
        <v>-2.6589152</v>
      </c>
      <c r="C13">
        <v>2.7965879</v>
      </c>
      <c r="E13" s="29">
        <f t="shared" si="0"/>
        <v>-5.4555030999999996</v>
      </c>
      <c r="F13" s="30">
        <v>42670</v>
      </c>
    </row>
    <row r="14" spans="1:6" x14ac:dyDescent="0.3">
      <c r="A14" s="36" t="s">
        <v>2036</v>
      </c>
      <c r="B14">
        <v>-2.4740777999999999</v>
      </c>
      <c r="C14">
        <v>1.0891384</v>
      </c>
      <c r="E14" s="29">
        <f t="shared" si="0"/>
        <v>-3.5632161999999998</v>
      </c>
      <c r="F14" s="30">
        <v>42671</v>
      </c>
    </row>
    <row r="15" spans="1:6" x14ac:dyDescent="0.3">
      <c r="A15" s="36" t="s">
        <v>2037</v>
      </c>
      <c r="B15">
        <v>-2.71110636</v>
      </c>
      <c r="C15">
        <v>0.84896930000000004</v>
      </c>
      <c r="E15" s="29">
        <f t="shared" si="0"/>
        <v>-3.5600756599999999</v>
      </c>
      <c r="F15" s="30">
        <v>42672</v>
      </c>
    </row>
    <row r="16" spans="1:6" x14ac:dyDescent="0.3">
      <c r="A16" s="36" t="s">
        <v>2038</v>
      </c>
      <c r="B16">
        <v>-3.6227653599999998</v>
      </c>
      <c r="C16">
        <v>0.26937519999999998</v>
      </c>
      <c r="E16" s="29">
        <f t="shared" si="0"/>
        <v>-3.8921405599999996</v>
      </c>
      <c r="F16" s="30">
        <v>42673</v>
      </c>
    </row>
    <row r="17" spans="1:6" x14ac:dyDescent="0.3">
      <c r="A17" s="36" t="s">
        <v>2039</v>
      </c>
      <c r="B17">
        <v>-3.4572474299999998</v>
      </c>
      <c r="C17">
        <v>-1.3566297</v>
      </c>
      <c r="E17" s="29">
        <f t="shared" si="0"/>
        <v>-2.1006177299999997</v>
      </c>
      <c r="F17" s="30">
        <v>42674</v>
      </c>
    </row>
    <row r="18" spans="1:6" x14ac:dyDescent="0.3">
      <c r="A18" s="36" t="s">
        <v>2040</v>
      </c>
      <c r="B18">
        <v>-4.9293698199999998</v>
      </c>
      <c r="C18">
        <v>-2.0304340999999999</v>
      </c>
      <c r="E18" s="29">
        <f t="shared" si="0"/>
        <v>-2.8989357199999999</v>
      </c>
      <c r="F18" s="30">
        <v>42675</v>
      </c>
    </row>
    <row r="19" spans="1:6" x14ac:dyDescent="0.3">
      <c r="A19" s="36" t="s">
        <v>2041</v>
      </c>
      <c r="B19">
        <v>-3.5050056700000001</v>
      </c>
      <c r="C19">
        <v>-2.0124088000000002</v>
      </c>
      <c r="E19" s="29">
        <f t="shared" si="0"/>
        <v>-1.4925968699999999</v>
      </c>
      <c r="F19" s="30">
        <v>42676</v>
      </c>
    </row>
    <row r="20" spans="1:6" x14ac:dyDescent="0.3">
      <c r="A20" s="36" t="s">
        <v>2042</v>
      </c>
      <c r="B20">
        <v>-4.6820198</v>
      </c>
      <c r="C20">
        <v>-2.3446340000000001</v>
      </c>
      <c r="E20" s="29">
        <f t="shared" si="0"/>
        <v>-2.3373857999999998</v>
      </c>
      <c r="F20" s="30">
        <v>42677</v>
      </c>
    </row>
    <row r="21" spans="1:6" x14ac:dyDescent="0.3">
      <c r="A21" s="36" t="s">
        <v>2043</v>
      </c>
      <c r="B21">
        <v>-4.1941107500000001</v>
      </c>
      <c r="C21">
        <v>-2.0195726000000001</v>
      </c>
      <c r="E21" s="29">
        <f t="shared" si="0"/>
        <v>-2.1745381500000001</v>
      </c>
      <c r="F21" s="30">
        <v>42678</v>
      </c>
    </row>
    <row r="22" spans="1:6" x14ac:dyDescent="0.3">
      <c r="A22" s="36" t="s">
        <v>2044</v>
      </c>
      <c r="B22">
        <v>-3.36844937</v>
      </c>
      <c r="C22">
        <v>-2.2730272999999999</v>
      </c>
      <c r="E22" s="29">
        <f t="shared" si="0"/>
        <v>-1.0954220700000001</v>
      </c>
      <c r="F22" s="30">
        <v>42679</v>
      </c>
    </row>
    <row r="23" spans="1:6" x14ac:dyDescent="0.3">
      <c r="A23" s="36" t="s">
        <v>2045</v>
      </c>
      <c r="B23">
        <v>-2.9896612</v>
      </c>
      <c r="C23">
        <v>-2.2664662</v>
      </c>
      <c r="E23" s="29">
        <f t="shared" si="0"/>
        <v>-0.72319500000000003</v>
      </c>
      <c r="F23" s="30">
        <v>42680</v>
      </c>
    </row>
    <row r="24" spans="1:6" x14ac:dyDescent="0.3">
      <c r="A24" s="36" t="s">
        <v>2046</v>
      </c>
      <c r="B24">
        <v>-3.6294098899999998</v>
      </c>
      <c r="C24">
        <v>-3.2270458999999998</v>
      </c>
      <c r="E24" s="29">
        <f t="shared" si="0"/>
        <v>-0.40236399</v>
      </c>
      <c r="F24" s="30">
        <v>42681</v>
      </c>
    </row>
    <row r="25" spans="1:6" x14ac:dyDescent="0.3">
      <c r="A25" s="36" t="s">
        <v>2047</v>
      </c>
      <c r="B25">
        <v>-4.1482639499999996</v>
      </c>
      <c r="C25">
        <v>-3.430895</v>
      </c>
      <c r="E25" s="29">
        <f t="shared" si="0"/>
        <v>-0.71736894999999956</v>
      </c>
      <c r="F25" s="30">
        <v>42682</v>
      </c>
    </row>
    <row r="26" spans="1:6" x14ac:dyDescent="0.3">
      <c r="A26" s="36" t="s">
        <v>2048</v>
      </c>
      <c r="B26">
        <v>-3.06686243</v>
      </c>
      <c r="C26">
        <v>-3.2686440000000001</v>
      </c>
      <c r="E26" s="29">
        <f t="shared" si="0"/>
        <v>0.20178157000000008</v>
      </c>
      <c r="F26" s="30">
        <v>42683</v>
      </c>
    </row>
    <row r="27" spans="1:6" x14ac:dyDescent="0.3">
      <c r="A27" s="36" t="s">
        <v>2049</v>
      </c>
      <c r="B27">
        <v>-2.8875568199999999</v>
      </c>
      <c r="C27">
        <v>-2.8866310999999998</v>
      </c>
      <c r="E27" s="29">
        <f t="shared" si="0"/>
        <v>-9.2572000000012977E-4</v>
      </c>
      <c r="F27" s="30">
        <v>42684</v>
      </c>
    </row>
    <row r="28" spans="1:6" x14ac:dyDescent="0.3">
      <c r="A28" s="36" t="s">
        <v>2050</v>
      </c>
      <c r="B28">
        <v>-4.2021924799999999</v>
      </c>
      <c r="C28">
        <v>-1.7248532000000001</v>
      </c>
      <c r="E28" s="29">
        <f t="shared" si="0"/>
        <v>-2.4773392799999998</v>
      </c>
      <c r="F28" s="30">
        <v>42685</v>
      </c>
    </row>
    <row r="29" spans="1:6" x14ac:dyDescent="0.3">
      <c r="A29" s="36" t="s">
        <v>2051</v>
      </c>
      <c r="B29">
        <v>-4.3953212400000004</v>
      </c>
      <c r="C29">
        <v>-0.44128539999999999</v>
      </c>
      <c r="E29" s="29">
        <f t="shared" si="0"/>
        <v>-3.9540358400000004</v>
      </c>
      <c r="F29" s="30">
        <v>42686</v>
      </c>
    </row>
    <row r="30" spans="1:6" x14ac:dyDescent="0.3">
      <c r="A30" s="36" t="s">
        <v>2052</v>
      </c>
      <c r="B30">
        <v>-3.87410744</v>
      </c>
      <c r="C30">
        <v>-0.1091342</v>
      </c>
      <c r="E30" s="29">
        <f t="shared" si="0"/>
        <v>-3.7649732399999998</v>
      </c>
      <c r="F30" s="30">
        <v>42687</v>
      </c>
    </row>
    <row r="31" spans="1:6" x14ac:dyDescent="0.3">
      <c r="A31" s="36" t="s">
        <v>2053</v>
      </c>
      <c r="B31">
        <v>-2.0258942900000001</v>
      </c>
      <c r="C31">
        <v>-0.30006480000000002</v>
      </c>
      <c r="E31" s="29">
        <f t="shared" si="0"/>
        <v>-1.7258294900000002</v>
      </c>
      <c r="F31" s="30">
        <v>42688</v>
      </c>
    </row>
    <row r="32" spans="1:6" x14ac:dyDescent="0.3">
      <c r="A32" s="36" t="s">
        <v>2054</v>
      </c>
      <c r="B32">
        <v>-1.5312558300000001</v>
      </c>
      <c r="C32">
        <v>-1.1416326999999999</v>
      </c>
      <c r="E32" s="29">
        <f t="shared" si="0"/>
        <v>-0.38962313000000015</v>
      </c>
      <c r="F32" s="30">
        <v>42689</v>
      </c>
    </row>
    <row r="33" spans="1:6" x14ac:dyDescent="0.3">
      <c r="A33" s="36" t="s">
        <v>2055</v>
      </c>
      <c r="B33">
        <v>-2.2677041999999998</v>
      </c>
      <c r="C33">
        <v>-1.5847988</v>
      </c>
      <c r="E33" s="29">
        <f t="shared" si="0"/>
        <v>-0.68290539999999988</v>
      </c>
      <c r="F33" s="30">
        <v>42690</v>
      </c>
    </row>
    <row r="34" spans="1:6" x14ac:dyDescent="0.3">
      <c r="A34" s="36" t="s">
        <v>2056</v>
      </c>
      <c r="B34">
        <v>-1.4887813299999999</v>
      </c>
      <c r="C34">
        <v>-0.3132722</v>
      </c>
      <c r="E34" s="29">
        <f t="shared" si="0"/>
        <v>-1.17550913</v>
      </c>
      <c r="F34" s="30">
        <v>42691</v>
      </c>
    </row>
    <row r="35" spans="1:6" x14ac:dyDescent="0.3">
      <c r="A35" s="36" t="s">
        <v>2057</v>
      </c>
      <c r="B35">
        <v>-0.73248252000000003</v>
      </c>
      <c r="C35">
        <v>0.61445970000000005</v>
      </c>
      <c r="E35" s="29">
        <f t="shared" si="0"/>
        <v>-1.3469422200000001</v>
      </c>
      <c r="F35" s="30">
        <v>42692</v>
      </c>
    </row>
    <row r="36" spans="1:6" x14ac:dyDescent="0.3">
      <c r="A36" s="36" t="s">
        <v>2058</v>
      </c>
      <c r="B36">
        <v>0.70623080000000005</v>
      </c>
      <c r="C36">
        <v>-1.5748420999999999</v>
      </c>
      <c r="E36" s="29">
        <f t="shared" si="0"/>
        <v>2.2810728999999998</v>
      </c>
      <c r="F36" s="30">
        <v>42693</v>
      </c>
    </row>
    <row r="37" spans="1:6" x14ac:dyDescent="0.3">
      <c r="A37" s="36" t="s">
        <v>2059</v>
      </c>
      <c r="B37">
        <v>-0.27073437</v>
      </c>
      <c r="C37">
        <v>-1.6076010000000001</v>
      </c>
      <c r="E37" s="29">
        <f t="shared" si="0"/>
        <v>1.3368666300000001</v>
      </c>
      <c r="F37" s="30">
        <v>42694</v>
      </c>
    </row>
    <row r="38" spans="1:6" x14ac:dyDescent="0.3">
      <c r="A38" s="36" t="s">
        <v>2060</v>
      </c>
      <c r="B38">
        <v>0.57312607000000004</v>
      </c>
      <c r="C38">
        <v>-3.9594923999999998</v>
      </c>
      <c r="E38" s="29">
        <f t="shared" si="0"/>
        <v>4.5326184700000001</v>
      </c>
      <c r="F38" s="30">
        <v>42695</v>
      </c>
    </row>
    <row r="39" spans="1:6" x14ac:dyDescent="0.3">
      <c r="A39" s="36" t="s">
        <v>2061</v>
      </c>
      <c r="B39">
        <v>0.73079912999999996</v>
      </c>
      <c r="C39">
        <v>-2.6576556999999998</v>
      </c>
      <c r="E39" s="29">
        <f t="shared" si="0"/>
        <v>3.3884548299999997</v>
      </c>
      <c r="F39" s="30">
        <v>42696</v>
      </c>
    </row>
    <row r="40" spans="1:6" x14ac:dyDescent="0.3">
      <c r="A40" s="36" t="s">
        <v>2062</v>
      </c>
      <c r="B40">
        <v>0.16294639</v>
      </c>
      <c r="C40">
        <v>-2.2533916999999999</v>
      </c>
      <c r="E40" s="29">
        <f t="shared" si="0"/>
        <v>2.41633809</v>
      </c>
      <c r="F40" s="30">
        <v>42697</v>
      </c>
    </row>
    <row r="41" spans="1:6" x14ac:dyDescent="0.3">
      <c r="A41" s="36" t="s">
        <v>2063</v>
      </c>
      <c r="B41">
        <v>0.95785883000000005</v>
      </c>
      <c r="C41">
        <v>-2.5464696</v>
      </c>
      <c r="E41" s="29">
        <f t="shared" si="0"/>
        <v>3.5043284300000002</v>
      </c>
      <c r="F41" s="30">
        <v>42698</v>
      </c>
    </row>
    <row r="42" spans="1:6" x14ac:dyDescent="0.3">
      <c r="A42" s="36" t="s">
        <v>2064</v>
      </c>
      <c r="B42">
        <v>-0.68874970000000002</v>
      </c>
      <c r="C42">
        <v>-1.8728404999999999</v>
      </c>
      <c r="E42" s="29">
        <f t="shared" si="0"/>
        <v>1.1840907999999999</v>
      </c>
      <c r="F42" s="30">
        <v>42699</v>
      </c>
    </row>
    <row r="43" spans="1:6" x14ac:dyDescent="0.3">
      <c r="A43" s="36" t="s">
        <v>2065</v>
      </c>
      <c r="B43">
        <v>2.1819246799999998</v>
      </c>
      <c r="C43">
        <v>-2.3589883999999999</v>
      </c>
      <c r="E43" s="29">
        <f t="shared" si="0"/>
        <v>4.5409130799999993</v>
      </c>
      <c r="F43" s="30">
        <v>42700</v>
      </c>
    </row>
    <row r="44" spans="1:6" x14ac:dyDescent="0.3">
      <c r="A44" s="36" t="s">
        <v>2066</v>
      </c>
      <c r="B44">
        <v>2.1415644199999999</v>
      </c>
      <c r="C44">
        <v>-0.53242290000000003</v>
      </c>
      <c r="E44" s="29">
        <f t="shared" si="0"/>
        <v>2.6739873200000002</v>
      </c>
      <c r="F44" s="30">
        <v>42701</v>
      </c>
    </row>
    <row r="45" spans="1:6" x14ac:dyDescent="0.3">
      <c r="A45" s="36" t="s">
        <v>2067</v>
      </c>
      <c r="B45">
        <v>0.1631399</v>
      </c>
      <c r="C45">
        <v>-3.4488523999999998</v>
      </c>
      <c r="E45" s="29">
        <f t="shared" si="0"/>
        <v>3.6119922999999998</v>
      </c>
      <c r="F45" s="30">
        <v>42702</v>
      </c>
    </row>
    <row r="46" spans="1:6" x14ac:dyDescent="0.3">
      <c r="A46" s="36" t="s">
        <v>2068</v>
      </c>
      <c r="B46">
        <v>0.64096896999999997</v>
      </c>
      <c r="C46">
        <v>-3.4491211000000002</v>
      </c>
      <c r="E46" s="29">
        <f t="shared" si="0"/>
        <v>4.0900900700000005</v>
      </c>
      <c r="F46" s="30">
        <v>42703</v>
      </c>
    </row>
    <row r="47" spans="1:6" x14ac:dyDescent="0.3">
      <c r="A47" s="36" t="s">
        <v>2069</v>
      </c>
      <c r="B47">
        <v>-1.310208E-2</v>
      </c>
      <c r="C47">
        <v>-3.7256703999999998</v>
      </c>
      <c r="E47" s="29">
        <f t="shared" si="0"/>
        <v>3.7125683199999999</v>
      </c>
      <c r="F47" s="30">
        <v>42704</v>
      </c>
    </row>
    <row r="48" spans="1:6" x14ac:dyDescent="0.3">
      <c r="A48" s="36" t="s">
        <v>2070</v>
      </c>
      <c r="B48">
        <v>0.84199484000000002</v>
      </c>
      <c r="C48">
        <v>-5.0179995999999996</v>
      </c>
      <c r="E48" s="29">
        <f t="shared" si="0"/>
        <v>5.8599944399999995</v>
      </c>
      <c r="F48" s="30">
        <v>42705</v>
      </c>
    </row>
    <row r="49" spans="1:6" x14ac:dyDescent="0.3">
      <c r="A49" s="36" t="s">
        <v>2071</v>
      </c>
      <c r="B49">
        <v>-0.73752258999999998</v>
      </c>
      <c r="C49">
        <v>-5.7434481000000002</v>
      </c>
      <c r="E49" s="29">
        <f t="shared" si="0"/>
        <v>5.00592551</v>
      </c>
      <c r="F49" s="30">
        <v>42706</v>
      </c>
    </row>
    <row r="50" spans="1:6" x14ac:dyDescent="0.3">
      <c r="A50" s="36" t="s">
        <v>2072</v>
      </c>
      <c r="B50">
        <v>-2.0188421399999998</v>
      </c>
      <c r="C50">
        <v>-5.8813424000000003</v>
      </c>
      <c r="E50" s="29">
        <f t="shared" si="0"/>
        <v>3.8625002600000005</v>
      </c>
      <c r="F50" s="30">
        <v>42707</v>
      </c>
    </row>
    <row r="51" spans="1:6" x14ac:dyDescent="0.3">
      <c r="A51" s="36" t="s">
        <v>2073</v>
      </c>
      <c r="B51">
        <v>-1.57466906</v>
      </c>
      <c r="C51">
        <v>-5.1832305999999999</v>
      </c>
      <c r="E51" s="29">
        <f t="shared" si="0"/>
        <v>3.6085615400000002</v>
      </c>
      <c r="F51" s="30">
        <v>42708</v>
      </c>
    </row>
    <row r="52" spans="1:6" x14ac:dyDescent="0.3">
      <c r="A52" s="36" t="s">
        <v>2074</v>
      </c>
      <c r="B52">
        <v>-1.8255283600000001</v>
      </c>
      <c r="C52">
        <v>-5.9470841999999999</v>
      </c>
      <c r="E52" s="29">
        <f t="shared" si="0"/>
        <v>4.1215558400000001</v>
      </c>
      <c r="F52" s="30">
        <v>42709</v>
      </c>
    </row>
    <row r="53" spans="1:6" x14ac:dyDescent="0.3">
      <c r="A53" s="36" t="s">
        <v>2075</v>
      </c>
      <c r="B53">
        <v>-2.05028312</v>
      </c>
      <c r="C53">
        <v>-5.7439043999999999</v>
      </c>
      <c r="E53" s="29">
        <f t="shared" si="0"/>
        <v>3.6936212799999999</v>
      </c>
      <c r="F53" s="30">
        <v>42710</v>
      </c>
    </row>
    <row r="54" spans="1:6" x14ac:dyDescent="0.3">
      <c r="A54" s="36" t="s">
        <v>2076</v>
      </c>
      <c r="B54">
        <v>-3.3750337899999998</v>
      </c>
      <c r="C54">
        <v>-4.7086509999999997</v>
      </c>
      <c r="E54" s="29">
        <f t="shared" si="0"/>
        <v>1.3336172099999999</v>
      </c>
      <c r="F54" s="30">
        <v>42711</v>
      </c>
    </row>
    <row r="55" spans="1:6" x14ac:dyDescent="0.3">
      <c r="A55" s="36" t="s">
        <v>2077</v>
      </c>
      <c r="B55">
        <v>-4.8217178199999999</v>
      </c>
      <c r="C55">
        <v>-5.8018548000000001</v>
      </c>
      <c r="E55" s="29">
        <f t="shared" si="0"/>
        <v>0.98013698000000016</v>
      </c>
      <c r="F55" s="30">
        <v>42712</v>
      </c>
    </row>
    <row r="56" spans="1:6" x14ac:dyDescent="0.3">
      <c r="A56" s="36" t="s">
        <v>2078</v>
      </c>
      <c r="B56">
        <v>-5.30607396</v>
      </c>
      <c r="C56">
        <v>-7.5289687000000001</v>
      </c>
      <c r="E56" s="29">
        <f t="shared" si="0"/>
        <v>2.2228947400000001</v>
      </c>
      <c r="F56" s="30">
        <v>42713</v>
      </c>
    </row>
    <row r="57" spans="1:6" x14ac:dyDescent="0.3">
      <c r="A57" s="36" t="s">
        <v>2079</v>
      </c>
      <c r="B57">
        <v>-6.47063802</v>
      </c>
      <c r="C57">
        <v>-6.6733691999999998</v>
      </c>
      <c r="E57" s="29">
        <f t="shared" si="0"/>
        <v>0.20273117999999979</v>
      </c>
      <c r="F57" s="30">
        <v>42714</v>
      </c>
    </row>
    <row r="58" spans="1:6" x14ac:dyDescent="0.3">
      <c r="A58" s="36" t="s">
        <v>2080</v>
      </c>
      <c r="B58">
        <v>-8.0533140099999994</v>
      </c>
      <c r="C58">
        <v>-6.1152844000000002</v>
      </c>
      <c r="E58" s="29">
        <f t="shared" si="0"/>
        <v>-1.9380296099999992</v>
      </c>
      <c r="F58" s="30">
        <v>42715</v>
      </c>
    </row>
    <row r="59" spans="1:6" x14ac:dyDescent="0.3">
      <c r="A59" s="36" t="s">
        <v>2081</v>
      </c>
      <c r="B59">
        <v>-7.2959843099999997</v>
      </c>
      <c r="C59">
        <v>-6.0453421000000001</v>
      </c>
      <c r="E59" s="29">
        <f t="shared" si="0"/>
        <v>-1.2506422099999996</v>
      </c>
      <c r="F59" s="30">
        <v>42716</v>
      </c>
    </row>
    <row r="60" spans="1:6" x14ac:dyDescent="0.3">
      <c r="A60" s="36" t="s">
        <v>2082</v>
      </c>
      <c r="B60">
        <v>-7.3794704600000003</v>
      </c>
      <c r="C60">
        <v>-6.1416396000000004</v>
      </c>
      <c r="E60" s="29">
        <f t="shared" si="0"/>
        <v>-1.2378308599999999</v>
      </c>
      <c r="F60" s="30">
        <v>42717</v>
      </c>
    </row>
    <row r="61" spans="1:6" x14ac:dyDescent="0.3">
      <c r="A61" s="36" t="s">
        <v>2083</v>
      </c>
      <c r="B61">
        <v>-8.7954389299999995</v>
      </c>
      <c r="C61">
        <v>-6.0511692999999998</v>
      </c>
      <c r="E61" s="29">
        <f t="shared" si="0"/>
        <v>-2.7442696299999998</v>
      </c>
      <c r="F61" s="30">
        <v>42718</v>
      </c>
    </row>
    <row r="62" spans="1:6" x14ac:dyDescent="0.3">
      <c r="A62" s="36" t="s">
        <v>2084</v>
      </c>
      <c r="B62">
        <v>-9.6376980200000002</v>
      </c>
      <c r="C62">
        <v>-7.8726935999999998</v>
      </c>
      <c r="E62" s="29">
        <f t="shared" si="0"/>
        <v>-1.7650044200000004</v>
      </c>
      <c r="F62" s="30">
        <v>42719</v>
      </c>
    </row>
    <row r="63" spans="1:6" x14ac:dyDescent="0.3">
      <c r="A63" s="36" t="s">
        <v>2085</v>
      </c>
      <c r="B63">
        <v>-10.65353635</v>
      </c>
      <c r="C63">
        <v>-7.5493516999999999</v>
      </c>
      <c r="E63" s="29">
        <f t="shared" si="0"/>
        <v>-3.1041846499999997</v>
      </c>
      <c r="F63" s="30">
        <v>42720</v>
      </c>
    </row>
    <row r="64" spans="1:6" x14ac:dyDescent="0.3">
      <c r="A64" s="36" t="s">
        <v>2086</v>
      </c>
      <c r="B64">
        <v>-11.135858020000001</v>
      </c>
      <c r="C64">
        <v>-9.9596146000000001</v>
      </c>
      <c r="E64" s="29">
        <f t="shared" si="0"/>
        <v>-1.1762434200000005</v>
      </c>
      <c r="F64" s="30">
        <v>42721</v>
      </c>
    </row>
    <row r="65" spans="1:6" x14ac:dyDescent="0.3">
      <c r="A65" s="36" t="s">
        <v>2087</v>
      </c>
      <c r="B65">
        <v>-11.79245085</v>
      </c>
      <c r="C65">
        <v>-9.8564409000000008</v>
      </c>
      <c r="E65" s="29">
        <f t="shared" si="0"/>
        <v>-1.936009949999999</v>
      </c>
      <c r="F65" s="30">
        <v>42722</v>
      </c>
    </row>
    <row r="66" spans="1:6" x14ac:dyDescent="0.3">
      <c r="A66" s="36" t="s">
        <v>2088</v>
      </c>
      <c r="B66">
        <v>-11.70761081</v>
      </c>
      <c r="C66">
        <v>-9.3536233000000006</v>
      </c>
      <c r="E66" s="29">
        <f t="shared" si="0"/>
        <v>-2.3539875099999996</v>
      </c>
      <c r="F66" s="30">
        <v>42723</v>
      </c>
    </row>
    <row r="67" spans="1:6" x14ac:dyDescent="0.3">
      <c r="A67" s="36" t="s">
        <v>2089</v>
      </c>
      <c r="B67">
        <v>-11.27015014</v>
      </c>
      <c r="C67">
        <v>-9.7491026000000005</v>
      </c>
      <c r="E67" s="29">
        <f t="shared" ref="E67:E130" si="1">B67-C67</f>
        <v>-1.5210475399999996</v>
      </c>
      <c r="F67" s="30">
        <v>42724</v>
      </c>
    </row>
    <row r="68" spans="1:6" x14ac:dyDescent="0.3">
      <c r="A68" s="36" t="s">
        <v>2090</v>
      </c>
      <c r="B68">
        <v>-11.56809762</v>
      </c>
      <c r="C68">
        <v>-8.8007749999999998</v>
      </c>
      <c r="E68" s="29">
        <f t="shared" si="1"/>
        <v>-2.7673226199999998</v>
      </c>
      <c r="F68" s="30">
        <v>42725</v>
      </c>
    </row>
    <row r="69" spans="1:6" x14ac:dyDescent="0.3">
      <c r="A69" s="36" t="s">
        <v>2091</v>
      </c>
      <c r="B69">
        <v>-13.03935081</v>
      </c>
      <c r="C69">
        <v>-8.5894712000000002</v>
      </c>
      <c r="E69" s="29">
        <f t="shared" si="1"/>
        <v>-4.44987961</v>
      </c>
      <c r="F69" s="30">
        <v>42726</v>
      </c>
    </row>
    <row r="70" spans="1:6" x14ac:dyDescent="0.3">
      <c r="A70" s="36" t="s">
        <v>2092</v>
      </c>
      <c r="B70">
        <v>-10.725322070000001</v>
      </c>
      <c r="C70">
        <v>-9.8287861000000003</v>
      </c>
      <c r="E70" s="29">
        <f t="shared" si="1"/>
        <v>-0.8965359700000004</v>
      </c>
      <c r="F70" s="30">
        <v>42727</v>
      </c>
    </row>
    <row r="71" spans="1:6" x14ac:dyDescent="0.3">
      <c r="A71" s="36" t="s">
        <v>2093</v>
      </c>
      <c r="B71">
        <v>-12.249915550000001</v>
      </c>
      <c r="C71">
        <v>-10.6144631</v>
      </c>
      <c r="E71" s="29">
        <f t="shared" si="1"/>
        <v>-1.6354524500000007</v>
      </c>
      <c r="F71" s="30">
        <v>42728</v>
      </c>
    </row>
    <row r="72" spans="1:6" x14ac:dyDescent="0.3">
      <c r="A72" s="36" t="s">
        <v>2094</v>
      </c>
      <c r="B72">
        <v>-12.15629947</v>
      </c>
      <c r="C72">
        <v>-10.3027642</v>
      </c>
      <c r="E72" s="29">
        <f t="shared" si="1"/>
        <v>-1.8535352700000001</v>
      </c>
      <c r="F72" s="30">
        <v>42729</v>
      </c>
    </row>
    <row r="73" spans="1:6" x14ac:dyDescent="0.3">
      <c r="A73" s="36" t="s">
        <v>2095</v>
      </c>
      <c r="B73">
        <v>-14.0652759</v>
      </c>
      <c r="C73">
        <v>-11.5339975</v>
      </c>
      <c r="E73" s="29">
        <f t="shared" si="1"/>
        <v>-2.5312783999999997</v>
      </c>
      <c r="F73" s="30">
        <v>42730</v>
      </c>
    </row>
    <row r="74" spans="1:6" x14ac:dyDescent="0.3">
      <c r="A74" s="36" t="s">
        <v>2096</v>
      </c>
      <c r="B74">
        <v>-14.860915930000001</v>
      </c>
      <c r="C74">
        <v>-11.634922599999999</v>
      </c>
      <c r="E74" s="29">
        <f t="shared" si="1"/>
        <v>-3.2259933300000014</v>
      </c>
      <c r="F74" s="30">
        <v>42731</v>
      </c>
    </row>
    <row r="75" spans="1:6" x14ac:dyDescent="0.3">
      <c r="A75" s="36" t="s">
        <v>2097</v>
      </c>
      <c r="B75">
        <v>-16.57972393</v>
      </c>
      <c r="C75">
        <v>-13.535917700000001</v>
      </c>
      <c r="E75" s="29">
        <f t="shared" si="1"/>
        <v>-3.0438062299999995</v>
      </c>
      <c r="F75" s="30">
        <v>42732</v>
      </c>
    </row>
    <row r="76" spans="1:6" x14ac:dyDescent="0.3">
      <c r="A76" s="36" t="s">
        <v>2098</v>
      </c>
      <c r="B76">
        <v>-16.17433831</v>
      </c>
      <c r="C76">
        <v>-11.260571799999999</v>
      </c>
      <c r="E76" s="29">
        <f t="shared" si="1"/>
        <v>-4.9137665100000003</v>
      </c>
      <c r="F76" s="30">
        <v>42733</v>
      </c>
    </row>
    <row r="77" spans="1:6" x14ac:dyDescent="0.3">
      <c r="A77" s="36" t="s">
        <v>2099</v>
      </c>
      <c r="B77">
        <v>-17.124179259999998</v>
      </c>
      <c r="C77">
        <v>-11.157195700000001</v>
      </c>
      <c r="E77" s="29">
        <f t="shared" si="1"/>
        <v>-5.9669835599999974</v>
      </c>
      <c r="F77" s="30">
        <v>42734</v>
      </c>
    </row>
    <row r="78" spans="1:6" x14ac:dyDescent="0.3">
      <c r="A78" s="36" t="s">
        <v>2100</v>
      </c>
      <c r="B78">
        <v>-16.662118939999999</v>
      </c>
      <c r="C78">
        <v>-11.8163202</v>
      </c>
      <c r="E78" s="29">
        <f t="shared" si="1"/>
        <v>-4.8457987399999993</v>
      </c>
      <c r="F78" s="30">
        <v>42735</v>
      </c>
    </row>
    <row r="79" spans="1:6" x14ac:dyDescent="0.3">
      <c r="A79" s="36" t="s">
        <v>2101</v>
      </c>
      <c r="B79">
        <v>-16.545835929999999</v>
      </c>
      <c r="C79">
        <v>-11.6349427</v>
      </c>
      <c r="E79" s="29">
        <f t="shared" si="1"/>
        <v>-4.9108932299999992</v>
      </c>
      <c r="F79" s="30">
        <v>42736</v>
      </c>
    </row>
    <row r="80" spans="1:6" x14ac:dyDescent="0.3">
      <c r="A80" s="36" t="s">
        <v>2102</v>
      </c>
      <c r="B80">
        <v>-17.362070639999999</v>
      </c>
      <c r="C80">
        <v>-12.0039429</v>
      </c>
      <c r="E80" s="29">
        <f t="shared" si="1"/>
        <v>-5.3581277399999987</v>
      </c>
      <c r="F80" s="30">
        <v>42737</v>
      </c>
    </row>
    <row r="81" spans="1:6" x14ac:dyDescent="0.3">
      <c r="A81" s="36" t="s">
        <v>2103</v>
      </c>
      <c r="B81">
        <v>-17.779670540000001</v>
      </c>
      <c r="C81">
        <v>-13.5289289</v>
      </c>
      <c r="E81" s="29">
        <f t="shared" si="1"/>
        <v>-4.2507416400000011</v>
      </c>
      <c r="F81" s="30">
        <v>42738</v>
      </c>
    </row>
    <row r="82" spans="1:6" x14ac:dyDescent="0.3">
      <c r="A82" s="36" t="s">
        <v>2104</v>
      </c>
      <c r="B82">
        <v>-17.095431130000001</v>
      </c>
      <c r="C82">
        <v>-15.095208299999999</v>
      </c>
      <c r="E82" s="29">
        <f t="shared" si="1"/>
        <v>-2.000222830000002</v>
      </c>
      <c r="F82" s="30">
        <v>42739</v>
      </c>
    </row>
    <row r="83" spans="1:6" x14ac:dyDescent="0.3">
      <c r="A83" s="36" t="s">
        <v>2105</v>
      </c>
      <c r="B83">
        <v>-17.976272869999999</v>
      </c>
      <c r="C83">
        <v>-15.284653799999999</v>
      </c>
      <c r="E83" s="29">
        <f t="shared" si="1"/>
        <v>-2.6916190699999998</v>
      </c>
      <c r="F83" s="30">
        <v>42740</v>
      </c>
    </row>
    <row r="84" spans="1:6" x14ac:dyDescent="0.3">
      <c r="A84" s="36" t="s">
        <v>2106</v>
      </c>
      <c r="B84">
        <v>-18.062371209999998</v>
      </c>
      <c r="C84">
        <v>-15.4511941</v>
      </c>
      <c r="E84" s="29">
        <f t="shared" si="1"/>
        <v>-2.6111771099999981</v>
      </c>
      <c r="F84" s="30">
        <v>42741</v>
      </c>
    </row>
    <row r="85" spans="1:6" x14ac:dyDescent="0.3">
      <c r="A85" s="36" t="s">
        <v>2107</v>
      </c>
      <c r="B85">
        <v>-19.632516200000001</v>
      </c>
      <c r="C85">
        <v>-13.707710000000001</v>
      </c>
      <c r="E85" s="29">
        <f t="shared" si="1"/>
        <v>-5.9248062000000008</v>
      </c>
      <c r="F85" s="30">
        <v>42742</v>
      </c>
    </row>
    <row r="86" spans="1:6" x14ac:dyDescent="0.3">
      <c r="A86" s="36" t="s">
        <v>2108</v>
      </c>
      <c r="B86">
        <v>-19.272646120000001</v>
      </c>
      <c r="C86">
        <v>-13.2610612</v>
      </c>
      <c r="E86" s="29">
        <f t="shared" si="1"/>
        <v>-6.0115849200000007</v>
      </c>
      <c r="F86" s="30">
        <v>42743</v>
      </c>
    </row>
    <row r="87" spans="1:6" x14ac:dyDescent="0.3">
      <c r="A87" s="36" t="s">
        <v>2109</v>
      </c>
      <c r="B87">
        <v>-20.17239421</v>
      </c>
      <c r="C87">
        <v>-14.7034463</v>
      </c>
      <c r="E87" s="29">
        <f t="shared" si="1"/>
        <v>-5.4689479100000007</v>
      </c>
      <c r="F87" s="30">
        <v>42744</v>
      </c>
    </row>
    <row r="88" spans="1:6" x14ac:dyDescent="0.3">
      <c r="A88" s="36" t="s">
        <v>2110</v>
      </c>
      <c r="B88">
        <v>-21.33146035</v>
      </c>
      <c r="C88">
        <v>-14.3093623</v>
      </c>
      <c r="E88" s="29">
        <f t="shared" si="1"/>
        <v>-7.0220980500000003</v>
      </c>
      <c r="F88" s="30">
        <v>42745</v>
      </c>
    </row>
    <row r="89" spans="1:6" x14ac:dyDescent="0.3">
      <c r="A89" s="36" t="s">
        <v>2111</v>
      </c>
      <c r="B89">
        <v>-21.280637479999999</v>
      </c>
      <c r="C89">
        <v>-15.276780199999999</v>
      </c>
      <c r="E89" s="29">
        <f t="shared" si="1"/>
        <v>-6.0038572800000001</v>
      </c>
      <c r="F89" s="30">
        <v>42746</v>
      </c>
    </row>
    <row r="90" spans="1:6" x14ac:dyDescent="0.3">
      <c r="A90" s="36" t="s">
        <v>2112</v>
      </c>
      <c r="B90">
        <v>-21.473130619999999</v>
      </c>
      <c r="C90">
        <v>-15.2528761</v>
      </c>
      <c r="E90" s="29">
        <f t="shared" si="1"/>
        <v>-6.2202545199999992</v>
      </c>
      <c r="F90" s="30">
        <v>42747</v>
      </c>
    </row>
    <row r="91" spans="1:6" x14ac:dyDescent="0.3">
      <c r="A91" s="36" t="s">
        <v>2113</v>
      </c>
      <c r="B91">
        <v>-20.42832971</v>
      </c>
      <c r="C91">
        <v>-16.457209899999999</v>
      </c>
      <c r="E91" s="29">
        <f t="shared" si="1"/>
        <v>-3.9711198100000011</v>
      </c>
      <c r="F91" s="30">
        <v>42748</v>
      </c>
    </row>
    <row r="92" spans="1:6" x14ac:dyDescent="0.3">
      <c r="A92" s="36" t="s">
        <v>2114</v>
      </c>
      <c r="B92">
        <v>-21.082664780000002</v>
      </c>
      <c r="C92">
        <v>-16.1609208</v>
      </c>
      <c r="E92" s="29">
        <f t="shared" si="1"/>
        <v>-4.9217439800000022</v>
      </c>
      <c r="F92" s="30">
        <v>42749</v>
      </c>
    </row>
    <row r="93" spans="1:6" x14ac:dyDescent="0.3">
      <c r="A93" s="36" t="s">
        <v>2115</v>
      </c>
      <c r="B93">
        <v>-22.075810069999999</v>
      </c>
      <c r="C93">
        <v>-17.328024599999999</v>
      </c>
      <c r="E93" s="29">
        <f t="shared" si="1"/>
        <v>-4.7477854700000002</v>
      </c>
      <c r="F93" s="30">
        <v>42750</v>
      </c>
    </row>
    <row r="94" spans="1:6" x14ac:dyDescent="0.3">
      <c r="A94" s="36" t="s">
        <v>2116</v>
      </c>
      <c r="B94">
        <v>-21.328156839999998</v>
      </c>
      <c r="C94">
        <v>-16.3850221</v>
      </c>
      <c r="E94" s="29">
        <f t="shared" si="1"/>
        <v>-4.9431347399999979</v>
      </c>
      <c r="F94" s="30">
        <v>42751</v>
      </c>
    </row>
    <row r="95" spans="1:6" x14ac:dyDescent="0.3">
      <c r="A95" s="36" t="s">
        <v>2117</v>
      </c>
      <c r="B95">
        <v>-20.206291820000001</v>
      </c>
      <c r="C95">
        <v>-16.8077194</v>
      </c>
      <c r="E95" s="29">
        <f t="shared" si="1"/>
        <v>-3.3985724200000007</v>
      </c>
      <c r="F95" s="30">
        <v>42752</v>
      </c>
    </row>
    <row r="96" spans="1:6" x14ac:dyDescent="0.3">
      <c r="A96" s="36" t="s">
        <v>2118</v>
      </c>
      <c r="B96">
        <v>-19.760476390000001</v>
      </c>
      <c r="C96">
        <v>-16.997006599999999</v>
      </c>
      <c r="E96" s="29">
        <f t="shared" si="1"/>
        <v>-2.763469790000002</v>
      </c>
      <c r="F96" s="30">
        <v>42753</v>
      </c>
    </row>
    <row r="97" spans="1:6" x14ac:dyDescent="0.3">
      <c r="A97" s="36" t="s">
        <v>2119</v>
      </c>
      <c r="B97">
        <v>-19.247445320000001</v>
      </c>
      <c r="C97">
        <v>-16.383761799999998</v>
      </c>
      <c r="E97" s="29">
        <f t="shared" si="1"/>
        <v>-2.8636835200000021</v>
      </c>
      <c r="F97" s="30">
        <v>42754</v>
      </c>
    </row>
    <row r="98" spans="1:6" x14ac:dyDescent="0.3">
      <c r="A98" s="36" t="s">
        <v>2120</v>
      </c>
      <c r="B98">
        <v>-20.651176159999999</v>
      </c>
      <c r="C98">
        <v>-16.202204500000001</v>
      </c>
      <c r="E98" s="29">
        <f t="shared" si="1"/>
        <v>-4.448971659999998</v>
      </c>
      <c r="F98" s="30">
        <v>42755</v>
      </c>
    </row>
    <row r="99" spans="1:6" x14ac:dyDescent="0.3">
      <c r="A99" s="36" t="s">
        <v>2121</v>
      </c>
      <c r="B99">
        <v>-19.16895302</v>
      </c>
      <c r="C99">
        <v>-16.852417500000001</v>
      </c>
      <c r="E99" s="29">
        <f t="shared" si="1"/>
        <v>-2.3165355199999986</v>
      </c>
      <c r="F99" s="30">
        <v>42756</v>
      </c>
    </row>
    <row r="100" spans="1:6" x14ac:dyDescent="0.3">
      <c r="A100" s="36" t="s">
        <v>2122</v>
      </c>
      <c r="B100">
        <v>-19.19158766</v>
      </c>
      <c r="C100">
        <v>-17.164436599999998</v>
      </c>
      <c r="E100" s="29">
        <f t="shared" si="1"/>
        <v>-2.0271510600000013</v>
      </c>
      <c r="F100" s="30">
        <v>42757</v>
      </c>
    </row>
    <row r="101" spans="1:6" x14ac:dyDescent="0.3">
      <c r="A101" s="36" t="s">
        <v>2123</v>
      </c>
      <c r="B101">
        <v>-19.891459739999998</v>
      </c>
      <c r="C101">
        <v>-15.209600200000001</v>
      </c>
      <c r="E101" s="29">
        <f t="shared" si="1"/>
        <v>-4.6818595399999978</v>
      </c>
      <c r="F101" s="30">
        <v>42758</v>
      </c>
    </row>
    <row r="102" spans="1:6" x14ac:dyDescent="0.3">
      <c r="A102" s="36" t="s">
        <v>2124</v>
      </c>
      <c r="B102">
        <v>-19.706514940000002</v>
      </c>
      <c r="C102">
        <v>-15.989852900000001</v>
      </c>
      <c r="E102" s="29">
        <f t="shared" si="1"/>
        <v>-3.716662040000001</v>
      </c>
      <c r="F102" s="30">
        <v>42759</v>
      </c>
    </row>
    <row r="103" spans="1:6" x14ac:dyDescent="0.3">
      <c r="A103" s="36" t="s">
        <v>2125</v>
      </c>
      <c r="B103">
        <v>-19.688874030000001</v>
      </c>
      <c r="C103">
        <v>-15.3898195</v>
      </c>
      <c r="E103" s="29">
        <f t="shared" si="1"/>
        <v>-4.2990545300000012</v>
      </c>
      <c r="F103" s="30">
        <v>42760</v>
      </c>
    </row>
    <row r="104" spans="1:6" x14ac:dyDescent="0.3">
      <c r="A104" s="36" t="s">
        <v>2126</v>
      </c>
      <c r="B104">
        <v>-20.407325820000001</v>
      </c>
      <c r="C104">
        <v>-15.3321305</v>
      </c>
      <c r="E104" s="29">
        <f t="shared" si="1"/>
        <v>-5.0751953200000006</v>
      </c>
      <c r="F104" s="30">
        <v>42761</v>
      </c>
    </row>
    <row r="105" spans="1:6" x14ac:dyDescent="0.3">
      <c r="A105" s="36" t="s">
        <v>2127</v>
      </c>
      <c r="B105">
        <v>-19.154109609999999</v>
      </c>
      <c r="C105">
        <v>-15.776040200000001</v>
      </c>
      <c r="E105" s="29">
        <f t="shared" si="1"/>
        <v>-3.3780694099999984</v>
      </c>
      <c r="F105" s="30">
        <v>42762</v>
      </c>
    </row>
    <row r="106" spans="1:6" x14ac:dyDescent="0.3">
      <c r="A106" s="36" t="s">
        <v>2128</v>
      </c>
      <c r="B106">
        <v>-19.883014450000001</v>
      </c>
      <c r="C106">
        <v>-16.840017799999998</v>
      </c>
      <c r="E106" s="29">
        <f t="shared" si="1"/>
        <v>-3.0429966500000027</v>
      </c>
      <c r="F106" s="30">
        <v>42763</v>
      </c>
    </row>
    <row r="107" spans="1:6" x14ac:dyDescent="0.3">
      <c r="A107" s="36" t="s">
        <v>2129</v>
      </c>
      <c r="B107">
        <v>-19.178556579999999</v>
      </c>
      <c r="C107">
        <v>-16.814298900000001</v>
      </c>
      <c r="E107" s="29">
        <f t="shared" si="1"/>
        <v>-2.3642576799999979</v>
      </c>
      <c r="F107" s="30">
        <v>42764</v>
      </c>
    </row>
    <row r="108" spans="1:6" x14ac:dyDescent="0.3">
      <c r="A108" s="36" t="s">
        <v>2130</v>
      </c>
      <c r="B108">
        <v>-18.403935910000001</v>
      </c>
      <c r="C108">
        <v>-17.4297799</v>
      </c>
      <c r="E108" s="29">
        <f t="shared" si="1"/>
        <v>-0.97415601000000152</v>
      </c>
      <c r="F108" s="30">
        <v>42765</v>
      </c>
    </row>
    <row r="109" spans="1:6" x14ac:dyDescent="0.3">
      <c r="A109" s="36" t="s">
        <v>2131</v>
      </c>
      <c r="B109">
        <v>-18.418255039999998</v>
      </c>
      <c r="C109">
        <v>-17.570889699999999</v>
      </c>
      <c r="E109" s="29">
        <f t="shared" si="1"/>
        <v>-0.84736533999999963</v>
      </c>
      <c r="F109" s="30">
        <v>42766</v>
      </c>
    </row>
    <row r="110" spans="1:6" x14ac:dyDescent="0.3">
      <c r="A110" s="36" t="s">
        <v>2132</v>
      </c>
      <c r="B110">
        <v>-17.47835942</v>
      </c>
      <c r="C110">
        <v>-17.698716699999999</v>
      </c>
      <c r="E110" s="29">
        <f t="shared" si="1"/>
        <v>0.22035727999999821</v>
      </c>
      <c r="F110" s="30">
        <v>42767</v>
      </c>
    </row>
    <row r="111" spans="1:6" x14ac:dyDescent="0.3">
      <c r="A111" s="36" t="s">
        <v>2133</v>
      </c>
      <c r="B111">
        <v>-18.092131240000001</v>
      </c>
      <c r="C111">
        <v>-17.8294754</v>
      </c>
      <c r="E111" s="29">
        <f t="shared" si="1"/>
        <v>-0.26265584000000075</v>
      </c>
      <c r="F111" s="30">
        <v>42768</v>
      </c>
    </row>
    <row r="112" spans="1:6" x14ac:dyDescent="0.3">
      <c r="A112" s="36" t="s">
        <v>2134</v>
      </c>
      <c r="B112">
        <v>-19.423186749999999</v>
      </c>
      <c r="C112">
        <v>-16.469220400000001</v>
      </c>
      <c r="E112" s="29">
        <f t="shared" si="1"/>
        <v>-2.9539663499999982</v>
      </c>
      <c r="F112" s="30">
        <v>42769</v>
      </c>
    </row>
    <row r="113" spans="1:6" x14ac:dyDescent="0.3">
      <c r="A113" s="36" t="s">
        <v>2135</v>
      </c>
      <c r="B113">
        <v>-19.570481659999999</v>
      </c>
      <c r="C113">
        <v>-16.262337800000001</v>
      </c>
      <c r="E113" s="29">
        <f t="shared" si="1"/>
        <v>-3.3081438599999977</v>
      </c>
      <c r="F113" s="30">
        <v>42770</v>
      </c>
    </row>
    <row r="114" spans="1:6" x14ac:dyDescent="0.3">
      <c r="A114" s="36" t="s">
        <v>2136</v>
      </c>
      <c r="B114">
        <v>-20.829972489999999</v>
      </c>
      <c r="C114">
        <v>-16.224959299999998</v>
      </c>
      <c r="E114" s="29">
        <f t="shared" si="1"/>
        <v>-4.6050131900000011</v>
      </c>
      <c r="F114" s="30">
        <v>42771</v>
      </c>
    </row>
    <row r="115" spans="1:6" x14ac:dyDescent="0.3">
      <c r="A115" s="36" t="s">
        <v>2137</v>
      </c>
      <c r="B115">
        <v>-21.457286280000002</v>
      </c>
      <c r="C115">
        <v>-14.6540695</v>
      </c>
      <c r="E115" s="29">
        <f t="shared" si="1"/>
        <v>-6.8032167800000014</v>
      </c>
      <c r="F115" s="30">
        <v>42772</v>
      </c>
    </row>
    <row r="116" spans="1:6" x14ac:dyDescent="0.3">
      <c r="A116" s="36" t="s">
        <v>2138</v>
      </c>
      <c r="B116">
        <v>-19.758032579999998</v>
      </c>
      <c r="C116">
        <v>-15.067887300000001</v>
      </c>
      <c r="E116" s="29">
        <f t="shared" si="1"/>
        <v>-4.6901452799999976</v>
      </c>
      <c r="F116" s="30">
        <v>42773</v>
      </c>
    </row>
    <row r="117" spans="1:6" x14ac:dyDescent="0.3">
      <c r="A117" s="36" t="s">
        <v>2139</v>
      </c>
      <c r="B117">
        <v>-18.570933499999999</v>
      </c>
      <c r="C117">
        <v>-15.553909900000001</v>
      </c>
      <c r="E117" s="29">
        <f t="shared" si="1"/>
        <v>-3.0170235999999981</v>
      </c>
      <c r="F117" s="30">
        <v>42774</v>
      </c>
    </row>
    <row r="118" spans="1:6" x14ac:dyDescent="0.3">
      <c r="A118" s="36" t="s">
        <v>2140</v>
      </c>
      <c r="B118">
        <v>-19.73347184</v>
      </c>
      <c r="C118">
        <v>-14.007391</v>
      </c>
      <c r="E118" s="29">
        <f t="shared" si="1"/>
        <v>-5.7260808399999998</v>
      </c>
      <c r="F118" s="30">
        <v>42775</v>
      </c>
    </row>
    <row r="119" spans="1:6" x14ac:dyDescent="0.3">
      <c r="A119" s="36" t="s">
        <v>2141</v>
      </c>
      <c r="B119">
        <v>-20.845235299999999</v>
      </c>
      <c r="C119">
        <v>-15.020377099999999</v>
      </c>
      <c r="E119" s="29">
        <f t="shared" si="1"/>
        <v>-5.8248581999999995</v>
      </c>
      <c r="F119" s="30">
        <v>42776</v>
      </c>
    </row>
    <row r="120" spans="1:6" x14ac:dyDescent="0.3">
      <c r="A120" s="36" t="s">
        <v>2142</v>
      </c>
      <c r="B120">
        <v>-19.62397193</v>
      </c>
      <c r="C120">
        <v>-16.430812599999999</v>
      </c>
      <c r="E120" s="29">
        <f t="shared" si="1"/>
        <v>-3.1931593300000003</v>
      </c>
      <c r="F120" s="30">
        <v>42777</v>
      </c>
    </row>
    <row r="121" spans="1:6" x14ac:dyDescent="0.3">
      <c r="A121" s="36" t="s">
        <v>2143</v>
      </c>
      <c r="B121">
        <v>-20.338923919999999</v>
      </c>
      <c r="C121">
        <v>-16.519365400000002</v>
      </c>
      <c r="E121" s="29">
        <f t="shared" si="1"/>
        <v>-3.8195585199999975</v>
      </c>
      <c r="F121" s="30">
        <v>42778</v>
      </c>
    </row>
    <row r="122" spans="1:6" x14ac:dyDescent="0.3">
      <c r="A122" s="36" t="s">
        <v>2144</v>
      </c>
      <c r="B122">
        <v>-20.287590359999999</v>
      </c>
      <c r="C122">
        <v>-19.009781199999999</v>
      </c>
      <c r="E122" s="29">
        <f t="shared" si="1"/>
        <v>-1.2778091600000003</v>
      </c>
      <c r="F122" s="30">
        <v>42779</v>
      </c>
    </row>
    <row r="123" spans="1:6" x14ac:dyDescent="0.3">
      <c r="A123" s="36" t="s">
        <v>2145</v>
      </c>
      <c r="B123">
        <v>-20.340051460000002</v>
      </c>
      <c r="C123">
        <v>-19.233762299999999</v>
      </c>
      <c r="E123" s="29">
        <f t="shared" si="1"/>
        <v>-1.1062891600000029</v>
      </c>
      <c r="F123" s="30">
        <v>42780</v>
      </c>
    </row>
    <row r="124" spans="1:6" x14ac:dyDescent="0.3">
      <c r="A124" s="36" t="s">
        <v>2146</v>
      </c>
      <c r="B124">
        <v>-19.44797801</v>
      </c>
      <c r="C124">
        <v>-19.3249897</v>
      </c>
      <c r="E124" s="29">
        <f t="shared" si="1"/>
        <v>-0.12298831000000021</v>
      </c>
      <c r="F124" s="30">
        <v>42781</v>
      </c>
    </row>
    <row r="125" spans="1:6" x14ac:dyDescent="0.3">
      <c r="A125" s="36" t="s">
        <v>2147</v>
      </c>
      <c r="B125">
        <v>-19.096562389999999</v>
      </c>
      <c r="C125">
        <v>-18.108245400000001</v>
      </c>
      <c r="E125" s="29">
        <f t="shared" si="1"/>
        <v>-0.98831698999999773</v>
      </c>
      <c r="F125" s="30">
        <v>42782</v>
      </c>
    </row>
    <row r="126" spans="1:6" x14ac:dyDescent="0.3">
      <c r="A126" s="36" t="s">
        <v>2148</v>
      </c>
      <c r="B126">
        <v>-19.726582629999999</v>
      </c>
      <c r="C126">
        <v>-17.947754400000001</v>
      </c>
      <c r="E126" s="29">
        <f t="shared" si="1"/>
        <v>-1.7788282299999985</v>
      </c>
      <c r="F126" s="30">
        <v>42783</v>
      </c>
    </row>
    <row r="127" spans="1:6" x14ac:dyDescent="0.3">
      <c r="A127" s="36" t="s">
        <v>2149</v>
      </c>
      <c r="B127">
        <v>-20.018376060000001</v>
      </c>
      <c r="C127">
        <v>-16.899024399999998</v>
      </c>
      <c r="E127" s="29">
        <f t="shared" si="1"/>
        <v>-3.1193516600000031</v>
      </c>
      <c r="F127" s="30">
        <v>42784</v>
      </c>
    </row>
    <row r="128" spans="1:6" x14ac:dyDescent="0.3">
      <c r="A128" s="36" t="s">
        <v>2150</v>
      </c>
      <c r="B128">
        <v>-20.24420486</v>
      </c>
      <c r="C128">
        <v>-18.4488658</v>
      </c>
      <c r="E128" s="29">
        <f t="shared" si="1"/>
        <v>-1.7953390599999999</v>
      </c>
      <c r="F128" s="30">
        <v>42785</v>
      </c>
    </row>
    <row r="129" spans="1:6" x14ac:dyDescent="0.3">
      <c r="A129" s="36" t="s">
        <v>2151</v>
      </c>
      <c r="B129">
        <v>-21.178840879999999</v>
      </c>
      <c r="C129">
        <v>-17.0189816</v>
      </c>
      <c r="E129" s="29">
        <f t="shared" si="1"/>
        <v>-4.1598592799999992</v>
      </c>
      <c r="F129" s="30">
        <v>42786</v>
      </c>
    </row>
    <row r="130" spans="1:6" x14ac:dyDescent="0.3">
      <c r="A130" s="36" t="s">
        <v>2152</v>
      </c>
      <c r="B130">
        <v>-21.522310569999998</v>
      </c>
      <c r="C130">
        <v>-17.216241400000001</v>
      </c>
      <c r="E130" s="29">
        <f t="shared" si="1"/>
        <v>-4.3060691699999971</v>
      </c>
      <c r="F130" s="30">
        <v>42787</v>
      </c>
    </row>
    <row r="131" spans="1:6" x14ac:dyDescent="0.3">
      <c r="A131" s="36" t="s">
        <v>2153</v>
      </c>
      <c r="B131">
        <v>-21.951613630000001</v>
      </c>
      <c r="C131">
        <v>-18.514737100000001</v>
      </c>
      <c r="E131" s="29">
        <f t="shared" ref="E131:E194" si="2">B131-C131</f>
        <v>-3.4368765299999993</v>
      </c>
      <c r="F131" s="30">
        <v>42788</v>
      </c>
    </row>
    <row r="132" spans="1:6" x14ac:dyDescent="0.3">
      <c r="A132" s="36" t="s">
        <v>2154</v>
      </c>
      <c r="B132">
        <v>-21.139497240000001</v>
      </c>
      <c r="C132">
        <v>-17.741937700000001</v>
      </c>
      <c r="E132" s="29">
        <f t="shared" si="2"/>
        <v>-3.3975595399999996</v>
      </c>
      <c r="F132" s="30">
        <v>42789</v>
      </c>
    </row>
    <row r="133" spans="1:6" x14ac:dyDescent="0.3">
      <c r="A133" s="36" t="s">
        <v>2155</v>
      </c>
      <c r="B133">
        <v>-21.697998210000002</v>
      </c>
      <c r="C133">
        <v>-18.024115800000001</v>
      </c>
      <c r="E133" s="29">
        <f t="shared" si="2"/>
        <v>-3.6738824100000009</v>
      </c>
      <c r="F133" s="30">
        <v>42790</v>
      </c>
    </row>
    <row r="134" spans="1:6" x14ac:dyDescent="0.3">
      <c r="A134" s="36" t="s">
        <v>2156</v>
      </c>
      <c r="B134">
        <v>-22.181200230000002</v>
      </c>
      <c r="C134">
        <v>-17.885097699999999</v>
      </c>
      <c r="E134" s="29">
        <f t="shared" si="2"/>
        <v>-4.2961025300000024</v>
      </c>
      <c r="F134" s="30">
        <v>42791</v>
      </c>
    </row>
    <row r="135" spans="1:6" x14ac:dyDescent="0.3">
      <c r="A135" s="36" t="s">
        <v>2157</v>
      </c>
      <c r="B135">
        <v>-23.010291590000001</v>
      </c>
      <c r="C135">
        <v>-17.8028756</v>
      </c>
      <c r="E135" s="29">
        <f t="shared" si="2"/>
        <v>-5.2074159900000012</v>
      </c>
      <c r="F135" s="30">
        <v>42792</v>
      </c>
    </row>
    <row r="136" spans="1:6" x14ac:dyDescent="0.3">
      <c r="A136" s="36" t="s">
        <v>2158</v>
      </c>
      <c r="B136">
        <v>-22.47854778</v>
      </c>
      <c r="C136">
        <v>-17.285907699999999</v>
      </c>
      <c r="E136" s="29">
        <f t="shared" si="2"/>
        <v>-5.1926400800000003</v>
      </c>
      <c r="F136" s="30">
        <v>42793</v>
      </c>
    </row>
    <row r="137" spans="1:6" x14ac:dyDescent="0.3">
      <c r="A137" s="36" t="s">
        <v>2159</v>
      </c>
      <c r="B137">
        <v>-21.636058309999999</v>
      </c>
      <c r="C137">
        <v>-18.008300999999999</v>
      </c>
      <c r="E137" s="29">
        <f t="shared" si="2"/>
        <v>-3.6277573099999998</v>
      </c>
      <c r="F137" s="30">
        <v>42794</v>
      </c>
    </row>
    <row r="138" spans="1:6" x14ac:dyDescent="0.3">
      <c r="A138" s="36" t="s">
        <v>2160</v>
      </c>
      <c r="B138">
        <v>-20.401772000000001</v>
      </c>
      <c r="C138">
        <v>-18.525984600000001</v>
      </c>
      <c r="E138" s="29">
        <f t="shared" si="2"/>
        <v>-1.8757874000000001</v>
      </c>
      <c r="F138" s="30">
        <v>42795</v>
      </c>
    </row>
    <row r="139" spans="1:6" x14ac:dyDescent="0.3">
      <c r="A139" s="36" t="s">
        <v>2161</v>
      </c>
      <c r="B139">
        <v>-18.779045140000001</v>
      </c>
      <c r="C139">
        <v>-18.7909975</v>
      </c>
      <c r="E139" s="29">
        <f t="shared" si="2"/>
        <v>1.1952359999998663E-2</v>
      </c>
      <c r="F139" s="30">
        <v>42796</v>
      </c>
    </row>
    <row r="140" spans="1:6" x14ac:dyDescent="0.3">
      <c r="A140" s="36" t="s">
        <v>2162</v>
      </c>
      <c r="B140">
        <v>-17.104260490000001</v>
      </c>
      <c r="C140">
        <v>-18.5455255</v>
      </c>
      <c r="E140" s="29">
        <f t="shared" si="2"/>
        <v>1.4412650099999986</v>
      </c>
      <c r="F140" s="30">
        <v>42797</v>
      </c>
    </row>
    <row r="141" spans="1:6" x14ac:dyDescent="0.3">
      <c r="A141" s="36" t="s">
        <v>2163</v>
      </c>
      <c r="B141">
        <v>-16.099077560000001</v>
      </c>
      <c r="C141">
        <v>-18.9642306</v>
      </c>
      <c r="E141" s="29">
        <f t="shared" si="2"/>
        <v>2.8651530399999992</v>
      </c>
      <c r="F141" s="30">
        <v>42798</v>
      </c>
    </row>
    <row r="142" spans="1:6" x14ac:dyDescent="0.3">
      <c r="A142" s="36" t="s">
        <v>2164</v>
      </c>
      <c r="B142">
        <v>-17.154599900000001</v>
      </c>
      <c r="C142">
        <v>-19.0516769</v>
      </c>
      <c r="E142" s="29">
        <f t="shared" si="2"/>
        <v>1.8970769999999995</v>
      </c>
      <c r="F142" s="30">
        <v>42799</v>
      </c>
    </row>
    <row r="143" spans="1:6" x14ac:dyDescent="0.3">
      <c r="A143" s="36" t="s">
        <v>2165</v>
      </c>
      <c r="B143">
        <v>-14.582316949999999</v>
      </c>
      <c r="C143">
        <v>-19.440009700000001</v>
      </c>
      <c r="E143" s="29">
        <f t="shared" si="2"/>
        <v>4.8576927500000018</v>
      </c>
      <c r="F143" s="30">
        <v>42800</v>
      </c>
    </row>
    <row r="144" spans="1:6" x14ac:dyDescent="0.3">
      <c r="A144" s="36" t="s">
        <v>2166</v>
      </c>
      <c r="B144">
        <v>-14.97689448</v>
      </c>
      <c r="C144">
        <v>-20.5990827</v>
      </c>
      <c r="E144" s="29">
        <f t="shared" si="2"/>
        <v>5.62218822</v>
      </c>
      <c r="F144" s="30">
        <v>42801</v>
      </c>
    </row>
    <row r="145" spans="1:6" x14ac:dyDescent="0.3">
      <c r="A145" s="36" t="s">
        <v>2167</v>
      </c>
      <c r="B145">
        <v>-13.41964404</v>
      </c>
      <c r="C145">
        <v>-21.135732900000001</v>
      </c>
      <c r="E145" s="29">
        <f t="shared" si="2"/>
        <v>7.716088860000001</v>
      </c>
      <c r="F145" s="30">
        <v>42802</v>
      </c>
    </row>
    <row r="146" spans="1:6" x14ac:dyDescent="0.3">
      <c r="A146" s="36" t="s">
        <v>2168</v>
      </c>
      <c r="B146">
        <v>-13.02986477</v>
      </c>
      <c r="C146">
        <v>-20.305707200000001</v>
      </c>
      <c r="E146" s="29">
        <f t="shared" si="2"/>
        <v>7.2758424300000009</v>
      </c>
      <c r="F146" s="30">
        <v>42803</v>
      </c>
    </row>
    <row r="147" spans="1:6" x14ac:dyDescent="0.3">
      <c r="A147" s="36" t="s">
        <v>2169</v>
      </c>
      <c r="B147">
        <v>-12.617513300000001</v>
      </c>
      <c r="C147">
        <v>-20.514545699999999</v>
      </c>
      <c r="E147" s="29">
        <f t="shared" si="2"/>
        <v>7.8970323999999987</v>
      </c>
      <c r="F147" s="30">
        <v>42804</v>
      </c>
    </row>
    <row r="148" spans="1:6" x14ac:dyDescent="0.3">
      <c r="A148" s="36" t="s">
        <v>2170</v>
      </c>
      <c r="B148">
        <v>-13.25575418</v>
      </c>
      <c r="C148">
        <v>-19.9150603</v>
      </c>
      <c r="E148" s="29">
        <f t="shared" si="2"/>
        <v>6.6593061200000001</v>
      </c>
      <c r="F148" s="30">
        <v>42805</v>
      </c>
    </row>
    <row r="149" spans="1:6" x14ac:dyDescent="0.3">
      <c r="A149" s="36" t="s">
        <v>2171</v>
      </c>
      <c r="B149">
        <v>-12.33822629</v>
      </c>
      <c r="C149">
        <v>-21.165655900000001</v>
      </c>
      <c r="E149" s="29">
        <f t="shared" si="2"/>
        <v>8.8274296100000011</v>
      </c>
      <c r="F149" s="30">
        <v>42806</v>
      </c>
    </row>
    <row r="150" spans="1:6" x14ac:dyDescent="0.3">
      <c r="A150" s="36" t="s">
        <v>2172</v>
      </c>
      <c r="B150">
        <v>-11.80965653</v>
      </c>
      <c r="C150">
        <v>-20.857034800000001</v>
      </c>
      <c r="E150" s="29">
        <f t="shared" si="2"/>
        <v>9.0473782700000012</v>
      </c>
      <c r="F150" s="30">
        <v>42807</v>
      </c>
    </row>
    <row r="151" spans="1:6" x14ac:dyDescent="0.3">
      <c r="A151" s="36" t="s">
        <v>2173</v>
      </c>
      <c r="B151">
        <v>-10.64868813</v>
      </c>
      <c r="C151">
        <v>-21.3788521</v>
      </c>
      <c r="E151" s="29">
        <f t="shared" si="2"/>
        <v>10.73016397</v>
      </c>
      <c r="F151" s="30">
        <v>42808</v>
      </c>
    </row>
    <row r="152" spans="1:6" x14ac:dyDescent="0.3">
      <c r="A152" s="36" t="s">
        <v>2174</v>
      </c>
      <c r="B152">
        <v>-12.55227039</v>
      </c>
      <c r="C152">
        <v>-22.544112200000001</v>
      </c>
      <c r="E152" s="29">
        <f t="shared" si="2"/>
        <v>9.9918418100000004</v>
      </c>
      <c r="F152" s="30">
        <v>42809</v>
      </c>
    </row>
    <row r="153" spans="1:6" x14ac:dyDescent="0.3">
      <c r="A153" s="36" t="s">
        <v>2175</v>
      </c>
      <c r="B153">
        <v>-11.948765529999999</v>
      </c>
      <c r="C153">
        <v>-23.013523599999999</v>
      </c>
      <c r="E153" s="29">
        <f t="shared" si="2"/>
        <v>11.06475807</v>
      </c>
      <c r="F153" s="30">
        <v>42810</v>
      </c>
    </row>
    <row r="154" spans="1:6" x14ac:dyDescent="0.3">
      <c r="A154" s="36" t="s">
        <v>2176</v>
      </c>
      <c r="B154">
        <v>-12.04998243</v>
      </c>
      <c r="C154">
        <v>-22.5320137</v>
      </c>
      <c r="E154" s="29">
        <f t="shared" si="2"/>
        <v>10.48203127</v>
      </c>
      <c r="F154" s="30">
        <v>42811</v>
      </c>
    </row>
    <row r="155" spans="1:6" x14ac:dyDescent="0.3">
      <c r="A155" s="36" t="s">
        <v>2177</v>
      </c>
      <c r="B155">
        <v>-12.6479204</v>
      </c>
      <c r="C155">
        <v>-22.141708900000001</v>
      </c>
      <c r="E155" s="29">
        <f t="shared" si="2"/>
        <v>9.4937885000000009</v>
      </c>
      <c r="F155" s="30">
        <v>42812</v>
      </c>
    </row>
    <row r="156" spans="1:6" x14ac:dyDescent="0.3">
      <c r="A156" s="36" t="s">
        <v>2178</v>
      </c>
      <c r="B156">
        <v>-14.270535410000001</v>
      </c>
      <c r="C156">
        <v>-22.713465100000001</v>
      </c>
      <c r="E156" s="29">
        <f t="shared" si="2"/>
        <v>8.4429296899999997</v>
      </c>
      <c r="F156" s="30">
        <v>42813</v>
      </c>
    </row>
    <row r="157" spans="1:6" x14ac:dyDescent="0.3">
      <c r="A157" s="36" t="s">
        <v>2179</v>
      </c>
      <c r="B157">
        <v>-16.56043137</v>
      </c>
      <c r="C157">
        <v>-21.1862633</v>
      </c>
      <c r="E157" s="29">
        <f t="shared" si="2"/>
        <v>4.6258319300000004</v>
      </c>
      <c r="F157" s="30">
        <v>42814</v>
      </c>
    </row>
    <row r="158" spans="1:6" x14ac:dyDescent="0.3">
      <c r="A158" s="36" t="s">
        <v>2180</v>
      </c>
      <c r="B158">
        <v>-16.60179389</v>
      </c>
      <c r="C158">
        <v>-21.674114700000001</v>
      </c>
      <c r="E158" s="29">
        <f t="shared" si="2"/>
        <v>5.0723208100000008</v>
      </c>
      <c r="F158" s="30">
        <v>42815</v>
      </c>
    </row>
    <row r="159" spans="1:6" x14ac:dyDescent="0.3">
      <c r="A159" s="36" t="s">
        <v>2181</v>
      </c>
      <c r="B159">
        <v>-15.581061829999999</v>
      </c>
      <c r="C159">
        <v>-21.592143199999999</v>
      </c>
      <c r="E159" s="29">
        <f t="shared" si="2"/>
        <v>6.0110813699999994</v>
      </c>
      <c r="F159" s="30">
        <v>42816</v>
      </c>
    </row>
    <row r="160" spans="1:6" x14ac:dyDescent="0.3">
      <c r="A160" s="36" t="s">
        <v>2182</v>
      </c>
      <c r="B160">
        <v>-15.183905859999999</v>
      </c>
      <c r="C160">
        <v>-23.635509899999999</v>
      </c>
      <c r="E160" s="29">
        <f t="shared" si="2"/>
        <v>8.4516040399999994</v>
      </c>
      <c r="F160" s="30">
        <v>42817</v>
      </c>
    </row>
    <row r="161" spans="1:6" x14ac:dyDescent="0.3">
      <c r="A161" s="36" t="s">
        <v>2183</v>
      </c>
      <c r="B161">
        <v>-15.899358210000001</v>
      </c>
      <c r="C161">
        <v>-25.1148472</v>
      </c>
      <c r="E161" s="29">
        <f t="shared" si="2"/>
        <v>9.215488989999999</v>
      </c>
      <c r="F161" s="30">
        <v>42818</v>
      </c>
    </row>
    <row r="162" spans="1:6" x14ac:dyDescent="0.3">
      <c r="A162" s="36" t="s">
        <v>2184</v>
      </c>
      <c r="B162">
        <v>-16.268209720000002</v>
      </c>
      <c r="C162">
        <v>-24.220566900000001</v>
      </c>
      <c r="E162" s="29">
        <f t="shared" si="2"/>
        <v>7.9523571799999999</v>
      </c>
      <c r="F162" s="30">
        <v>42819</v>
      </c>
    </row>
    <row r="163" spans="1:6" x14ac:dyDescent="0.3">
      <c r="A163" s="36" t="s">
        <v>2185</v>
      </c>
      <c r="B163">
        <v>-16.127196609999999</v>
      </c>
      <c r="C163">
        <v>-23.7003153</v>
      </c>
      <c r="E163" s="29">
        <f t="shared" si="2"/>
        <v>7.5731186900000012</v>
      </c>
      <c r="F163" s="30">
        <v>42820</v>
      </c>
    </row>
    <row r="164" spans="1:6" x14ac:dyDescent="0.3">
      <c r="A164" s="36" t="s">
        <v>2186</v>
      </c>
      <c r="B164">
        <v>-17.342690910000002</v>
      </c>
      <c r="C164">
        <v>-23.510581500000001</v>
      </c>
      <c r="E164" s="29">
        <f t="shared" si="2"/>
        <v>6.167890589999999</v>
      </c>
      <c r="F164" s="30">
        <v>42821</v>
      </c>
    </row>
    <row r="165" spans="1:6" x14ac:dyDescent="0.3">
      <c r="A165" s="36" t="s">
        <v>2187</v>
      </c>
      <c r="B165">
        <v>-15.996459270000001</v>
      </c>
      <c r="C165">
        <v>-24.011608299999999</v>
      </c>
      <c r="E165" s="29">
        <f t="shared" si="2"/>
        <v>8.0151490299999981</v>
      </c>
      <c r="F165" s="30">
        <v>42822</v>
      </c>
    </row>
    <row r="166" spans="1:6" x14ac:dyDescent="0.3">
      <c r="A166" s="36" t="s">
        <v>2188</v>
      </c>
      <c r="B166">
        <v>-16.835539170000001</v>
      </c>
      <c r="C166">
        <v>-25.695449700000001</v>
      </c>
      <c r="E166" s="29">
        <f t="shared" si="2"/>
        <v>8.8599105300000005</v>
      </c>
      <c r="F166" s="30">
        <v>42823</v>
      </c>
    </row>
    <row r="167" spans="1:6" x14ac:dyDescent="0.3">
      <c r="A167" s="36" t="s">
        <v>2189</v>
      </c>
      <c r="B167">
        <v>-18.033859679999999</v>
      </c>
      <c r="C167">
        <v>-24.874627199999999</v>
      </c>
      <c r="E167" s="29">
        <f t="shared" si="2"/>
        <v>6.84076752</v>
      </c>
      <c r="F167" s="30">
        <v>42824</v>
      </c>
    </row>
    <row r="168" spans="1:6" x14ac:dyDescent="0.3">
      <c r="A168" s="36" t="s">
        <v>2190</v>
      </c>
      <c r="B168">
        <v>-17.04966383</v>
      </c>
      <c r="C168">
        <v>-25.222137</v>
      </c>
      <c r="E168" s="29">
        <f t="shared" si="2"/>
        <v>8.17247317</v>
      </c>
      <c r="F168" s="30">
        <v>42825</v>
      </c>
    </row>
    <row r="169" spans="1:6" x14ac:dyDescent="0.3">
      <c r="A169" s="36" t="s">
        <v>2191</v>
      </c>
      <c r="B169">
        <v>-17.225288939999999</v>
      </c>
      <c r="C169">
        <v>-26.190880400000001</v>
      </c>
      <c r="E169" s="29">
        <f t="shared" si="2"/>
        <v>8.9655914600000024</v>
      </c>
      <c r="F169" s="30">
        <v>42826</v>
      </c>
    </row>
    <row r="170" spans="1:6" x14ac:dyDescent="0.3">
      <c r="A170" s="36" t="s">
        <v>2192</v>
      </c>
      <c r="B170">
        <v>-17.28171472</v>
      </c>
      <c r="C170">
        <v>-26.161393499999999</v>
      </c>
      <c r="E170" s="29">
        <f t="shared" si="2"/>
        <v>8.879678779999999</v>
      </c>
      <c r="F170" s="30">
        <v>42827</v>
      </c>
    </row>
    <row r="171" spans="1:6" x14ac:dyDescent="0.3">
      <c r="A171" s="36" t="s">
        <v>2193</v>
      </c>
      <c r="B171">
        <v>-17.209469210000002</v>
      </c>
      <c r="C171">
        <v>-26.2662598</v>
      </c>
      <c r="E171" s="29">
        <f t="shared" si="2"/>
        <v>9.0567905899999985</v>
      </c>
      <c r="F171" s="30">
        <v>42828</v>
      </c>
    </row>
    <row r="172" spans="1:6" x14ac:dyDescent="0.3">
      <c r="A172" s="36" t="s">
        <v>2194</v>
      </c>
      <c r="B172">
        <v>-15.962560590000001</v>
      </c>
      <c r="C172">
        <v>-28.009038499999999</v>
      </c>
      <c r="E172" s="29">
        <f t="shared" si="2"/>
        <v>12.046477909999998</v>
      </c>
      <c r="F172" s="30">
        <v>42829</v>
      </c>
    </row>
    <row r="173" spans="1:6" x14ac:dyDescent="0.3">
      <c r="A173" s="36" t="s">
        <v>2195</v>
      </c>
      <c r="B173">
        <v>-14.611991079999999</v>
      </c>
      <c r="C173">
        <v>-28.095739999999999</v>
      </c>
      <c r="E173" s="29">
        <f t="shared" si="2"/>
        <v>13.48374892</v>
      </c>
      <c r="F173" s="30">
        <v>42830</v>
      </c>
    </row>
    <row r="174" spans="1:6" x14ac:dyDescent="0.3">
      <c r="A174" s="36" t="s">
        <v>2196</v>
      </c>
      <c r="B174">
        <v>-14.70114987</v>
      </c>
      <c r="C174">
        <v>-28.7858619</v>
      </c>
      <c r="E174" s="29">
        <f t="shared" si="2"/>
        <v>14.08471203</v>
      </c>
      <c r="F174" s="30">
        <v>42831</v>
      </c>
    </row>
    <row r="175" spans="1:6" x14ac:dyDescent="0.3">
      <c r="A175" s="36" t="s">
        <v>2197</v>
      </c>
      <c r="B175">
        <v>-15.723940430000001</v>
      </c>
      <c r="C175">
        <v>-28.7839223</v>
      </c>
      <c r="E175" s="29">
        <f t="shared" si="2"/>
        <v>13.05998187</v>
      </c>
      <c r="F175" s="30">
        <v>42832</v>
      </c>
    </row>
    <row r="176" spans="1:6" x14ac:dyDescent="0.3">
      <c r="A176" s="36" t="s">
        <v>2198</v>
      </c>
      <c r="B176">
        <v>-14.432537760000001</v>
      </c>
      <c r="C176">
        <v>-27.2990423</v>
      </c>
      <c r="E176" s="29">
        <f t="shared" si="2"/>
        <v>12.866504539999999</v>
      </c>
      <c r="F176" s="30">
        <v>42833</v>
      </c>
    </row>
    <row r="177" spans="1:6" x14ac:dyDescent="0.3">
      <c r="A177" s="36" t="s">
        <v>2199</v>
      </c>
      <c r="B177">
        <v>-14.4144066</v>
      </c>
      <c r="C177">
        <v>-28.527208099999999</v>
      </c>
      <c r="E177" s="29">
        <f t="shared" si="2"/>
        <v>14.1128015</v>
      </c>
      <c r="F177" s="30">
        <v>42834</v>
      </c>
    </row>
    <row r="178" spans="1:6" x14ac:dyDescent="0.3">
      <c r="A178" s="36" t="s">
        <v>2200</v>
      </c>
      <c r="B178">
        <v>-14.27976198</v>
      </c>
      <c r="C178">
        <v>-28.168848000000001</v>
      </c>
      <c r="E178" s="29">
        <f t="shared" si="2"/>
        <v>13.889086020000001</v>
      </c>
      <c r="F178" s="30">
        <v>42835</v>
      </c>
    </row>
    <row r="179" spans="1:6" x14ac:dyDescent="0.3">
      <c r="A179" s="36" t="s">
        <v>2201</v>
      </c>
      <c r="B179">
        <v>-13.74719279</v>
      </c>
      <c r="C179">
        <v>-27.106262699999998</v>
      </c>
      <c r="E179" s="29">
        <f t="shared" si="2"/>
        <v>13.359069909999999</v>
      </c>
      <c r="F179" s="30">
        <v>42836</v>
      </c>
    </row>
    <row r="180" spans="1:6" x14ac:dyDescent="0.3">
      <c r="A180" s="36" t="s">
        <v>2202</v>
      </c>
      <c r="B180">
        <v>-12.554781520000001</v>
      </c>
      <c r="C180">
        <v>-25.932908699999999</v>
      </c>
      <c r="E180" s="29">
        <f t="shared" si="2"/>
        <v>13.378127179999998</v>
      </c>
      <c r="F180" s="30">
        <v>42837</v>
      </c>
    </row>
    <row r="181" spans="1:6" x14ac:dyDescent="0.3">
      <c r="A181" s="36" t="s">
        <v>2203</v>
      </c>
      <c r="B181">
        <v>-11.813803890000001</v>
      </c>
      <c r="C181">
        <v>-25.286441199999999</v>
      </c>
      <c r="E181" s="29">
        <f t="shared" si="2"/>
        <v>13.472637309999998</v>
      </c>
      <c r="F181" s="30">
        <v>42838</v>
      </c>
    </row>
    <row r="182" spans="1:6" x14ac:dyDescent="0.3">
      <c r="A182" s="36" t="s">
        <v>2204</v>
      </c>
      <c r="B182">
        <v>-12.782989819999999</v>
      </c>
      <c r="C182">
        <v>-25.3747632</v>
      </c>
      <c r="E182" s="29">
        <f t="shared" si="2"/>
        <v>12.591773380000001</v>
      </c>
      <c r="F182" s="30">
        <v>42839</v>
      </c>
    </row>
    <row r="183" spans="1:6" x14ac:dyDescent="0.3">
      <c r="A183" s="36" t="s">
        <v>2205</v>
      </c>
      <c r="B183">
        <v>-13.40063402</v>
      </c>
      <c r="C183">
        <v>-26.5711765</v>
      </c>
      <c r="E183" s="29">
        <f t="shared" si="2"/>
        <v>13.17054248</v>
      </c>
      <c r="F183" s="30">
        <v>42840</v>
      </c>
    </row>
    <row r="184" spans="1:6" x14ac:dyDescent="0.3">
      <c r="A184" s="36" t="s">
        <v>2206</v>
      </c>
      <c r="B184">
        <v>-12.9301867</v>
      </c>
      <c r="C184">
        <v>-26.883790699999999</v>
      </c>
      <c r="E184" s="29">
        <f t="shared" si="2"/>
        <v>13.953603999999999</v>
      </c>
      <c r="F184" s="30">
        <v>42841</v>
      </c>
    </row>
    <row r="185" spans="1:6" x14ac:dyDescent="0.3">
      <c r="A185" s="36" t="s">
        <v>2207</v>
      </c>
      <c r="B185">
        <v>-14.41713861</v>
      </c>
      <c r="C185">
        <v>-27.896252400000002</v>
      </c>
      <c r="E185" s="29">
        <f t="shared" si="2"/>
        <v>13.479113790000001</v>
      </c>
      <c r="F185" s="30">
        <v>42842</v>
      </c>
    </row>
    <row r="186" spans="1:6" x14ac:dyDescent="0.3">
      <c r="A186" s="36" t="s">
        <v>2208</v>
      </c>
      <c r="B186">
        <v>-14.32756565</v>
      </c>
      <c r="C186">
        <v>-28.491692</v>
      </c>
      <c r="E186" s="29">
        <f t="shared" si="2"/>
        <v>14.16412635</v>
      </c>
      <c r="F186" s="30">
        <v>42843</v>
      </c>
    </row>
    <row r="187" spans="1:6" x14ac:dyDescent="0.3">
      <c r="A187" s="36" t="s">
        <v>2209</v>
      </c>
      <c r="B187">
        <v>-15.897995959999999</v>
      </c>
      <c r="C187">
        <v>-26.841724899999999</v>
      </c>
      <c r="E187" s="29">
        <f t="shared" si="2"/>
        <v>10.94372894</v>
      </c>
      <c r="F187" s="30">
        <v>42844</v>
      </c>
    </row>
    <row r="188" spans="1:6" x14ac:dyDescent="0.3">
      <c r="A188" s="36" t="s">
        <v>2210</v>
      </c>
      <c r="B188">
        <v>-17.177386720000001</v>
      </c>
      <c r="C188">
        <v>-26.2666431</v>
      </c>
      <c r="E188" s="29">
        <f t="shared" si="2"/>
        <v>9.0892563799999984</v>
      </c>
      <c r="F188" s="30">
        <v>42845</v>
      </c>
    </row>
    <row r="189" spans="1:6" x14ac:dyDescent="0.3">
      <c r="A189" s="36" t="s">
        <v>2211</v>
      </c>
      <c r="B189">
        <v>-19.24227462</v>
      </c>
      <c r="C189">
        <v>-27.138673900000001</v>
      </c>
      <c r="E189" s="29">
        <f t="shared" si="2"/>
        <v>7.8963992800000007</v>
      </c>
      <c r="F189" s="30">
        <v>42846</v>
      </c>
    </row>
    <row r="190" spans="1:6" x14ac:dyDescent="0.3">
      <c r="A190" s="36" t="s">
        <v>2212</v>
      </c>
      <c r="B190">
        <v>-20.25147999</v>
      </c>
      <c r="C190">
        <v>-25.6477811</v>
      </c>
      <c r="E190" s="29">
        <f t="shared" si="2"/>
        <v>5.3963011099999996</v>
      </c>
      <c r="F190" s="30">
        <v>42847</v>
      </c>
    </row>
    <row r="191" spans="1:6" x14ac:dyDescent="0.3">
      <c r="A191" s="36" t="s">
        <v>2213</v>
      </c>
      <c r="B191">
        <v>-21.145668910000001</v>
      </c>
      <c r="C191">
        <v>-26.028946300000001</v>
      </c>
      <c r="E191" s="29">
        <f t="shared" si="2"/>
        <v>4.8832773899999999</v>
      </c>
      <c r="F191" s="30">
        <v>42848</v>
      </c>
    </row>
    <row r="192" spans="1:6" x14ac:dyDescent="0.3">
      <c r="A192" s="36" t="s">
        <v>2214</v>
      </c>
      <c r="B192">
        <v>-21.491617130000002</v>
      </c>
      <c r="C192">
        <v>-26.5944234</v>
      </c>
      <c r="E192" s="29">
        <f t="shared" si="2"/>
        <v>5.1028062699999985</v>
      </c>
      <c r="F192" s="30">
        <v>42849</v>
      </c>
    </row>
    <row r="193" spans="1:6" x14ac:dyDescent="0.3">
      <c r="A193" s="36" t="s">
        <v>2215</v>
      </c>
      <c r="B193">
        <v>-21.728442309999998</v>
      </c>
      <c r="C193">
        <v>-27.166183100000001</v>
      </c>
      <c r="E193" s="29">
        <f t="shared" si="2"/>
        <v>5.437740790000003</v>
      </c>
      <c r="F193" s="30">
        <v>42850</v>
      </c>
    </row>
    <row r="194" spans="1:6" x14ac:dyDescent="0.3">
      <c r="A194" s="36" t="s">
        <v>2216</v>
      </c>
      <c r="B194">
        <v>-22.01878421</v>
      </c>
      <c r="C194">
        <v>-27.3923378</v>
      </c>
      <c r="E194" s="29">
        <f t="shared" si="2"/>
        <v>5.3735535900000002</v>
      </c>
      <c r="F194" s="30">
        <v>42851</v>
      </c>
    </row>
    <row r="195" spans="1:6" x14ac:dyDescent="0.3">
      <c r="A195" s="36" t="s">
        <v>2217</v>
      </c>
      <c r="B195">
        <v>-22.779837579999999</v>
      </c>
      <c r="C195">
        <v>-26.860970500000001</v>
      </c>
      <c r="E195" s="29">
        <f t="shared" ref="E195:E258" si="3">B195-C195</f>
        <v>4.0811329200000017</v>
      </c>
      <c r="F195" s="30">
        <v>42852</v>
      </c>
    </row>
    <row r="196" spans="1:6" x14ac:dyDescent="0.3">
      <c r="A196" s="36" t="s">
        <v>2218</v>
      </c>
      <c r="B196">
        <v>-22.19517132</v>
      </c>
      <c r="C196">
        <v>-26.245316599999999</v>
      </c>
      <c r="E196" s="29">
        <f t="shared" si="3"/>
        <v>4.0501452799999988</v>
      </c>
      <c r="F196" s="30">
        <v>42853</v>
      </c>
    </row>
    <row r="197" spans="1:6" x14ac:dyDescent="0.3">
      <c r="A197" s="36" t="s">
        <v>2219</v>
      </c>
      <c r="B197">
        <v>-21.726286630000001</v>
      </c>
      <c r="C197">
        <v>-29.026184799999999</v>
      </c>
      <c r="E197" s="29">
        <f t="shared" si="3"/>
        <v>7.2998981699999987</v>
      </c>
      <c r="F197" s="30">
        <v>42854</v>
      </c>
    </row>
    <row r="198" spans="1:6" x14ac:dyDescent="0.3">
      <c r="A198" s="36" t="s">
        <v>2220</v>
      </c>
      <c r="B198">
        <v>-18.608734370000001</v>
      </c>
      <c r="C198">
        <v>-30.035126600000002</v>
      </c>
      <c r="E198" s="29">
        <f t="shared" si="3"/>
        <v>11.426392230000001</v>
      </c>
      <c r="F198" s="30">
        <v>42855</v>
      </c>
    </row>
    <row r="199" spans="1:6" x14ac:dyDescent="0.3">
      <c r="A199" s="36" t="s">
        <v>2221</v>
      </c>
      <c r="B199">
        <v>-18.886228169999999</v>
      </c>
      <c r="C199">
        <v>-30.1207925</v>
      </c>
      <c r="E199" s="29">
        <f t="shared" si="3"/>
        <v>11.234564330000001</v>
      </c>
      <c r="F199" s="30">
        <v>42856</v>
      </c>
    </row>
    <row r="200" spans="1:6" x14ac:dyDescent="0.3">
      <c r="A200" s="36" t="s">
        <v>2222</v>
      </c>
      <c r="B200">
        <v>-19.869801200000001</v>
      </c>
      <c r="C200">
        <v>-30.0163096</v>
      </c>
      <c r="E200" s="29">
        <f t="shared" si="3"/>
        <v>10.146508399999998</v>
      </c>
      <c r="F200" s="30">
        <v>42857</v>
      </c>
    </row>
    <row r="201" spans="1:6" x14ac:dyDescent="0.3">
      <c r="A201" s="36" t="s">
        <v>2223</v>
      </c>
      <c r="B201">
        <v>-19.305809910000001</v>
      </c>
      <c r="C201">
        <v>-31.247322799999999</v>
      </c>
      <c r="E201" s="29">
        <f t="shared" si="3"/>
        <v>11.941512889999998</v>
      </c>
      <c r="F201" s="30">
        <v>42858</v>
      </c>
    </row>
    <row r="202" spans="1:6" x14ac:dyDescent="0.3">
      <c r="A202" s="36" t="s">
        <v>2224</v>
      </c>
      <c r="B202">
        <v>-20.933974190000001</v>
      </c>
      <c r="C202">
        <v>-29.172867199999999</v>
      </c>
      <c r="E202" s="29">
        <f t="shared" si="3"/>
        <v>8.2388930099999982</v>
      </c>
      <c r="F202" s="30">
        <v>42859</v>
      </c>
    </row>
    <row r="203" spans="1:6" x14ac:dyDescent="0.3">
      <c r="A203" s="36" t="s">
        <v>2225</v>
      </c>
      <c r="B203">
        <v>-22.03338664</v>
      </c>
      <c r="C203">
        <v>-26.869131400000001</v>
      </c>
      <c r="E203" s="29">
        <f t="shared" si="3"/>
        <v>4.8357447600000008</v>
      </c>
      <c r="F203" s="30">
        <v>42860</v>
      </c>
    </row>
    <row r="204" spans="1:6" x14ac:dyDescent="0.3">
      <c r="A204" s="36" t="s">
        <v>2226</v>
      </c>
      <c r="B204">
        <v>-23.487199489999998</v>
      </c>
      <c r="C204">
        <v>-25.418569300000001</v>
      </c>
      <c r="E204" s="29">
        <f t="shared" si="3"/>
        <v>1.9313698100000032</v>
      </c>
      <c r="F204" s="30">
        <v>42861</v>
      </c>
    </row>
    <row r="205" spans="1:6" x14ac:dyDescent="0.3">
      <c r="A205" s="36" t="s">
        <v>2227</v>
      </c>
      <c r="B205">
        <v>-23.23260192</v>
      </c>
      <c r="C205">
        <v>-25.3876241</v>
      </c>
      <c r="E205" s="29">
        <f t="shared" si="3"/>
        <v>2.1550221799999996</v>
      </c>
      <c r="F205" s="30">
        <v>42862</v>
      </c>
    </row>
    <row r="206" spans="1:6" x14ac:dyDescent="0.3">
      <c r="A206" s="36" t="s">
        <v>2228</v>
      </c>
      <c r="B206">
        <v>-22.024806430000002</v>
      </c>
      <c r="C206">
        <v>-25.904498199999999</v>
      </c>
      <c r="E206" s="29">
        <f t="shared" si="3"/>
        <v>3.8796917699999973</v>
      </c>
      <c r="F206" s="30">
        <v>42863</v>
      </c>
    </row>
    <row r="207" spans="1:6" x14ac:dyDescent="0.3">
      <c r="A207" s="36" t="s">
        <v>2229</v>
      </c>
      <c r="B207">
        <v>-21.029665059999999</v>
      </c>
      <c r="C207">
        <v>-24.334852600000001</v>
      </c>
      <c r="E207" s="29">
        <f t="shared" si="3"/>
        <v>3.3051875400000021</v>
      </c>
      <c r="F207" s="30">
        <v>42864</v>
      </c>
    </row>
    <row r="208" spans="1:6" x14ac:dyDescent="0.3">
      <c r="A208" s="36" t="s">
        <v>2230</v>
      </c>
      <c r="B208">
        <v>-21.640366409999999</v>
      </c>
      <c r="C208">
        <v>-24.723111299999999</v>
      </c>
      <c r="E208" s="29">
        <f t="shared" si="3"/>
        <v>3.0827448900000007</v>
      </c>
      <c r="F208" s="30">
        <v>42865</v>
      </c>
    </row>
    <row r="209" spans="1:6" x14ac:dyDescent="0.3">
      <c r="A209" s="36" t="s">
        <v>2231</v>
      </c>
      <c r="B209">
        <v>-20.907907460000001</v>
      </c>
      <c r="C209">
        <v>-25.074074700000001</v>
      </c>
      <c r="E209" s="29">
        <f t="shared" si="3"/>
        <v>4.16616724</v>
      </c>
      <c r="F209" s="30">
        <v>42866</v>
      </c>
    </row>
    <row r="210" spans="1:6" x14ac:dyDescent="0.3">
      <c r="A210" s="36" t="s">
        <v>2232</v>
      </c>
      <c r="B210">
        <v>-20.77903495</v>
      </c>
      <c r="C210">
        <v>-27.164816299999998</v>
      </c>
      <c r="E210" s="29">
        <f t="shared" si="3"/>
        <v>6.3857813499999985</v>
      </c>
      <c r="F210" s="30">
        <v>42867</v>
      </c>
    </row>
    <row r="211" spans="1:6" x14ac:dyDescent="0.3">
      <c r="A211" s="36" t="s">
        <v>2233</v>
      </c>
      <c r="B211">
        <v>-22.780102899999999</v>
      </c>
      <c r="C211">
        <v>-28.558353499999999</v>
      </c>
      <c r="E211" s="29">
        <f t="shared" si="3"/>
        <v>5.7782505999999998</v>
      </c>
      <c r="F211" s="30">
        <v>42868</v>
      </c>
    </row>
    <row r="212" spans="1:6" x14ac:dyDescent="0.3">
      <c r="A212" s="36" t="s">
        <v>2234</v>
      </c>
      <c r="B212">
        <v>-24.36273873</v>
      </c>
      <c r="C212">
        <v>-29.687232000000002</v>
      </c>
      <c r="E212" s="29">
        <f t="shared" si="3"/>
        <v>5.3244932700000014</v>
      </c>
      <c r="F212" s="30">
        <v>42869</v>
      </c>
    </row>
    <row r="213" spans="1:6" x14ac:dyDescent="0.3">
      <c r="A213" s="36" t="s">
        <v>2235</v>
      </c>
      <c r="B213">
        <v>-22.936294870000001</v>
      </c>
      <c r="C213">
        <v>-29.265947600000001</v>
      </c>
      <c r="E213" s="29">
        <f t="shared" si="3"/>
        <v>6.3296527299999994</v>
      </c>
      <c r="F213" s="30">
        <v>42870</v>
      </c>
    </row>
    <row r="214" spans="1:6" x14ac:dyDescent="0.3">
      <c r="A214" s="36" t="s">
        <v>2236</v>
      </c>
      <c r="B214">
        <v>-22.916488149999999</v>
      </c>
      <c r="C214">
        <v>-29.497264900000001</v>
      </c>
      <c r="E214" s="29">
        <f t="shared" si="3"/>
        <v>6.5807767500000018</v>
      </c>
      <c r="F214" s="30">
        <v>42871</v>
      </c>
    </row>
    <row r="215" spans="1:6" x14ac:dyDescent="0.3">
      <c r="A215" s="36" t="s">
        <v>2237</v>
      </c>
      <c r="B215">
        <v>-22.682542860000002</v>
      </c>
      <c r="C215">
        <v>-29.173057499999999</v>
      </c>
      <c r="E215" s="29">
        <f t="shared" si="3"/>
        <v>6.4905146399999971</v>
      </c>
      <c r="F215" s="30">
        <v>42872</v>
      </c>
    </row>
    <row r="216" spans="1:6" x14ac:dyDescent="0.3">
      <c r="A216" s="36" t="s">
        <v>2238</v>
      </c>
      <c r="B216">
        <v>-21.778319799999998</v>
      </c>
      <c r="C216">
        <v>-28.314888700000001</v>
      </c>
      <c r="E216" s="29">
        <f t="shared" si="3"/>
        <v>6.5365689000000025</v>
      </c>
      <c r="F216" s="30">
        <v>42873</v>
      </c>
    </row>
    <row r="217" spans="1:6" x14ac:dyDescent="0.3">
      <c r="A217" s="36" t="s">
        <v>2239</v>
      </c>
      <c r="B217">
        <v>-19.659020170000002</v>
      </c>
      <c r="C217">
        <v>-28.979192300000001</v>
      </c>
      <c r="E217" s="29">
        <f t="shared" si="3"/>
        <v>9.3201721299999996</v>
      </c>
      <c r="F217" s="30">
        <v>42874</v>
      </c>
    </row>
    <row r="218" spans="1:6" x14ac:dyDescent="0.3">
      <c r="A218" s="36" t="s">
        <v>2240</v>
      </c>
      <c r="B218">
        <v>-17.73603636</v>
      </c>
      <c r="C218">
        <v>-26.359545799999999</v>
      </c>
      <c r="E218" s="29">
        <f t="shared" si="3"/>
        <v>8.6235094399999994</v>
      </c>
      <c r="F218" s="30">
        <v>42875</v>
      </c>
    </row>
    <row r="219" spans="1:6" x14ac:dyDescent="0.3">
      <c r="A219" s="36" t="s">
        <v>2241</v>
      </c>
      <c r="B219">
        <v>-18.500664319999998</v>
      </c>
      <c r="C219">
        <v>-27.1393138</v>
      </c>
      <c r="E219" s="29">
        <f t="shared" si="3"/>
        <v>8.6386494800000015</v>
      </c>
      <c r="F219" s="30">
        <v>42876</v>
      </c>
    </row>
    <row r="220" spans="1:6" x14ac:dyDescent="0.3">
      <c r="A220" s="36" t="s">
        <v>2242</v>
      </c>
      <c r="B220">
        <v>-20.260547420000002</v>
      </c>
      <c r="C220">
        <v>-28.8158615</v>
      </c>
      <c r="E220" s="29">
        <f t="shared" si="3"/>
        <v>8.5553140799999987</v>
      </c>
      <c r="F220" s="30">
        <v>42877</v>
      </c>
    </row>
    <row r="221" spans="1:6" x14ac:dyDescent="0.3">
      <c r="A221" s="36" t="s">
        <v>2243</v>
      </c>
      <c r="B221">
        <v>-21.170575589999999</v>
      </c>
      <c r="C221">
        <v>-30.689437300000002</v>
      </c>
      <c r="E221" s="29">
        <f t="shared" si="3"/>
        <v>9.518861710000003</v>
      </c>
      <c r="F221" s="30">
        <v>42878</v>
      </c>
    </row>
    <row r="222" spans="1:6" x14ac:dyDescent="0.3">
      <c r="A222" s="36" t="s">
        <v>2244</v>
      </c>
      <c r="B222">
        <v>-20.154828940000002</v>
      </c>
      <c r="C222">
        <v>-31.652646099999998</v>
      </c>
      <c r="E222" s="29">
        <f t="shared" si="3"/>
        <v>11.497817159999997</v>
      </c>
      <c r="F222" s="30">
        <v>42879</v>
      </c>
    </row>
    <row r="223" spans="1:6" x14ac:dyDescent="0.3">
      <c r="A223" s="36" t="s">
        <v>2245</v>
      </c>
      <c r="B223">
        <v>-20.526086580000001</v>
      </c>
      <c r="C223">
        <v>-32.821001600000002</v>
      </c>
      <c r="E223" s="29">
        <f t="shared" si="3"/>
        <v>12.294915020000001</v>
      </c>
      <c r="F223" s="30">
        <v>42880</v>
      </c>
    </row>
    <row r="224" spans="1:6" x14ac:dyDescent="0.3">
      <c r="A224" s="36" t="s">
        <v>2246</v>
      </c>
      <c r="B224">
        <v>-20.687092539999998</v>
      </c>
      <c r="C224">
        <v>-33.677865099999998</v>
      </c>
      <c r="E224" s="29">
        <f t="shared" si="3"/>
        <v>12.99077256</v>
      </c>
      <c r="F224" s="30">
        <v>42881</v>
      </c>
    </row>
    <row r="225" spans="1:6" x14ac:dyDescent="0.3">
      <c r="A225" s="36" t="s">
        <v>2247</v>
      </c>
      <c r="B225">
        <v>-21.05075416</v>
      </c>
      <c r="C225">
        <v>-33.298758399999997</v>
      </c>
      <c r="E225" s="29">
        <f t="shared" si="3"/>
        <v>12.248004239999997</v>
      </c>
      <c r="F225" s="30">
        <v>42882</v>
      </c>
    </row>
    <row r="226" spans="1:6" x14ac:dyDescent="0.3">
      <c r="A226" s="36" t="s">
        <v>2248</v>
      </c>
      <c r="B226">
        <v>-20.593338989999999</v>
      </c>
      <c r="C226">
        <v>-33.456941899999997</v>
      </c>
      <c r="E226" s="29">
        <f t="shared" si="3"/>
        <v>12.863602909999997</v>
      </c>
      <c r="F226" s="30">
        <v>42883</v>
      </c>
    </row>
    <row r="227" spans="1:6" x14ac:dyDescent="0.3">
      <c r="A227" s="36" t="s">
        <v>2249</v>
      </c>
      <c r="B227">
        <v>-19.43548444</v>
      </c>
      <c r="C227">
        <v>-33.523221700000001</v>
      </c>
      <c r="E227" s="29">
        <f t="shared" si="3"/>
        <v>14.087737260000001</v>
      </c>
      <c r="F227" s="30">
        <v>42884</v>
      </c>
    </row>
    <row r="228" spans="1:6" x14ac:dyDescent="0.3">
      <c r="A228" s="36" t="s">
        <v>2250</v>
      </c>
      <c r="B228">
        <v>-20.914860610000002</v>
      </c>
      <c r="C228">
        <v>-34.243507299999997</v>
      </c>
      <c r="E228" s="29">
        <f t="shared" si="3"/>
        <v>13.328646689999996</v>
      </c>
      <c r="F228" s="30">
        <v>42885</v>
      </c>
    </row>
    <row r="229" spans="1:6" x14ac:dyDescent="0.3">
      <c r="A229" s="36" t="s">
        <v>2251</v>
      </c>
      <c r="B229">
        <v>-21.396945680000002</v>
      </c>
      <c r="C229">
        <v>-33.941693700000002</v>
      </c>
      <c r="E229" s="29">
        <f t="shared" si="3"/>
        <v>12.54474802</v>
      </c>
      <c r="F229" s="30">
        <v>42886</v>
      </c>
    </row>
    <row r="230" spans="1:6" x14ac:dyDescent="0.3">
      <c r="A230" s="36" t="s">
        <v>2252</v>
      </c>
      <c r="B230">
        <v>-22.156889190000001</v>
      </c>
      <c r="C230">
        <v>-32.291618499999998</v>
      </c>
      <c r="E230" s="29">
        <f t="shared" si="3"/>
        <v>10.134729309999997</v>
      </c>
      <c r="F230" s="30">
        <v>42887</v>
      </c>
    </row>
    <row r="231" spans="1:6" x14ac:dyDescent="0.3">
      <c r="A231" s="36" t="s">
        <v>2253</v>
      </c>
      <c r="B231">
        <v>-22.035632069999998</v>
      </c>
      <c r="C231">
        <v>-32.402110999999998</v>
      </c>
      <c r="E231" s="29">
        <f t="shared" si="3"/>
        <v>10.36647893</v>
      </c>
      <c r="F231" s="30">
        <v>42888</v>
      </c>
    </row>
    <row r="232" spans="1:6" x14ac:dyDescent="0.3">
      <c r="A232" s="36" t="s">
        <v>2254</v>
      </c>
      <c r="B232">
        <v>-23.07130961</v>
      </c>
      <c r="C232">
        <v>-32.643394899999997</v>
      </c>
      <c r="E232" s="29">
        <f t="shared" si="3"/>
        <v>9.5720852899999969</v>
      </c>
      <c r="F232" s="30">
        <v>42889</v>
      </c>
    </row>
    <row r="233" spans="1:6" x14ac:dyDescent="0.3">
      <c r="A233" s="36" t="s">
        <v>2255</v>
      </c>
      <c r="B233">
        <v>-25.498735320000002</v>
      </c>
      <c r="C233">
        <v>-34.016148299999998</v>
      </c>
      <c r="E233" s="29">
        <f t="shared" si="3"/>
        <v>8.517412979999996</v>
      </c>
      <c r="F233" s="30">
        <v>42890</v>
      </c>
    </row>
    <row r="234" spans="1:6" x14ac:dyDescent="0.3">
      <c r="A234" s="36" t="s">
        <v>2256</v>
      </c>
      <c r="B234">
        <v>-26.65347307</v>
      </c>
      <c r="C234">
        <v>-32.980642500000002</v>
      </c>
      <c r="E234" s="29">
        <f t="shared" si="3"/>
        <v>6.3271694300000014</v>
      </c>
      <c r="F234" s="30">
        <v>42891</v>
      </c>
    </row>
    <row r="235" spans="1:6" x14ac:dyDescent="0.3">
      <c r="A235" s="36" t="s">
        <v>2257</v>
      </c>
      <c r="B235">
        <v>-27.265148669999999</v>
      </c>
      <c r="C235">
        <v>-31.855244599999999</v>
      </c>
      <c r="E235" s="29">
        <f t="shared" si="3"/>
        <v>4.5900959300000004</v>
      </c>
      <c r="F235" s="30">
        <v>42892</v>
      </c>
    </row>
    <row r="236" spans="1:6" x14ac:dyDescent="0.3">
      <c r="A236" s="36" t="s">
        <v>2258</v>
      </c>
      <c r="B236">
        <v>-28.76021244</v>
      </c>
      <c r="C236">
        <v>-30.490655700000001</v>
      </c>
      <c r="E236" s="29">
        <f t="shared" si="3"/>
        <v>1.7304432600000013</v>
      </c>
      <c r="F236" s="30">
        <v>42893</v>
      </c>
    </row>
    <row r="237" spans="1:6" x14ac:dyDescent="0.3">
      <c r="A237" s="36" t="s">
        <v>2259</v>
      </c>
      <c r="B237">
        <v>-30.013382400000001</v>
      </c>
      <c r="C237">
        <v>-30.752238899999998</v>
      </c>
      <c r="E237" s="29">
        <f t="shared" si="3"/>
        <v>0.73885649999999714</v>
      </c>
      <c r="F237" s="30">
        <v>42894</v>
      </c>
    </row>
    <row r="238" spans="1:6" x14ac:dyDescent="0.3">
      <c r="A238" s="36" t="s">
        <v>2260</v>
      </c>
      <c r="B238">
        <v>-32.024070719999997</v>
      </c>
      <c r="C238">
        <v>-31.085322099999999</v>
      </c>
      <c r="E238" s="29">
        <f t="shared" si="3"/>
        <v>-0.93874861999999837</v>
      </c>
      <c r="F238" s="30">
        <v>42895</v>
      </c>
    </row>
    <row r="239" spans="1:6" x14ac:dyDescent="0.3">
      <c r="A239" s="36" t="s">
        <v>2261</v>
      </c>
      <c r="B239">
        <v>-30.927885379999999</v>
      </c>
      <c r="C239">
        <v>-29.529543199999999</v>
      </c>
      <c r="E239" s="29">
        <f t="shared" si="3"/>
        <v>-1.3983421800000002</v>
      </c>
      <c r="F239" s="30">
        <v>42896</v>
      </c>
    </row>
    <row r="240" spans="1:6" x14ac:dyDescent="0.3">
      <c r="A240" s="36" t="s">
        <v>2262</v>
      </c>
      <c r="B240">
        <v>-31.392046430000001</v>
      </c>
      <c r="C240">
        <v>-29.693344700000001</v>
      </c>
      <c r="E240" s="29">
        <f t="shared" si="3"/>
        <v>-1.6987017299999998</v>
      </c>
      <c r="F240" s="30">
        <v>42897</v>
      </c>
    </row>
    <row r="241" spans="1:6" x14ac:dyDescent="0.3">
      <c r="A241" s="36" t="s">
        <v>2263</v>
      </c>
      <c r="B241">
        <v>-31.63810045</v>
      </c>
      <c r="C241">
        <v>-29.513820200000001</v>
      </c>
      <c r="E241" s="29">
        <f t="shared" si="3"/>
        <v>-2.1242802499999982</v>
      </c>
      <c r="F241" s="30">
        <v>42898</v>
      </c>
    </row>
    <row r="242" spans="1:6" x14ac:dyDescent="0.3">
      <c r="A242" s="36" t="s">
        <v>2264</v>
      </c>
      <c r="B242">
        <v>-31.301043629999999</v>
      </c>
      <c r="C242">
        <v>-27.9542365</v>
      </c>
      <c r="E242" s="29">
        <f t="shared" si="3"/>
        <v>-3.3468071299999984</v>
      </c>
      <c r="F242" s="30">
        <v>42899</v>
      </c>
    </row>
    <row r="243" spans="1:6" x14ac:dyDescent="0.3">
      <c r="A243" s="36" t="s">
        <v>2265</v>
      </c>
      <c r="B243">
        <v>-29.081684979999999</v>
      </c>
      <c r="C243">
        <v>-27.209556800000001</v>
      </c>
      <c r="E243" s="29">
        <f t="shared" si="3"/>
        <v>-1.8721281799999971</v>
      </c>
      <c r="F243" s="30">
        <v>42900</v>
      </c>
    </row>
    <row r="244" spans="1:6" x14ac:dyDescent="0.3">
      <c r="A244" s="36" t="s">
        <v>2266</v>
      </c>
      <c r="B244">
        <v>-27.427342960000001</v>
      </c>
      <c r="C244">
        <v>-27.703501800000002</v>
      </c>
      <c r="E244" s="29">
        <f t="shared" si="3"/>
        <v>0.27615884000000079</v>
      </c>
      <c r="F244" s="30">
        <v>42901</v>
      </c>
    </row>
    <row r="245" spans="1:6" x14ac:dyDescent="0.3">
      <c r="A245" s="36" t="s">
        <v>2267</v>
      </c>
      <c r="B245">
        <v>-26.878280570000001</v>
      </c>
      <c r="C245">
        <v>-29.079357600000002</v>
      </c>
      <c r="E245" s="29">
        <f t="shared" si="3"/>
        <v>2.2010770300000004</v>
      </c>
      <c r="F245" s="30">
        <v>42902</v>
      </c>
    </row>
    <row r="246" spans="1:6" x14ac:dyDescent="0.3">
      <c r="A246" s="36" t="s">
        <v>2268</v>
      </c>
      <c r="B246">
        <v>-26.597567170000001</v>
      </c>
      <c r="C246">
        <v>-27.754052600000001</v>
      </c>
      <c r="E246" s="29">
        <f t="shared" si="3"/>
        <v>1.15648543</v>
      </c>
      <c r="F246" s="30">
        <v>42903</v>
      </c>
    </row>
    <row r="247" spans="1:6" x14ac:dyDescent="0.3">
      <c r="A247" s="36" t="s">
        <v>2269</v>
      </c>
      <c r="B247">
        <v>-25.38172544</v>
      </c>
      <c r="C247">
        <v>-27.055617699999999</v>
      </c>
      <c r="E247" s="29">
        <f t="shared" si="3"/>
        <v>1.6738922599999988</v>
      </c>
      <c r="F247" s="30">
        <v>42904</v>
      </c>
    </row>
    <row r="248" spans="1:6" x14ac:dyDescent="0.3">
      <c r="A248" s="36" t="s">
        <v>2270</v>
      </c>
      <c r="B248">
        <v>-26.083925369999999</v>
      </c>
      <c r="C248">
        <v>-27.2119085</v>
      </c>
      <c r="E248" s="29">
        <f t="shared" si="3"/>
        <v>1.1279831300000005</v>
      </c>
      <c r="F248" s="30">
        <v>42905</v>
      </c>
    </row>
    <row r="249" spans="1:6" x14ac:dyDescent="0.3">
      <c r="A249" s="36" t="s">
        <v>2271</v>
      </c>
      <c r="B249">
        <v>-25.110150099999998</v>
      </c>
      <c r="C249">
        <v>-27.750832299999999</v>
      </c>
      <c r="E249" s="29">
        <f t="shared" si="3"/>
        <v>2.6406822000000005</v>
      </c>
      <c r="F249" s="30">
        <v>42906</v>
      </c>
    </row>
    <row r="250" spans="1:6" x14ac:dyDescent="0.3">
      <c r="A250" s="36" t="s">
        <v>2272</v>
      </c>
      <c r="B250">
        <v>-24.479897869999999</v>
      </c>
      <c r="C250">
        <v>-27.575047699999999</v>
      </c>
      <c r="E250" s="29">
        <f t="shared" si="3"/>
        <v>3.0951498300000004</v>
      </c>
      <c r="F250" s="30">
        <v>42907</v>
      </c>
    </row>
    <row r="251" spans="1:6" x14ac:dyDescent="0.3">
      <c r="A251" s="36" t="s">
        <v>2273</v>
      </c>
      <c r="B251">
        <v>-25.093539910000001</v>
      </c>
      <c r="C251">
        <v>-25.910908200000002</v>
      </c>
      <c r="E251" s="29">
        <f t="shared" si="3"/>
        <v>0.817368290000001</v>
      </c>
      <c r="F251" s="30">
        <v>42908</v>
      </c>
    </row>
    <row r="252" spans="1:6" x14ac:dyDescent="0.3">
      <c r="A252" s="36" t="s">
        <v>2274</v>
      </c>
      <c r="B252">
        <v>-25.283277089999999</v>
      </c>
      <c r="C252">
        <v>-28.036590700000001</v>
      </c>
      <c r="E252" s="29">
        <f t="shared" si="3"/>
        <v>2.7533136100000029</v>
      </c>
      <c r="F252" s="30">
        <v>42909</v>
      </c>
    </row>
    <row r="253" spans="1:6" x14ac:dyDescent="0.3">
      <c r="A253" s="36" t="s">
        <v>2275</v>
      </c>
      <c r="B253">
        <v>-25.922605130000001</v>
      </c>
      <c r="C253">
        <v>-27.832194399999999</v>
      </c>
      <c r="E253" s="29">
        <f t="shared" si="3"/>
        <v>1.9095892699999979</v>
      </c>
      <c r="F253" s="30">
        <v>42910</v>
      </c>
    </row>
    <row r="254" spans="1:6" x14ac:dyDescent="0.3">
      <c r="A254" s="36" t="s">
        <v>2276</v>
      </c>
      <c r="B254">
        <v>-27.283931379999999</v>
      </c>
      <c r="C254">
        <v>-28.042675500000001</v>
      </c>
      <c r="E254" s="29">
        <f t="shared" si="3"/>
        <v>0.75874412000000291</v>
      </c>
      <c r="F254" s="30">
        <v>42911</v>
      </c>
    </row>
    <row r="255" spans="1:6" x14ac:dyDescent="0.3">
      <c r="A255" s="36" t="s">
        <v>2277</v>
      </c>
      <c r="B255">
        <v>-26.203538259999998</v>
      </c>
      <c r="C255">
        <v>-27.4065765</v>
      </c>
      <c r="E255" s="29">
        <f t="shared" si="3"/>
        <v>1.2030382400000015</v>
      </c>
      <c r="F255" s="30">
        <v>42912</v>
      </c>
    </row>
    <row r="256" spans="1:6" x14ac:dyDescent="0.3">
      <c r="A256" s="36" t="s">
        <v>2278</v>
      </c>
      <c r="B256">
        <v>-26.459337990000002</v>
      </c>
      <c r="C256">
        <v>-28.276643</v>
      </c>
      <c r="E256" s="29">
        <f t="shared" si="3"/>
        <v>1.8173050099999983</v>
      </c>
      <c r="F256" s="30">
        <v>42913</v>
      </c>
    </row>
    <row r="257" spans="1:6" x14ac:dyDescent="0.3">
      <c r="A257" s="36" t="s">
        <v>2279</v>
      </c>
      <c r="B257">
        <v>-26.205411269999999</v>
      </c>
      <c r="C257">
        <v>-30.122223000000002</v>
      </c>
      <c r="E257" s="29">
        <f t="shared" si="3"/>
        <v>3.9168117300000027</v>
      </c>
      <c r="F257" s="30">
        <v>42914</v>
      </c>
    </row>
    <row r="258" spans="1:6" x14ac:dyDescent="0.3">
      <c r="A258" s="36" t="s">
        <v>2280</v>
      </c>
      <c r="B258">
        <v>-25.28402062</v>
      </c>
      <c r="C258">
        <v>-29.801569600000001</v>
      </c>
      <c r="E258" s="29">
        <f t="shared" si="3"/>
        <v>4.5175489800000008</v>
      </c>
      <c r="F258" s="30">
        <v>42915</v>
      </c>
    </row>
    <row r="259" spans="1:6" x14ac:dyDescent="0.3">
      <c r="A259" s="36" t="s">
        <v>2281</v>
      </c>
      <c r="B259">
        <v>-24.3538915</v>
      </c>
      <c r="C259">
        <v>-27.458662700000001</v>
      </c>
      <c r="E259" s="29">
        <f t="shared" ref="E259:E314" si="4">B259-C259</f>
        <v>3.1047712000000018</v>
      </c>
      <c r="F259" s="30">
        <v>42916</v>
      </c>
    </row>
    <row r="260" spans="1:6" x14ac:dyDescent="0.3">
      <c r="A260" s="36" t="s">
        <v>2282</v>
      </c>
      <c r="B260">
        <v>-23.062314409999999</v>
      </c>
      <c r="C260">
        <v>-28.4389957</v>
      </c>
      <c r="E260" s="29">
        <f t="shared" si="4"/>
        <v>5.3766812900000005</v>
      </c>
      <c r="F260" s="30">
        <v>42917</v>
      </c>
    </row>
    <row r="261" spans="1:6" x14ac:dyDescent="0.3">
      <c r="A261" s="36" t="s">
        <v>2283</v>
      </c>
      <c r="B261">
        <v>-22.53850735</v>
      </c>
      <c r="C261">
        <v>-27.183675000000001</v>
      </c>
      <c r="E261" s="29">
        <f t="shared" si="4"/>
        <v>4.6451676500000012</v>
      </c>
      <c r="F261" s="30">
        <v>42918</v>
      </c>
    </row>
    <row r="262" spans="1:6" x14ac:dyDescent="0.3">
      <c r="A262" s="36" t="s">
        <v>2284</v>
      </c>
      <c r="B262">
        <v>-23.984092820000001</v>
      </c>
      <c r="C262">
        <v>-26.020926800000002</v>
      </c>
      <c r="E262" s="29">
        <f t="shared" si="4"/>
        <v>2.0368339800000008</v>
      </c>
      <c r="F262" s="30">
        <v>42919</v>
      </c>
    </row>
    <row r="263" spans="1:6" x14ac:dyDescent="0.3">
      <c r="A263" s="36" t="s">
        <v>2285</v>
      </c>
      <c r="B263">
        <v>-23.960121489999999</v>
      </c>
      <c r="C263">
        <v>-27.3203818</v>
      </c>
      <c r="E263" s="29">
        <f t="shared" si="4"/>
        <v>3.360260310000001</v>
      </c>
      <c r="F263" s="30">
        <v>42920</v>
      </c>
    </row>
    <row r="264" spans="1:6" x14ac:dyDescent="0.3">
      <c r="A264" s="36" t="s">
        <v>2286</v>
      </c>
      <c r="B264">
        <v>-25.345889400000001</v>
      </c>
      <c r="C264">
        <v>-27.812805399999998</v>
      </c>
      <c r="E264" s="29">
        <f t="shared" si="4"/>
        <v>2.4669159999999977</v>
      </c>
      <c r="F264" s="30">
        <v>42921</v>
      </c>
    </row>
    <row r="265" spans="1:6" x14ac:dyDescent="0.3">
      <c r="A265" s="36" t="s">
        <v>2287</v>
      </c>
      <c r="B265">
        <v>-25.288494979999999</v>
      </c>
      <c r="C265">
        <v>-27.045630599999999</v>
      </c>
      <c r="E265" s="29">
        <f t="shared" si="4"/>
        <v>1.7571356199999997</v>
      </c>
      <c r="F265" s="30">
        <v>42922</v>
      </c>
    </row>
    <row r="266" spans="1:6" x14ac:dyDescent="0.3">
      <c r="A266" s="36" t="s">
        <v>2288</v>
      </c>
      <c r="B266">
        <v>-26.60893673</v>
      </c>
      <c r="C266">
        <v>-29.094829499999999</v>
      </c>
      <c r="E266" s="29">
        <f t="shared" si="4"/>
        <v>2.4858927699999995</v>
      </c>
      <c r="F266" s="30">
        <v>42923</v>
      </c>
    </row>
    <row r="267" spans="1:6" x14ac:dyDescent="0.3">
      <c r="A267" s="36" t="s">
        <v>2289</v>
      </c>
      <c r="B267">
        <v>-25.048918180000001</v>
      </c>
      <c r="C267">
        <v>-30.418445299999998</v>
      </c>
      <c r="E267" s="29">
        <f t="shared" si="4"/>
        <v>5.3695271199999972</v>
      </c>
      <c r="F267" s="30">
        <v>42924</v>
      </c>
    </row>
    <row r="268" spans="1:6" x14ac:dyDescent="0.3">
      <c r="A268" s="36" t="s">
        <v>2290</v>
      </c>
      <c r="B268">
        <v>-26.01348406</v>
      </c>
      <c r="C268">
        <v>-30.741998800000001</v>
      </c>
      <c r="E268" s="29">
        <f t="shared" si="4"/>
        <v>4.7285147400000014</v>
      </c>
      <c r="F268" s="30">
        <v>42925</v>
      </c>
    </row>
    <row r="269" spans="1:6" x14ac:dyDescent="0.3">
      <c r="A269" s="36" t="s">
        <v>2291</v>
      </c>
      <c r="B269">
        <v>-25.560520239999999</v>
      </c>
      <c r="C269">
        <v>-31.599728500000001</v>
      </c>
      <c r="E269" s="29">
        <f t="shared" si="4"/>
        <v>6.0392082600000023</v>
      </c>
      <c r="F269" s="30">
        <v>42926</v>
      </c>
    </row>
    <row r="270" spans="1:6" x14ac:dyDescent="0.3">
      <c r="A270" s="36" t="s">
        <v>2292</v>
      </c>
      <c r="B270">
        <v>-26.13992549</v>
      </c>
      <c r="C270">
        <v>-31.989653499999999</v>
      </c>
      <c r="E270" s="29">
        <f t="shared" si="4"/>
        <v>5.8497280099999998</v>
      </c>
      <c r="F270" s="30">
        <v>42927</v>
      </c>
    </row>
    <row r="271" spans="1:6" x14ac:dyDescent="0.3">
      <c r="A271" s="36" t="s">
        <v>2293</v>
      </c>
      <c r="B271">
        <v>-24.53286567</v>
      </c>
      <c r="C271">
        <v>-33.7130127</v>
      </c>
      <c r="E271" s="29">
        <f t="shared" si="4"/>
        <v>9.1801470300000005</v>
      </c>
      <c r="F271" s="30">
        <v>42928</v>
      </c>
    </row>
    <row r="272" spans="1:6" x14ac:dyDescent="0.3">
      <c r="A272" s="36" t="s">
        <v>2294</v>
      </c>
      <c r="B272">
        <v>-24.502564459999999</v>
      </c>
      <c r="C272">
        <v>-34.141213999999998</v>
      </c>
      <c r="E272" s="29">
        <f t="shared" si="4"/>
        <v>9.6386495399999994</v>
      </c>
      <c r="F272" s="30">
        <v>42929</v>
      </c>
    </row>
    <row r="273" spans="1:6" x14ac:dyDescent="0.3">
      <c r="A273" s="36" t="s">
        <v>2295</v>
      </c>
      <c r="B273">
        <v>-25.084660039999999</v>
      </c>
      <c r="C273">
        <v>-34.295015399999997</v>
      </c>
      <c r="E273" s="29">
        <f t="shared" si="4"/>
        <v>9.2103553599999977</v>
      </c>
      <c r="F273" s="30">
        <v>42930</v>
      </c>
    </row>
    <row r="274" spans="1:6" x14ac:dyDescent="0.3">
      <c r="A274" s="36" t="s">
        <v>2296</v>
      </c>
      <c r="B274">
        <v>-26.187114189999999</v>
      </c>
      <c r="C274">
        <v>-34.007279099999998</v>
      </c>
      <c r="E274" s="29">
        <f t="shared" si="4"/>
        <v>7.820164909999999</v>
      </c>
      <c r="F274" s="30">
        <v>42931</v>
      </c>
    </row>
    <row r="275" spans="1:6" x14ac:dyDescent="0.3">
      <c r="A275" s="36" t="s">
        <v>2297</v>
      </c>
      <c r="B275">
        <v>-24.65181364</v>
      </c>
      <c r="C275">
        <v>-34.034456200000001</v>
      </c>
      <c r="E275" s="29">
        <f t="shared" si="4"/>
        <v>9.3826425600000007</v>
      </c>
      <c r="F275" s="30">
        <v>42932</v>
      </c>
    </row>
    <row r="276" spans="1:6" x14ac:dyDescent="0.3">
      <c r="A276" s="36" t="s">
        <v>2298</v>
      </c>
      <c r="B276">
        <v>-25.085327410000001</v>
      </c>
      <c r="C276">
        <v>-34.7063895</v>
      </c>
      <c r="E276" s="29">
        <f t="shared" si="4"/>
        <v>9.6210620899999988</v>
      </c>
      <c r="F276" s="30">
        <v>42933</v>
      </c>
    </row>
    <row r="277" spans="1:6" x14ac:dyDescent="0.3">
      <c r="A277" s="36" t="s">
        <v>2299</v>
      </c>
      <c r="B277">
        <v>-25.586349290000001</v>
      </c>
      <c r="C277">
        <v>-32.747960499999998</v>
      </c>
      <c r="E277" s="29">
        <f t="shared" si="4"/>
        <v>7.1616112099999967</v>
      </c>
      <c r="F277" s="30">
        <v>42934</v>
      </c>
    </row>
    <row r="278" spans="1:6" x14ac:dyDescent="0.3">
      <c r="A278" s="36" t="s">
        <v>2300</v>
      </c>
      <c r="B278">
        <v>-26.089654079999999</v>
      </c>
      <c r="C278">
        <v>-35.024887399999997</v>
      </c>
      <c r="E278" s="29">
        <f t="shared" si="4"/>
        <v>8.9352333199999983</v>
      </c>
      <c r="F278" s="30">
        <v>42935</v>
      </c>
    </row>
    <row r="279" spans="1:6" x14ac:dyDescent="0.3">
      <c r="A279" s="36" t="s">
        <v>2301</v>
      </c>
      <c r="B279">
        <v>-25.004678250000001</v>
      </c>
      <c r="C279">
        <v>-34.608744199999997</v>
      </c>
      <c r="E279" s="29">
        <f t="shared" si="4"/>
        <v>9.6040659499999954</v>
      </c>
      <c r="F279" s="30">
        <v>42936</v>
      </c>
    </row>
    <row r="280" spans="1:6" x14ac:dyDescent="0.3">
      <c r="A280" s="36" t="s">
        <v>2302</v>
      </c>
      <c r="B280">
        <v>-24.81612968</v>
      </c>
      <c r="C280">
        <v>-34.104900700000002</v>
      </c>
      <c r="E280" s="29">
        <f t="shared" si="4"/>
        <v>9.2887710200000022</v>
      </c>
      <c r="F280" s="30">
        <v>42937</v>
      </c>
    </row>
    <row r="281" spans="1:6" x14ac:dyDescent="0.3">
      <c r="A281" s="36" t="s">
        <v>2303</v>
      </c>
      <c r="B281">
        <v>-23.57040293</v>
      </c>
      <c r="C281">
        <v>-33.176556699999999</v>
      </c>
      <c r="E281" s="29">
        <f t="shared" si="4"/>
        <v>9.6061537699999988</v>
      </c>
      <c r="F281" s="30">
        <v>42938</v>
      </c>
    </row>
    <row r="282" spans="1:6" x14ac:dyDescent="0.3">
      <c r="A282" s="36" t="s">
        <v>2304</v>
      </c>
      <c r="B282">
        <v>-22.656728640000001</v>
      </c>
      <c r="C282">
        <v>-34.100106699999998</v>
      </c>
      <c r="E282" s="29">
        <f t="shared" si="4"/>
        <v>11.443378059999997</v>
      </c>
      <c r="F282" s="30">
        <v>42939</v>
      </c>
    </row>
    <row r="283" spans="1:6" x14ac:dyDescent="0.3">
      <c r="A283" s="36" t="s">
        <v>2305</v>
      </c>
      <c r="B283">
        <v>-21.62659798</v>
      </c>
      <c r="C283">
        <v>-33.754441999999997</v>
      </c>
      <c r="E283" s="29">
        <f t="shared" si="4"/>
        <v>12.127844019999998</v>
      </c>
      <c r="F283" s="30">
        <v>42940</v>
      </c>
    </row>
    <row r="284" spans="1:6" x14ac:dyDescent="0.3">
      <c r="A284" s="36" t="s">
        <v>2306</v>
      </c>
      <c r="B284">
        <v>-22.488997900000001</v>
      </c>
      <c r="C284">
        <v>-34.1087779</v>
      </c>
      <c r="E284" s="29">
        <f t="shared" si="4"/>
        <v>11.619779999999999</v>
      </c>
      <c r="F284" s="30">
        <v>42941</v>
      </c>
    </row>
    <row r="285" spans="1:6" x14ac:dyDescent="0.3">
      <c r="A285" s="36" t="s">
        <v>2307</v>
      </c>
      <c r="B285">
        <v>-22.641889800000001</v>
      </c>
      <c r="C285">
        <v>-35.795079800000003</v>
      </c>
      <c r="E285" s="29">
        <f t="shared" si="4"/>
        <v>13.153190000000002</v>
      </c>
      <c r="F285" s="30">
        <v>42942</v>
      </c>
    </row>
    <row r="286" spans="1:6" x14ac:dyDescent="0.3">
      <c r="A286" s="36" t="s">
        <v>2308</v>
      </c>
      <c r="B286">
        <v>-22.796646689999999</v>
      </c>
      <c r="C286">
        <v>-34.2181408</v>
      </c>
      <c r="E286" s="29">
        <f t="shared" si="4"/>
        <v>11.421494110000001</v>
      </c>
      <c r="F286" s="30">
        <v>42943</v>
      </c>
    </row>
    <row r="287" spans="1:6" x14ac:dyDescent="0.3">
      <c r="A287" s="36" t="s">
        <v>2309</v>
      </c>
      <c r="B287">
        <v>-21.681203010000001</v>
      </c>
      <c r="C287">
        <v>-34.399037700000001</v>
      </c>
      <c r="E287" s="29">
        <f t="shared" si="4"/>
        <v>12.71783469</v>
      </c>
      <c r="F287" s="30">
        <v>42944</v>
      </c>
    </row>
    <row r="288" spans="1:6" x14ac:dyDescent="0.3">
      <c r="A288" s="36" t="s">
        <v>2310</v>
      </c>
      <c r="B288">
        <v>-20.08588688</v>
      </c>
      <c r="C288">
        <v>-36.208503499999999</v>
      </c>
      <c r="E288" s="29">
        <f t="shared" si="4"/>
        <v>16.122616619999999</v>
      </c>
      <c r="F288" s="30">
        <v>42945</v>
      </c>
    </row>
    <row r="289" spans="1:6" x14ac:dyDescent="0.3">
      <c r="A289" s="36" t="s">
        <v>2311</v>
      </c>
      <c r="B289">
        <v>-19.90235053</v>
      </c>
      <c r="C289">
        <v>-35.977334300000003</v>
      </c>
      <c r="E289" s="29">
        <f t="shared" si="4"/>
        <v>16.074983770000003</v>
      </c>
      <c r="F289" s="30">
        <v>42946</v>
      </c>
    </row>
    <row r="290" spans="1:6" x14ac:dyDescent="0.3">
      <c r="A290" s="36" t="s">
        <v>2312</v>
      </c>
      <c r="B290">
        <v>-19.537644650000001</v>
      </c>
      <c r="C290">
        <v>-35.839140200000003</v>
      </c>
      <c r="E290" s="29">
        <f t="shared" si="4"/>
        <v>16.301495550000002</v>
      </c>
      <c r="F290" s="30">
        <v>42947</v>
      </c>
    </row>
    <row r="291" spans="1:6" x14ac:dyDescent="0.3">
      <c r="A291" s="36" t="s">
        <v>2313</v>
      </c>
      <c r="B291">
        <v>-20.872906759999999</v>
      </c>
      <c r="C291">
        <v>-37.169002200000001</v>
      </c>
      <c r="E291" s="29">
        <f t="shared" si="4"/>
        <v>16.296095440000002</v>
      </c>
      <c r="F291" s="30">
        <v>42948</v>
      </c>
    </row>
    <row r="292" spans="1:6" x14ac:dyDescent="0.3">
      <c r="A292" s="36" t="s">
        <v>2314</v>
      </c>
      <c r="B292">
        <v>-20.140740019999999</v>
      </c>
      <c r="C292">
        <v>-39.327450800000001</v>
      </c>
      <c r="E292" s="29">
        <f t="shared" si="4"/>
        <v>19.186710780000002</v>
      </c>
      <c r="F292" s="30">
        <v>42949</v>
      </c>
    </row>
    <row r="293" spans="1:6" x14ac:dyDescent="0.3">
      <c r="A293" s="36" t="s">
        <v>2315</v>
      </c>
      <c r="B293">
        <v>-20.21198682</v>
      </c>
      <c r="C293">
        <v>-39.688156900000003</v>
      </c>
      <c r="E293" s="29">
        <f t="shared" si="4"/>
        <v>19.476170080000003</v>
      </c>
      <c r="F293" s="30">
        <v>42950</v>
      </c>
    </row>
    <row r="294" spans="1:6" x14ac:dyDescent="0.3">
      <c r="A294" s="36" t="s">
        <v>2316</v>
      </c>
      <c r="B294">
        <v>-21.126474089999999</v>
      </c>
      <c r="C294">
        <v>-41.638035199999997</v>
      </c>
      <c r="E294" s="29">
        <f t="shared" si="4"/>
        <v>20.511561109999999</v>
      </c>
      <c r="F294" s="30">
        <v>42951</v>
      </c>
    </row>
    <row r="295" spans="1:6" x14ac:dyDescent="0.3">
      <c r="A295" s="36" t="s">
        <v>2317</v>
      </c>
      <c r="B295">
        <v>-21.286091389999999</v>
      </c>
      <c r="C295">
        <v>-41.8230127</v>
      </c>
      <c r="E295" s="29">
        <f t="shared" si="4"/>
        <v>20.53692131</v>
      </c>
      <c r="F295" s="30">
        <v>42952</v>
      </c>
    </row>
    <row r="296" spans="1:6" x14ac:dyDescent="0.3">
      <c r="A296" s="36" t="s">
        <v>2318</v>
      </c>
      <c r="B296">
        <v>-22.146205859999998</v>
      </c>
      <c r="C296">
        <v>-41.533962899999999</v>
      </c>
      <c r="E296" s="29">
        <f t="shared" si="4"/>
        <v>19.38775704</v>
      </c>
      <c r="F296" s="30">
        <v>42953</v>
      </c>
    </row>
    <row r="297" spans="1:6" x14ac:dyDescent="0.3">
      <c r="A297" s="36" t="s">
        <v>2319</v>
      </c>
      <c r="B297">
        <v>-23.526270279999999</v>
      </c>
      <c r="C297">
        <v>-40.830058800000003</v>
      </c>
      <c r="E297" s="29">
        <f t="shared" si="4"/>
        <v>17.303788520000005</v>
      </c>
      <c r="F297" s="30">
        <v>42954</v>
      </c>
    </row>
    <row r="298" spans="1:6" x14ac:dyDescent="0.3">
      <c r="A298" s="36" t="s">
        <v>2320</v>
      </c>
      <c r="B298">
        <v>-24.353852849999999</v>
      </c>
      <c r="C298">
        <v>-42.640894799999998</v>
      </c>
      <c r="E298" s="29">
        <f t="shared" si="4"/>
        <v>18.287041949999999</v>
      </c>
      <c r="F298" s="30">
        <v>42955</v>
      </c>
    </row>
    <row r="299" spans="1:6" x14ac:dyDescent="0.3">
      <c r="A299" s="36" t="s">
        <v>2321</v>
      </c>
      <c r="B299">
        <v>-24.890813909999999</v>
      </c>
      <c r="C299">
        <v>-41.164411800000003</v>
      </c>
      <c r="E299" s="29">
        <f t="shared" si="4"/>
        <v>16.273597890000005</v>
      </c>
      <c r="F299" s="30">
        <v>42956</v>
      </c>
    </row>
    <row r="300" spans="1:6" x14ac:dyDescent="0.3">
      <c r="A300" s="36" t="s">
        <v>2322</v>
      </c>
      <c r="B300">
        <v>-25.055113030000001</v>
      </c>
      <c r="C300">
        <v>-42.5930465</v>
      </c>
      <c r="E300" s="29">
        <f t="shared" si="4"/>
        <v>17.537933469999999</v>
      </c>
      <c r="F300" s="30">
        <v>42957</v>
      </c>
    </row>
    <row r="301" spans="1:6" x14ac:dyDescent="0.3">
      <c r="A301" s="36" t="s">
        <v>2323</v>
      </c>
      <c r="B301">
        <v>-25.847020180000001</v>
      </c>
      <c r="C301">
        <v>-41.148532199999998</v>
      </c>
      <c r="E301" s="29">
        <f t="shared" si="4"/>
        <v>15.301512019999997</v>
      </c>
      <c r="F301" s="30">
        <v>42958</v>
      </c>
    </row>
    <row r="302" spans="1:6" x14ac:dyDescent="0.3">
      <c r="A302" s="36" t="s">
        <v>2324</v>
      </c>
      <c r="B302">
        <v>-26.634575210000001</v>
      </c>
      <c r="C302">
        <v>-39.537859900000001</v>
      </c>
      <c r="E302" s="29">
        <f t="shared" si="4"/>
        <v>12.90328469</v>
      </c>
      <c r="F302" s="30">
        <v>42959</v>
      </c>
    </row>
    <row r="303" spans="1:6" x14ac:dyDescent="0.3">
      <c r="A303" s="36" t="s">
        <v>2325</v>
      </c>
      <c r="B303">
        <v>-28.239812409999999</v>
      </c>
      <c r="C303">
        <v>-39.958295700000001</v>
      </c>
      <c r="E303" s="29">
        <f t="shared" si="4"/>
        <v>11.718483290000002</v>
      </c>
      <c r="F303" s="30">
        <v>42960</v>
      </c>
    </row>
    <row r="304" spans="1:6" x14ac:dyDescent="0.3">
      <c r="A304" s="36" t="s">
        <v>2326</v>
      </c>
      <c r="B304">
        <v>-28.939547390000001</v>
      </c>
      <c r="C304">
        <v>-39.849266</v>
      </c>
      <c r="E304" s="29">
        <f t="shared" si="4"/>
        <v>10.909718609999999</v>
      </c>
      <c r="F304" s="30">
        <v>42961</v>
      </c>
    </row>
    <row r="305" spans="1:6" x14ac:dyDescent="0.3">
      <c r="A305" s="36" t="s">
        <v>2327</v>
      </c>
      <c r="B305">
        <v>-28.273567150000002</v>
      </c>
      <c r="C305">
        <v>-40.869437300000001</v>
      </c>
      <c r="E305" s="29">
        <f t="shared" si="4"/>
        <v>12.59587015</v>
      </c>
      <c r="F305" s="30">
        <v>42962</v>
      </c>
    </row>
    <row r="306" spans="1:6" x14ac:dyDescent="0.3">
      <c r="A306" s="36" t="s">
        <v>2328</v>
      </c>
      <c r="B306">
        <v>-27.261475539999999</v>
      </c>
      <c r="C306">
        <v>-40.615946200000003</v>
      </c>
      <c r="E306" s="29">
        <f t="shared" si="4"/>
        <v>13.354470660000004</v>
      </c>
      <c r="F306" s="30">
        <v>42963</v>
      </c>
    </row>
    <row r="307" spans="1:6" x14ac:dyDescent="0.3">
      <c r="A307" s="36" t="s">
        <v>2329</v>
      </c>
      <c r="B307">
        <v>-28.239226899999998</v>
      </c>
      <c r="C307">
        <v>-39.762289899999999</v>
      </c>
      <c r="E307" s="29">
        <f t="shared" si="4"/>
        <v>11.523063</v>
      </c>
      <c r="F307" s="30">
        <v>42964</v>
      </c>
    </row>
    <row r="308" spans="1:6" x14ac:dyDescent="0.3">
      <c r="A308" s="36" t="s">
        <v>2330</v>
      </c>
      <c r="B308">
        <v>-30.155138109999999</v>
      </c>
      <c r="C308">
        <v>-40.212166699999997</v>
      </c>
      <c r="E308" s="29">
        <f t="shared" si="4"/>
        <v>10.057028589999998</v>
      </c>
      <c r="F308" s="30">
        <v>42965</v>
      </c>
    </row>
    <row r="309" spans="1:6" x14ac:dyDescent="0.3">
      <c r="A309" s="36" t="s">
        <v>2331</v>
      </c>
      <c r="B309">
        <v>-29.509078290000001</v>
      </c>
      <c r="C309">
        <v>-41.385124400000002</v>
      </c>
      <c r="E309" s="29">
        <f t="shared" si="4"/>
        <v>11.876046110000001</v>
      </c>
      <c r="F309" s="30">
        <v>42966</v>
      </c>
    </row>
    <row r="310" spans="1:6" x14ac:dyDescent="0.3">
      <c r="A310" s="36" t="s">
        <v>2332</v>
      </c>
      <c r="B310">
        <v>-30.033613890000002</v>
      </c>
      <c r="C310">
        <v>-39.837828600000002</v>
      </c>
      <c r="E310" s="29">
        <f t="shared" si="4"/>
        <v>9.8042147100000001</v>
      </c>
      <c r="F310" s="30">
        <v>42967</v>
      </c>
    </row>
    <row r="311" spans="1:6" x14ac:dyDescent="0.3">
      <c r="A311" s="36" t="s">
        <v>2333</v>
      </c>
      <c r="B311">
        <v>-30.318486750000002</v>
      </c>
      <c r="C311">
        <v>-38.802163200000003</v>
      </c>
      <c r="E311" s="29">
        <f t="shared" si="4"/>
        <v>8.4836764500000008</v>
      </c>
      <c r="F311" s="30">
        <v>42968</v>
      </c>
    </row>
    <row r="312" spans="1:6" x14ac:dyDescent="0.3">
      <c r="A312" s="36" t="s">
        <v>2334</v>
      </c>
      <c r="B312">
        <v>-29.955175700000002</v>
      </c>
      <c r="C312">
        <v>-40.934455399999997</v>
      </c>
      <c r="E312" s="29">
        <f t="shared" si="4"/>
        <v>10.979279699999996</v>
      </c>
      <c r="F312" s="30">
        <v>42969</v>
      </c>
    </row>
    <row r="313" spans="1:6" x14ac:dyDescent="0.3">
      <c r="A313" s="36" t="s">
        <v>2335</v>
      </c>
      <c r="B313">
        <v>-30.595079930000001</v>
      </c>
      <c r="C313">
        <v>-39.651176599999999</v>
      </c>
      <c r="E313" s="29">
        <f t="shared" si="4"/>
        <v>9.0560966699999987</v>
      </c>
      <c r="F313" s="30">
        <v>42970</v>
      </c>
    </row>
    <row r="314" spans="1:6" x14ac:dyDescent="0.3">
      <c r="A314" s="36" t="s">
        <v>2336</v>
      </c>
      <c r="B314">
        <v>-29.404870979999998</v>
      </c>
      <c r="C314">
        <v>-39.430386400000003</v>
      </c>
      <c r="E314" s="29">
        <f t="shared" si="4"/>
        <v>10.025515420000005</v>
      </c>
      <c r="F314" s="30">
        <v>42971</v>
      </c>
    </row>
    <row r="315" spans="1:6" x14ac:dyDescent="0.3">
      <c r="A315" s="36" t="s">
        <v>2337</v>
      </c>
      <c r="B315">
        <v>-28.872549750000001</v>
      </c>
      <c r="C315">
        <v>-38.367855200000001</v>
      </c>
      <c r="E315" s="29">
        <f t="shared" ref="E315:E336" si="5">B315-C315</f>
        <v>9.49530545</v>
      </c>
      <c r="F315" s="30">
        <v>42972</v>
      </c>
    </row>
    <row r="316" spans="1:6" x14ac:dyDescent="0.3">
      <c r="A316" s="36" t="s">
        <v>2338</v>
      </c>
      <c r="B316">
        <v>-29.043892499999998</v>
      </c>
      <c r="C316">
        <v>-39.450688100000001</v>
      </c>
      <c r="E316" s="29">
        <f t="shared" si="5"/>
        <v>10.406795600000002</v>
      </c>
      <c r="F316" s="30">
        <v>42973</v>
      </c>
    </row>
    <row r="317" spans="1:6" x14ac:dyDescent="0.3">
      <c r="A317" s="36" t="s">
        <v>2339</v>
      </c>
      <c r="B317">
        <v>-28.932453939999998</v>
      </c>
      <c r="C317">
        <v>-40.4614695</v>
      </c>
      <c r="E317" s="29">
        <f t="shared" si="5"/>
        <v>11.529015560000001</v>
      </c>
      <c r="F317" s="30">
        <v>42974</v>
      </c>
    </row>
    <row r="318" spans="1:6" x14ac:dyDescent="0.3">
      <c r="A318" s="36" t="s">
        <v>2340</v>
      </c>
      <c r="B318">
        <v>-28.940687069999999</v>
      </c>
      <c r="C318">
        <v>-41.520150600000001</v>
      </c>
      <c r="E318" s="29">
        <f t="shared" si="5"/>
        <v>12.579463530000002</v>
      </c>
      <c r="F318" s="30">
        <v>42975</v>
      </c>
    </row>
    <row r="319" spans="1:6" x14ac:dyDescent="0.3">
      <c r="A319" s="36" t="s">
        <v>2341</v>
      </c>
      <c r="B319">
        <v>-26.44665878</v>
      </c>
      <c r="C319">
        <v>-41.587606100000002</v>
      </c>
      <c r="E319" s="29">
        <f t="shared" si="5"/>
        <v>15.140947320000002</v>
      </c>
      <c r="F319" s="30">
        <v>42976</v>
      </c>
    </row>
    <row r="320" spans="1:6" x14ac:dyDescent="0.3">
      <c r="A320" s="36" t="s">
        <v>2342</v>
      </c>
      <c r="B320">
        <v>-26.91720849</v>
      </c>
      <c r="C320">
        <v>-41.511302499999999</v>
      </c>
      <c r="E320" s="29">
        <f t="shared" si="5"/>
        <v>14.594094009999999</v>
      </c>
      <c r="F320" s="30">
        <v>42977</v>
      </c>
    </row>
    <row r="321" spans="1:6" x14ac:dyDescent="0.3">
      <c r="A321" s="36" t="s">
        <v>2343</v>
      </c>
      <c r="B321">
        <v>-26.027822560000001</v>
      </c>
      <c r="C321">
        <v>-40.224765599999998</v>
      </c>
      <c r="E321" s="29">
        <f t="shared" si="5"/>
        <v>14.196943039999997</v>
      </c>
      <c r="F321" s="30">
        <v>42978</v>
      </c>
    </row>
    <row r="322" spans="1:6" x14ac:dyDescent="0.3">
      <c r="A322" s="36" t="s">
        <v>2344</v>
      </c>
      <c r="B322">
        <v>-23.61833596</v>
      </c>
      <c r="C322">
        <v>-38.860450700000001</v>
      </c>
      <c r="E322" s="29">
        <f t="shared" si="5"/>
        <v>15.242114740000002</v>
      </c>
      <c r="F322" s="30">
        <v>42979</v>
      </c>
    </row>
    <row r="323" spans="1:6" x14ac:dyDescent="0.3">
      <c r="A323" s="36" t="s">
        <v>2345</v>
      </c>
      <c r="B323">
        <v>-21.923502450000001</v>
      </c>
      <c r="C323">
        <v>-40.2467082</v>
      </c>
      <c r="E323" s="29">
        <f t="shared" si="5"/>
        <v>18.32320575</v>
      </c>
      <c r="F323" s="30">
        <v>42980</v>
      </c>
    </row>
    <row r="324" spans="1:6" x14ac:dyDescent="0.3">
      <c r="A324" s="36" t="s">
        <v>2346</v>
      </c>
      <c r="B324">
        <v>-21.787548650000002</v>
      </c>
      <c r="C324">
        <v>-41.138933000000002</v>
      </c>
      <c r="E324" s="29">
        <f t="shared" si="5"/>
        <v>19.35138435</v>
      </c>
      <c r="F324" s="30">
        <v>42981</v>
      </c>
    </row>
    <row r="325" spans="1:6" x14ac:dyDescent="0.3">
      <c r="A325" s="36" t="s">
        <v>2347</v>
      </c>
      <c r="B325">
        <v>-23.762653490000002</v>
      </c>
      <c r="C325">
        <v>-40.651975</v>
      </c>
      <c r="E325" s="29">
        <f t="shared" si="5"/>
        <v>16.889321509999998</v>
      </c>
      <c r="F325" s="30">
        <v>42982</v>
      </c>
    </row>
    <row r="326" spans="1:6" x14ac:dyDescent="0.3">
      <c r="A326" s="36" t="s">
        <v>2348</v>
      </c>
      <c r="B326">
        <v>-24.356683220000001</v>
      </c>
      <c r="C326">
        <v>-40.070252000000004</v>
      </c>
      <c r="E326" s="29">
        <f t="shared" si="5"/>
        <v>15.713568780000003</v>
      </c>
      <c r="F326" s="30">
        <v>42983</v>
      </c>
    </row>
    <row r="327" spans="1:6" x14ac:dyDescent="0.3">
      <c r="A327" s="36" t="s">
        <v>2349</v>
      </c>
      <c r="B327">
        <v>-24.922393719999999</v>
      </c>
      <c r="C327">
        <v>-40.453174799999999</v>
      </c>
      <c r="E327" s="29">
        <f t="shared" si="5"/>
        <v>15.530781080000001</v>
      </c>
      <c r="F327" s="30">
        <v>42984</v>
      </c>
    </row>
    <row r="328" spans="1:6" x14ac:dyDescent="0.3">
      <c r="A328" s="36" t="s">
        <v>2350</v>
      </c>
      <c r="B328">
        <v>-24.756364219999998</v>
      </c>
      <c r="C328">
        <v>-41.820960599999999</v>
      </c>
      <c r="E328" s="29">
        <f t="shared" si="5"/>
        <v>17.064596380000001</v>
      </c>
      <c r="F328" s="30">
        <v>42985</v>
      </c>
    </row>
    <row r="329" spans="1:6" x14ac:dyDescent="0.3">
      <c r="A329" s="36" t="s">
        <v>2351</v>
      </c>
      <c r="B329">
        <v>-23.747128889999999</v>
      </c>
      <c r="C329">
        <v>-42.914537600000003</v>
      </c>
      <c r="E329" s="29">
        <f t="shared" si="5"/>
        <v>19.167408710000004</v>
      </c>
      <c r="F329" s="30">
        <v>42986</v>
      </c>
    </row>
    <row r="330" spans="1:6" x14ac:dyDescent="0.3">
      <c r="A330" s="36" t="s">
        <v>2352</v>
      </c>
      <c r="B330">
        <v>-22.929161189999999</v>
      </c>
      <c r="C330">
        <v>-43.8385277</v>
      </c>
      <c r="E330" s="29">
        <f t="shared" si="5"/>
        <v>20.909366510000002</v>
      </c>
      <c r="F330" s="30">
        <v>42987</v>
      </c>
    </row>
    <row r="331" spans="1:6" x14ac:dyDescent="0.3">
      <c r="A331" s="36" t="s">
        <v>2353</v>
      </c>
      <c r="B331">
        <v>-21.83925898</v>
      </c>
      <c r="C331">
        <v>-43.34281</v>
      </c>
      <c r="E331" s="29">
        <f t="shared" si="5"/>
        <v>21.50355102</v>
      </c>
      <c r="F331" s="30">
        <v>42988</v>
      </c>
    </row>
    <row r="332" spans="1:6" x14ac:dyDescent="0.3">
      <c r="A332" s="36" t="s">
        <v>2354</v>
      </c>
      <c r="B332">
        <v>-20.878725249999999</v>
      </c>
      <c r="C332">
        <v>-42.6838482</v>
      </c>
      <c r="E332" s="29">
        <f t="shared" si="5"/>
        <v>21.805122950000001</v>
      </c>
      <c r="F332" s="30">
        <v>42989</v>
      </c>
    </row>
    <row r="333" spans="1:6" x14ac:dyDescent="0.3">
      <c r="A333" s="36" t="s">
        <v>2355</v>
      </c>
      <c r="B333">
        <v>-22.448121660000002</v>
      </c>
      <c r="C333">
        <v>-41.7630135</v>
      </c>
      <c r="E333" s="29">
        <f t="shared" si="5"/>
        <v>19.314891839999998</v>
      </c>
      <c r="F333" s="30">
        <v>42990</v>
      </c>
    </row>
    <row r="334" spans="1:6" x14ac:dyDescent="0.3">
      <c r="A334" s="36" t="s">
        <v>2356</v>
      </c>
      <c r="B334">
        <v>-22.18753164</v>
      </c>
      <c r="C334">
        <v>-42.324320999999998</v>
      </c>
      <c r="E334" s="29">
        <f t="shared" si="5"/>
        <v>20.136789359999998</v>
      </c>
      <c r="F334" s="30">
        <v>42991</v>
      </c>
    </row>
    <row r="335" spans="1:6" x14ac:dyDescent="0.3">
      <c r="A335" s="36" t="s">
        <v>2357</v>
      </c>
      <c r="B335">
        <v>-22.722143190000001</v>
      </c>
      <c r="C335">
        <v>-41.399190099999998</v>
      </c>
      <c r="E335" s="29">
        <f t="shared" si="5"/>
        <v>18.677046909999998</v>
      </c>
      <c r="F335" s="30">
        <v>42992</v>
      </c>
    </row>
    <row r="336" spans="1:6" x14ac:dyDescent="0.3">
      <c r="A336" s="32" t="s">
        <v>1291</v>
      </c>
      <c r="B336">
        <v>-24.134295510000001</v>
      </c>
      <c r="C336">
        <v>-39.603900099999997</v>
      </c>
      <c r="E336" s="29">
        <f t="shared" si="5"/>
        <v>15.469604589999996</v>
      </c>
      <c r="F336" s="30">
        <v>42993</v>
      </c>
    </row>
    <row r="337" spans="1:6" x14ac:dyDescent="0.3">
      <c r="A337" s="32"/>
      <c r="F337" s="30"/>
    </row>
    <row r="338" spans="1:6" x14ac:dyDescent="0.3">
      <c r="A338" s="32"/>
      <c r="F338" s="30"/>
    </row>
    <row r="339" spans="1:6" x14ac:dyDescent="0.3">
      <c r="A339" s="32"/>
      <c r="F339" s="30"/>
    </row>
    <row r="340" spans="1:6" x14ac:dyDescent="0.3">
      <c r="A340" s="32"/>
      <c r="F340" s="30"/>
    </row>
    <row r="341" spans="1:6" x14ac:dyDescent="0.3">
      <c r="A341" s="32"/>
      <c r="F341" s="30"/>
    </row>
    <row r="342" spans="1:6" x14ac:dyDescent="0.3">
      <c r="F342" s="30"/>
    </row>
    <row r="343" spans="1:6" x14ac:dyDescent="0.3">
      <c r="F343" s="30"/>
    </row>
    <row r="344" spans="1:6" x14ac:dyDescent="0.3">
      <c r="F344" s="30"/>
    </row>
    <row r="345" spans="1:6" x14ac:dyDescent="0.3">
      <c r="A345" s="29" t="s">
        <v>763</v>
      </c>
      <c r="F345" s="30"/>
    </row>
    <row r="346" spans="1:6" x14ac:dyDescent="0.3">
      <c r="A346" s="29" t="s">
        <v>764</v>
      </c>
      <c r="F346" s="30"/>
    </row>
    <row r="347" spans="1:6" x14ac:dyDescent="0.3">
      <c r="A347" s="29" t="s">
        <v>765</v>
      </c>
      <c r="F347" s="30"/>
    </row>
    <row r="348" spans="1:6" x14ac:dyDescent="0.3">
      <c r="A348" s="29" t="s">
        <v>766</v>
      </c>
      <c r="F348" s="30"/>
    </row>
    <row r="349" spans="1:6" x14ac:dyDescent="0.3">
      <c r="A349" s="29" t="s">
        <v>767</v>
      </c>
      <c r="F349" s="30"/>
    </row>
    <row r="350" spans="1:6" x14ac:dyDescent="0.3">
      <c r="A350" s="29" t="s">
        <v>768</v>
      </c>
      <c r="F350" s="30"/>
    </row>
    <row r="351" spans="1:6" x14ac:dyDescent="0.3">
      <c r="A351" s="29" t="s">
        <v>769</v>
      </c>
      <c r="F351" s="30"/>
    </row>
    <row r="352" spans="1:6" x14ac:dyDescent="0.3">
      <c r="A352" s="29" t="s">
        <v>770</v>
      </c>
      <c r="F352" s="30"/>
    </row>
    <row r="353" spans="1:6" x14ac:dyDescent="0.3">
      <c r="A353" s="29" t="s">
        <v>771</v>
      </c>
      <c r="F353" s="30"/>
    </row>
    <row r="354" spans="1:6" x14ac:dyDescent="0.3">
      <c r="A354" s="29" t="s">
        <v>772</v>
      </c>
      <c r="F354" s="30"/>
    </row>
    <row r="355" spans="1:6" x14ac:dyDescent="0.3">
      <c r="A355" s="29" t="s">
        <v>773</v>
      </c>
      <c r="F355" s="30"/>
    </row>
    <row r="356" spans="1:6" x14ac:dyDescent="0.3">
      <c r="A356" s="29" t="s">
        <v>774</v>
      </c>
      <c r="F356" s="30"/>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28FD7-F8AC-41A3-8B5F-4999D5E11CC5}">
  <sheetPr codeName="Sheet7"/>
  <dimension ref="A1:F356"/>
  <sheetViews>
    <sheetView topLeftCell="A328" workbookViewId="0">
      <selection activeCell="P354" sqref="P354"/>
    </sheetView>
  </sheetViews>
  <sheetFormatPr defaultRowHeight="14.4" x14ac:dyDescent="0.3"/>
  <cols>
    <col min="1" max="1" width="28.21875" style="26" bestFit="1" customWidth="1"/>
    <col min="2" max="5" width="8.88671875" style="26"/>
    <col min="6" max="6" width="9.88671875" style="26" bestFit="1" customWidth="1"/>
    <col min="7" max="16384" width="8.88671875" style="26"/>
  </cols>
  <sheetData>
    <row r="1" spans="1:6" x14ac:dyDescent="0.3">
      <c r="E1" s="26" t="s">
        <v>776</v>
      </c>
      <c r="F1" s="26" t="s">
        <v>775</v>
      </c>
    </row>
    <row r="2" spans="1:6" x14ac:dyDescent="0.3">
      <c r="A2" s="26" t="s">
        <v>420</v>
      </c>
      <c r="B2" s="26">
        <v>1.5396396699999999</v>
      </c>
      <c r="C2" s="26">
        <v>2.6624303199999999</v>
      </c>
      <c r="E2" s="26">
        <f>B2-C2</f>
        <v>-1.12279065</v>
      </c>
      <c r="F2" s="31">
        <v>42659</v>
      </c>
    </row>
    <row r="3" spans="1:6" x14ac:dyDescent="0.3">
      <c r="A3" s="26" t="s">
        <v>421</v>
      </c>
      <c r="B3" s="26">
        <v>0.29060468</v>
      </c>
      <c r="C3" s="26">
        <v>1.5693823099999999</v>
      </c>
      <c r="E3" s="26">
        <f t="shared" ref="E3:E66" si="0">B3-C3</f>
        <v>-1.27877763</v>
      </c>
      <c r="F3" s="31">
        <v>42660</v>
      </c>
    </row>
    <row r="4" spans="1:6" x14ac:dyDescent="0.3">
      <c r="A4" s="26" t="s">
        <v>422</v>
      </c>
      <c r="B4" s="26">
        <v>0.32715993999999998</v>
      </c>
      <c r="C4" s="26">
        <v>1.82595342</v>
      </c>
      <c r="E4" s="26">
        <f t="shared" si="0"/>
        <v>-1.49879348</v>
      </c>
      <c r="F4" s="31">
        <v>42661</v>
      </c>
    </row>
    <row r="5" spans="1:6" x14ac:dyDescent="0.3">
      <c r="A5" s="26" t="s">
        <v>423</v>
      </c>
      <c r="B5" s="26">
        <v>0.39291598</v>
      </c>
      <c r="C5" s="26">
        <v>1.3260072599999999</v>
      </c>
      <c r="E5" s="26">
        <f t="shared" si="0"/>
        <v>-0.93309127999999997</v>
      </c>
      <c r="F5" s="31">
        <v>42662</v>
      </c>
    </row>
    <row r="6" spans="1:6" x14ac:dyDescent="0.3">
      <c r="A6" s="26" t="s">
        <v>424</v>
      </c>
      <c r="B6" s="26">
        <v>0.17233135999999999</v>
      </c>
      <c r="C6" s="26">
        <v>1.21307027</v>
      </c>
      <c r="E6" s="26">
        <f t="shared" si="0"/>
        <v>-1.04073891</v>
      </c>
      <c r="F6" s="31">
        <v>42663</v>
      </c>
    </row>
    <row r="7" spans="1:6" x14ac:dyDescent="0.3">
      <c r="A7" s="26" t="s">
        <v>425</v>
      </c>
      <c r="B7" s="26">
        <v>0.20293834999999999</v>
      </c>
      <c r="C7" s="26">
        <v>2.7149197300000001</v>
      </c>
      <c r="E7" s="26">
        <f t="shared" si="0"/>
        <v>-2.5119813799999999</v>
      </c>
      <c r="F7" s="31">
        <v>42664</v>
      </c>
    </row>
    <row r="8" spans="1:6" x14ac:dyDescent="0.3">
      <c r="A8" s="26" t="s">
        <v>426</v>
      </c>
      <c r="B8" s="26">
        <v>0.52776836999999999</v>
      </c>
      <c r="C8" s="26">
        <v>1.2793864800000001</v>
      </c>
      <c r="E8" s="26">
        <f t="shared" si="0"/>
        <v>-0.75161811000000012</v>
      </c>
      <c r="F8" s="31">
        <v>42665</v>
      </c>
    </row>
    <row r="9" spans="1:6" x14ac:dyDescent="0.3">
      <c r="A9" s="26" t="s">
        <v>427</v>
      </c>
      <c r="B9" s="26">
        <v>2.52197044</v>
      </c>
      <c r="C9" s="26">
        <v>0.83560142999999998</v>
      </c>
      <c r="E9" s="26">
        <f t="shared" si="0"/>
        <v>1.6863690099999999</v>
      </c>
      <c r="F9" s="31">
        <v>42666</v>
      </c>
    </row>
    <row r="10" spans="1:6" x14ac:dyDescent="0.3">
      <c r="A10" s="26" t="s">
        <v>428</v>
      </c>
      <c r="B10" s="26">
        <v>2.6367539400000002</v>
      </c>
      <c r="C10" s="26">
        <v>1.8355324799999999</v>
      </c>
      <c r="E10" s="26">
        <f t="shared" si="0"/>
        <v>0.80122146000000027</v>
      </c>
      <c r="F10" s="31">
        <v>42667</v>
      </c>
    </row>
    <row r="11" spans="1:6" x14ac:dyDescent="0.3">
      <c r="A11" s="26" t="s">
        <v>429</v>
      </c>
      <c r="B11" s="26">
        <v>3.33482251</v>
      </c>
      <c r="C11" s="26">
        <v>3.42566075</v>
      </c>
      <c r="E11" s="26">
        <f t="shared" si="0"/>
        <v>-9.083824000000007E-2</v>
      </c>
      <c r="F11" s="31">
        <v>42668</v>
      </c>
    </row>
    <row r="12" spans="1:6" x14ac:dyDescent="0.3">
      <c r="A12" s="26" t="s">
        <v>430</v>
      </c>
      <c r="B12" s="26">
        <v>2.0988121</v>
      </c>
      <c r="C12" s="26">
        <v>4.6204004699999999</v>
      </c>
      <c r="E12" s="26">
        <f t="shared" si="0"/>
        <v>-2.5215883699999999</v>
      </c>
      <c r="F12" s="31">
        <v>42669</v>
      </c>
    </row>
    <row r="13" spans="1:6" x14ac:dyDescent="0.3">
      <c r="A13" s="26" t="s">
        <v>431</v>
      </c>
      <c r="B13" s="26">
        <v>2.3828529500000002</v>
      </c>
      <c r="C13" s="26">
        <v>4.5272531100000002</v>
      </c>
      <c r="E13" s="26">
        <f t="shared" si="0"/>
        <v>-2.14440016</v>
      </c>
      <c r="F13" s="31">
        <v>42670</v>
      </c>
    </row>
    <row r="14" spans="1:6" x14ac:dyDescent="0.3">
      <c r="A14" s="26" t="s">
        <v>432</v>
      </c>
      <c r="B14" s="26">
        <v>3.6886258199999999</v>
      </c>
      <c r="C14" s="26">
        <v>3.8358723100000001</v>
      </c>
      <c r="E14" s="26">
        <f t="shared" si="0"/>
        <v>-0.14724649000000012</v>
      </c>
      <c r="F14" s="31">
        <v>42671</v>
      </c>
    </row>
    <row r="15" spans="1:6" x14ac:dyDescent="0.3">
      <c r="A15" s="26" t="s">
        <v>433</v>
      </c>
      <c r="B15" s="26">
        <v>4.00597052</v>
      </c>
      <c r="C15" s="26">
        <v>4.3223866600000003</v>
      </c>
      <c r="E15" s="26">
        <f t="shared" si="0"/>
        <v>-0.31641614000000029</v>
      </c>
      <c r="F15" s="31">
        <v>42672</v>
      </c>
    </row>
    <row r="16" spans="1:6" x14ac:dyDescent="0.3">
      <c r="A16" s="26" t="s">
        <v>434</v>
      </c>
      <c r="B16" s="26">
        <v>3.9984027100000001</v>
      </c>
      <c r="C16" s="26">
        <v>4.1446829200000002</v>
      </c>
      <c r="E16" s="26">
        <f t="shared" si="0"/>
        <v>-0.14628021000000002</v>
      </c>
      <c r="F16" s="31">
        <v>42673</v>
      </c>
    </row>
    <row r="17" spans="1:6" x14ac:dyDescent="0.3">
      <c r="A17" s="26" t="s">
        <v>435</v>
      </c>
      <c r="B17" s="26">
        <v>2.7388518999999998</v>
      </c>
      <c r="C17" s="26">
        <v>3.7326457199999998</v>
      </c>
      <c r="E17" s="26">
        <f t="shared" si="0"/>
        <v>-0.99379382000000005</v>
      </c>
      <c r="F17" s="31">
        <v>42674</v>
      </c>
    </row>
    <row r="18" spans="1:6" x14ac:dyDescent="0.3">
      <c r="A18" s="26" t="s">
        <v>436</v>
      </c>
      <c r="B18" s="26">
        <v>2.0759595200000001</v>
      </c>
      <c r="C18" s="26">
        <v>4.6125727899999998</v>
      </c>
      <c r="E18" s="26">
        <f t="shared" si="0"/>
        <v>-2.5366132699999997</v>
      </c>
      <c r="F18" s="31">
        <v>42675</v>
      </c>
    </row>
    <row r="19" spans="1:6" x14ac:dyDescent="0.3">
      <c r="A19" s="26" t="s">
        <v>437</v>
      </c>
      <c r="B19" s="26">
        <v>0.70489378000000003</v>
      </c>
      <c r="C19" s="26">
        <v>4.4154978600000003</v>
      </c>
      <c r="E19" s="26">
        <f t="shared" si="0"/>
        <v>-3.7106040800000004</v>
      </c>
      <c r="F19" s="31">
        <v>42676</v>
      </c>
    </row>
    <row r="20" spans="1:6" x14ac:dyDescent="0.3">
      <c r="A20" s="26" t="s">
        <v>438</v>
      </c>
      <c r="B20" s="26">
        <v>3.6319616300000002</v>
      </c>
      <c r="C20" s="26">
        <v>2.79983213</v>
      </c>
      <c r="E20" s="26">
        <f t="shared" si="0"/>
        <v>0.83212950000000019</v>
      </c>
      <c r="F20" s="31">
        <v>42677</v>
      </c>
    </row>
    <row r="21" spans="1:6" x14ac:dyDescent="0.3">
      <c r="A21" s="26" t="s">
        <v>439</v>
      </c>
      <c r="B21" s="26">
        <v>3.8889325600000002</v>
      </c>
      <c r="C21" s="26">
        <v>2.7593360499999999</v>
      </c>
      <c r="E21" s="26">
        <f t="shared" si="0"/>
        <v>1.1295965100000003</v>
      </c>
      <c r="F21" s="31">
        <v>42678</v>
      </c>
    </row>
    <row r="22" spans="1:6" x14ac:dyDescent="0.3">
      <c r="A22" s="26" t="s">
        <v>440</v>
      </c>
      <c r="B22" s="26">
        <v>3.3196254500000002</v>
      </c>
      <c r="C22" s="26">
        <v>3.6998976300000002</v>
      </c>
      <c r="E22" s="26">
        <f t="shared" si="0"/>
        <v>-0.38027217999999996</v>
      </c>
      <c r="F22" s="31">
        <v>42679</v>
      </c>
    </row>
    <row r="23" spans="1:6" x14ac:dyDescent="0.3">
      <c r="A23" s="26" t="s">
        <v>441</v>
      </c>
      <c r="B23" s="26">
        <v>4.3459147400000004</v>
      </c>
      <c r="C23" s="26">
        <v>4.8714084900000003</v>
      </c>
      <c r="E23" s="26">
        <f t="shared" si="0"/>
        <v>-0.52549374999999987</v>
      </c>
      <c r="F23" s="31">
        <v>42680</v>
      </c>
    </row>
    <row r="24" spans="1:6" x14ac:dyDescent="0.3">
      <c r="A24" s="26" t="s">
        <v>442</v>
      </c>
      <c r="B24" s="26">
        <v>4.0730086500000002</v>
      </c>
      <c r="C24" s="26">
        <v>4.6358633500000002</v>
      </c>
      <c r="E24" s="26">
        <f t="shared" si="0"/>
        <v>-0.56285469999999993</v>
      </c>
      <c r="F24" s="31">
        <v>42681</v>
      </c>
    </row>
    <row r="25" spans="1:6" x14ac:dyDescent="0.3">
      <c r="A25" s="26" t="s">
        <v>443</v>
      </c>
      <c r="B25" s="26">
        <v>4.0434503299999998</v>
      </c>
      <c r="C25" s="26">
        <v>3.4526230500000001</v>
      </c>
      <c r="E25" s="26">
        <f t="shared" si="0"/>
        <v>0.59082727999999962</v>
      </c>
      <c r="F25" s="31">
        <v>42682</v>
      </c>
    </row>
    <row r="26" spans="1:6" x14ac:dyDescent="0.3">
      <c r="A26" s="26" t="s">
        <v>444</v>
      </c>
      <c r="B26" s="26">
        <v>5.0907774200000002</v>
      </c>
      <c r="C26" s="26">
        <v>3.76759712</v>
      </c>
      <c r="E26" s="26">
        <f t="shared" si="0"/>
        <v>1.3231803000000002</v>
      </c>
      <c r="F26" s="31">
        <v>42683</v>
      </c>
    </row>
    <row r="27" spans="1:6" x14ac:dyDescent="0.3">
      <c r="A27" s="26" t="s">
        <v>445</v>
      </c>
      <c r="B27" s="26">
        <v>4.6301414899999997</v>
      </c>
      <c r="C27" s="26">
        <v>3.1432755100000001</v>
      </c>
      <c r="E27" s="26">
        <f t="shared" si="0"/>
        <v>1.4868659799999997</v>
      </c>
      <c r="F27" s="31">
        <v>42684</v>
      </c>
    </row>
    <row r="28" spans="1:6" x14ac:dyDescent="0.3">
      <c r="A28" s="26" t="s">
        <v>446</v>
      </c>
      <c r="B28" s="26">
        <v>5.8464189400000004</v>
      </c>
      <c r="C28" s="26">
        <v>3.69205052</v>
      </c>
      <c r="E28" s="26">
        <f t="shared" si="0"/>
        <v>2.1543684200000004</v>
      </c>
      <c r="F28" s="31">
        <v>42685</v>
      </c>
    </row>
    <row r="29" spans="1:6" x14ac:dyDescent="0.3">
      <c r="A29" s="26" t="s">
        <v>447</v>
      </c>
      <c r="B29" s="26">
        <v>5.7630971600000001</v>
      </c>
      <c r="C29" s="26">
        <v>4.1619669000000004</v>
      </c>
      <c r="E29" s="26">
        <f t="shared" si="0"/>
        <v>1.6011302599999997</v>
      </c>
      <c r="F29" s="31">
        <v>42686</v>
      </c>
    </row>
    <row r="30" spans="1:6" x14ac:dyDescent="0.3">
      <c r="A30" s="26" t="s">
        <v>448</v>
      </c>
      <c r="B30" s="26">
        <v>5.0245484400000002</v>
      </c>
      <c r="C30" s="26">
        <v>4.9995918699999997</v>
      </c>
      <c r="E30" s="26">
        <f t="shared" si="0"/>
        <v>2.4956570000000511E-2</v>
      </c>
      <c r="F30" s="31">
        <v>42687</v>
      </c>
    </row>
    <row r="31" spans="1:6" x14ac:dyDescent="0.3">
      <c r="A31" s="26" t="s">
        <v>449</v>
      </c>
      <c r="B31" s="26">
        <v>5.3360781199999998</v>
      </c>
      <c r="C31" s="26">
        <v>5.1505953900000003</v>
      </c>
      <c r="E31" s="26">
        <f t="shared" si="0"/>
        <v>0.18548272999999948</v>
      </c>
      <c r="F31" s="31">
        <v>42688</v>
      </c>
    </row>
    <row r="32" spans="1:6" x14ac:dyDescent="0.3">
      <c r="A32" s="26" t="s">
        <v>450</v>
      </c>
      <c r="B32" s="26">
        <v>5.0033539200000003</v>
      </c>
      <c r="C32" s="26">
        <v>4.8405454099999998</v>
      </c>
      <c r="E32" s="26">
        <f t="shared" si="0"/>
        <v>0.16280851000000052</v>
      </c>
      <c r="F32" s="31">
        <v>42689</v>
      </c>
    </row>
    <row r="33" spans="1:6" x14ac:dyDescent="0.3">
      <c r="A33" s="26" t="s">
        <v>451</v>
      </c>
      <c r="B33" s="26">
        <v>5.1501850200000003</v>
      </c>
      <c r="C33" s="26">
        <v>4.2720739700000001</v>
      </c>
      <c r="E33" s="26">
        <f t="shared" si="0"/>
        <v>0.87811105000000023</v>
      </c>
      <c r="F33" s="31">
        <v>42690</v>
      </c>
    </row>
    <row r="34" spans="1:6" x14ac:dyDescent="0.3">
      <c r="A34" s="26" t="s">
        <v>452</v>
      </c>
      <c r="B34" s="26">
        <v>5.9155363799999998</v>
      </c>
      <c r="C34" s="26">
        <v>3.2668572999999999</v>
      </c>
      <c r="E34" s="26">
        <f t="shared" si="0"/>
        <v>2.64867908</v>
      </c>
      <c r="F34" s="31">
        <v>42691</v>
      </c>
    </row>
    <row r="35" spans="1:6" x14ac:dyDescent="0.3">
      <c r="A35" s="26" t="s">
        <v>453</v>
      </c>
      <c r="B35" s="26">
        <v>7.1626474399999998</v>
      </c>
      <c r="C35" s="26">
        <v>3.2429507499999999</v>
      </c>
      <c r="E35" s="26">
        <f t="shared" si="0"/>
        <v>3.9196966899999999</v>
      </c>
      <c r="F35" s="31">
        <v>42692</v>
      </c>
    </row>
    <row r="36" spans="1:6" x14ac:dyDescent="0.3">
      <c r="A36" s="26" t="s">
        <v>454</v>
      </c>
      <c r="B36" s="26">
        <v>8.6130797799999996</v>
      </c>
      <c r="C36" s="26">
        <v>3.9764194399999999</v>
      </c>
      <c r="E36" s="26">
        <f t="shared" si="0"/>
        <v>4.6366603399999997</v>
      </c>
      <c r="F36" s="31">
        <v>42693</v>
      </c>
    </row>
    <row r="37" spans="1:6" x14ac:dyDescent="0.3">
      <c r="A37" s="26" t="s">
        <v>455</v>
      </c>
      <c r="B37" s="26">
        <v>9.3200526999999997</v>
      </c>
      <c r="C37" s="26">
        <v>4.4604994900000001</v>
      </c>
      <c r="E37" s="26">
        <f t="shared" si="0"/>
        <v>4.8595532099999996</v>
      </c>
      <c r="F37" s="31">
        <v>42694</v>
      </c>
    </row>
    <row r="38" spans="1:6" x14ac:dyDescent="0.3">
      <c r="A38" s="26" t="s">
        <v>456</v>
      </c>
      <c r="B38" s="26">
        <v>9.1025597699999992</v>
      </c>
      <c r="C38" s="26">
        <v>5.3130604300000002</v>
      </c>
      <c r="E38" s="26">
        <f t="shared" si="0"/>
        <v>3.789499339999999</v>
      </c>
      <c r="F38" s="31">
        <v>42695</v>
      </c>
    </row>
    <row r="39" spans="1:6" x14ac:dyDescent="0.3">
      <c r="A39" s="26" t="s">
        <v>457</v>
      </c>
      <c r="B39" s="26">
        <v>9.3130153700000005</v>
      </c>
      <c r="C39" s="26">
        <v>3.1204002399999999</v>
      </c>
      <c r="E39" s="26">
        <f t="shared" si="0"/>
        <v>6.1926151300000001</v>
      </c>
      <c r="F39" s="31">
        <v>42696</v>
      </c>
    </row>
    <row r="40" spans="1:6" x14ac:dyDescent="0.3">
      <c r="A40" s="26" t="s">
        <v>458</v>
      </c>
      <c r="B40" s="26">
        <v>10.061599920000001</v>
      </c>
      <c r="C40" s="26">
        <v>2.83234867</v>
      </c>
      <c r="E40" s="26">
        <f t="shared" si="0"/>
        <v>7.2292512500000008</v>
      </c>
      <c r="F40" s="31">
        <v>42697</v>
      </c>
    </row>
    <row r="41" spans="1:6" x14ac:dyDescent="0.3">
      <c r="A41" s="26" t="s">
        <v>459</v>
      </c>
      <c r="B41" s="26">
        <v>10.91740311</v>
      </c>
      <c r="C41" s="26">
        <v>1.58506462</v>
      </c>
      <c r="E41" s="26">
        <f t="shared" si="0"/>
        <v>9.3323384899999997</v>
      </c>
      <c r="F41" s="31">
        <v>42698</v>
      </c>
    </row>
    <row r="42" spans="1:6" x14ac:dyDescent="0.3">
      <c r="A42" s="26" t="s">
        <v>460</v>
      </c>
      <c r="B42" s="26">
        <v>11.649937769999999</v>
      </c>
      <c r="C42" s="26">
        <v>4.2476996900000001</v>
      </c>
      <c r="E42" s="26">
        <f t="shared" si="0"/>
        <v>7.4022380799999992</v>
      </c>
      <c r="F42" s="31">
        <v>42699</v>
      </c>
    </row>
    <row r="43" spans="1:6" x14ac:dyDescent="0.3">
      <c r="A43" s="26" t="s">
        <v>461</v>
      </c>
      <c r="B43" s="26">
        <v>12.26409003</v>
      </c>
      <c r="C43" s="26">
        <v>5.3017230199999998</v>
      </c>
      <c r="E43" s="26">
        <f t="shared" si="0"/>
        <v>6.9623670100000004</v>
      </c>
      <c r="F43" s="31">
        <v>42700</v>
      </c>
    </row>
    <row r="44" spans="1:6" x14ac:dyDescent="0.3">
      <c r="A44" s="26" t="s">
        <v>462</v>
      </c>
      <c r="B44" s="26">
        <v>10.72953375</v>
      </c>
      <c r="C44" s="26">
        <v>5.5897537100000001</v>
      </c>
      <c r="E44" s="26">
        <f t="shared" si="0"/>
        <v>5.1397800399999998</v>
      </c>
      <c r="F44" s="31">
        <v>42701</v>
      </c>
    </row>
    <row r="45" spans="1:6" x14ac:dyDescent="0.3">
      <c r="A45" s="26" t="s">
        <v>463</v>
      </c>
      <c r="B45" s="26">
        <v>10.56546206</v>
      </c>
      <c r="C45" s="26">
        <v>6.5569094799999998</v>
      </c>
      <c r="E45" s="26">
        <f t="shared" si="0"/>
        <v>4.0085525799999999</v>
      </c>
      <c r="F45" s="31">
        <v>42702</v>
      </c>
    </row>
    <row r="46" spans="1:6" x14ac:dyDescent="0.3">
      <c r="A46" s="26" t="s">
        <v>464</v>
      </c>
      <c r="B46" s="26">
        <v>9.4973981599999995</v>
      </c>
      <c r="C46" s="26">
        <v>4.8102174900000003</v>
      </c>
      <c r="E46" s="26">
        <f t="shared" si="0"/>
        <v>4.6871806699999992</v>
      </c>
      <c r="F46" s="31">
        <v>42703</v>
      </c>
    </row>
    <row r="47" spans="1:6" x14ac:dyDescent="0.3">
      <c r="A47" s="26" t="s">
        <v>465</v>
      </c>
      <c r="B47" s="26">
        <v>10.890806299999999</v>
      </c>
      <c r="C47" s="26">
        <v>4.3908728000000004</v>
      </c>
      <c r="E47" s="26">
        <f t="shared" si="0"/>
        <v>6.4999334999999991</v>
      </c>
      <c r="F47" s="31">
        <v>42704</v>
      </c>
    </row>
    <row r="48" spans="1:6" x14ac:dyDescent="0.3">
      <c r="A48" s="26" t="s">
        <v>466</v>
      </c>
      <c r="B48" s="26">
        <v>10.75490012</v>
      </c>
      <c r="C48" s="26">
        <v>5.1296675199999999</v>
      </c>
      <c r="E48" s="26">
        <f t="shared" si="0"/>
        <v>5.6252326000000004</v>
      </c>
      <c r="F48" s="31">
        <v>42705</v>
      </c>
    </row>
    <row r="49" spans="1:6" x14ac:dyDescent="0.3">
      <c r="A49" s="26" t="s">
        <v>467</v>
      </c>
      <c r="B49" s="26">
        <v>12.663361419999999</v>
      </c>
      <c r="C49" s="26">
        <v>4.4056158300000003</v>
      </c>
      <c r="E49" s="26">
        <f t="shared" si="0"/>
        <v>8.257745589999999</v>
      </c>
      <c r="F49" s="31">
        <v>42706</v>
      </c>
    </row>
    <row r="50" spans="1:6" x14ac:dyDescent="0.3">
      <c r="A50" s="26" t="s">
        <v>468</v>
      </c>
      <c r="B50" s="26">
        <v>12.80593668</v>
      </c>
      <c r="C50" s="26">
        <v>4.0263130299999998</v>
      </c>
      <c r="E50" s="26">
        <f t="shared" si="0"/>
        <v>8.7796236500000013</v>
      </c>
      <c r="F50" s="31">
        <v>42707</v>
      </c>
    </row>
    <row r="51" spans="1:6" x14ac:dyDescent="0.3">
      <c r="A51" s="26" t="s">
        <v>469</v>
      </c>
      <c r="B51" s="26">
        <v>13.778258559999999</v>
      </c>
      <c r="C51" s="26">
        <v>2.7332641500000001</v>
      </c>
      <c r="E51" s="26">
        <f t="shared" si="0"/>
        <v>11.044994409999999</v>
      </c>
      <c r="F51" s="31">
        <v>42708</v>
      </c>
    </row>
    <row r="52" spans="1:6" x14ac:dyDescent="0.3">
      <c r="A52" s="26" t="s">
        <v>470</v>
      </c>
      <c r="B52" s="26">
        <v>13.308659130000001</v>
      </c>
      <c r="C52" s="26">
        <v>1.78640595</v>
      </c>
      <c r="E52" s="26">
        <f t="shared" si="0"/>
        <v>11.52225318</v>
      </c>
      <c r="F52" s="31">
        <v>42709</v>
      </c>
    </row>
    <row r="53" spans="1:6" x14ac:dyDescent="0.3">
      <c r="A53" s="26" t="s">
        <v>471</v>
      </c>
      <c r="B53" s="26">
        <v>13.3268936</v>
      </c>
      <c r="C53" s="26">
        <v>2.05408122</v>
      </c>
      <c r="E53" s="26">
        <f t="shared" si="0"/>
        <v>11.27281238</v>
      </c>
      <c r="F53" s="31">
        <v>42710</v>
      </c>
    </row>
    <row r="54" spans="1:6" x14ac:dyDescent="0.3">
      <c r="A54" s="26" t="s">
        <v>472</v>
      </c>
      <c r="B54" s="26">
        <v>12.0668206</v>
      </c>
      <c r="C54" s="26">
        <v>3.3043570600000001</v>
      </c>
      <c r="E54" s="26">
        <f t="shared" si="0"/>
        <v>8.7624635399999988</v>
      </c>
      <c r="F54" s="31">
        <v>42711</v>
      </c>
    </row>
    <row r="55" spans="1:6" x14ac:dyDescent="0.3">
      <c r="A55" s="26" t="s">
        <v>473</v>
      </c>
      <c r="B55" s="26">
        <v>11.51407573</v>
      </c>
      <c r="C55" s="26">
        <v>3.0039678099999998</v>
      </c>
      <c r="E55" s="26">
        <f t="shared" si="0"/>
        <v>8.5101079199999994</v>
      </c>
      <c r="F55" s="31">
        <v>42712</v>
      </c>
    </row>
    <row r="56" spans="1:6" x14ac:dyDescent="0.3">
      <c r="A56" s="26" t="s">
        <v>474</v>
      </c>
      <c r="B56" s="26">
        <v>10.37403188</v>
      </c>
      <c r="C56" s="26">
        <v>3.4786014000000001</v>
      </c>
      <c r="E56" s="26">
        <f t="shared" si="0"/>
        <v>6.8954304799999999</v>
      </c>
      <c r="F56" s="31">
        <v>42713</v>
      </c>
    </row>
    <row r="57" spans="1:6" x14ac:dyDescent="0.3">
      <c r="A57" s="26" t="s">
        <v>475</v>
      </c>
      <c r="B57" s="26">
        <v>8.1349008099999995</v>
      </c>
      <c r="C57" s="26">
        <v>3.84737098</v>
      </c>
      <c r="E57" s="26">
        <f t="shared" si="0"/>
        <v>4.2875298299999995</v>
      </c>
      <c r="F57" s="31">
        <v>42714</v>
      </c>
    </row>
    <row r="58" spans="1:6" x14ac:dyDescent="0.3">
      <c r="A58" s="26" t="s">
        <v>476</v>
      </c>
      <c r="B58" s="26">
        <v>9.4125688699999994</v>
      </c>
      <c r="C58" s="26">
        <v>4.0782758899999996</v>
      </c>
      <c r="E58" s="26">
        <f t="shared" si="0"/>
        <v>5.3342929799999999</v>
      </c>
      <c r="F58" s="31">
        <v>42715</v>
      </c>
    </row>
    <row r="59" spans="1:6" x14ac:dyDescent="0.3">
      <c r="A59" s="26" t="s">
        <v>477</v>
      </c>
      <c r="B59" s="26">
        <v>9.0874233100000001</v>
      </c>
      <c r="C59" s="26">
        <v>3.5880396499999998</v>
      </c>
      <c r="E59" s="26">
        <f t="shared" si="0"/>
        <v>5.4993836600000003</v>
      </c>
      <c r="F59" s="31">
        <v>42716</v>
      </c>
    </row>
    <row r="60" spans="1:6" x14ac:dyDescent="0.3">
      <c r="A60" s="26" t="s">
        <v>478</v>
      </c>
      <c r="B60" s="26">
        <v>8.5077569499999992</v>
      </c>
      <c r="C60" s="26">
        <v>3.83480803</v>
      </c>
      <c r="E60" s="26">
        <f t="shared" si="0"/>
        <v>4.6729489199999996</v>
      </c>
      <c r="F60" s="31">
        <v>42717</v>
      </c>
    </row>
    <row r="61" spans="1:6" x14ac:dyDescent="0.3">
      <c r="A61" s="26" t="s">
        <v>479</v>
      </c>
      <c r="B61" s="26">
        <v>10.073615070000001</v>
      </c>
      <c r="C61" s="26">
        <v>3.95235235</v>
      </c>
      <c r="E61" s="26">
        <f t="shared" si="0"/>
        <v>6.1212627200000007</v>
      </c>
      <c r="F61" s="31">
        <v>42718</v>
      </c>
    </row>
    <row r="62" spans="1:6" x14ac:dyDescent="0.3">
      <c r="A62" s="26" t="s">
        <v>480</v>
      </c>
      <c r="B62" s="26">
        <v>11.377094339999999</v>
      </c>
      <c r="C62" s="26">
        <v>4.16557376</v>
      </c>
      <c r="E62" s="26">
        <f t="shared" si="0"/>
        <v>7.2115205799999993</v>
      </c>
      <c r="F62" s="31">
        <v>42719</v>
      </c>
    </row>
    <row r="63" spans="1:6" x14ac:dyDescent="0.3">
      <c r="A63" s="26" t="s">
        <v>481</v>
      </c>
      <c r="B63" s="26">
        <v>11.966614610000001</v>
      </c>
      <c r="C63" s="26">
        <v>3.6628824799999999</v>
      </c>
      <c r="E63" s="26">
        <f t="shared" si="0"/>
        <v>8.3037321300000002</v>
      </c>
      <c r="F63" s="31">
        <v>42720</v>
      </c>
    </row>
    <row r="64" spans="1:6" x14ac:dyDescent="0.3">
      <c r="A64" s="26" t="s">
        <v>482</v>
      </c>
      <c r="B64" s="26">
        <v>11.69229458</v>
      </c>
      <c r="C64" s="26">
        <v>4.9940368700000004</v>
      </c>
      <c r="E64" s="26">
        <f t="shared" si="0"/>
        <v>6.69825771</v>
      </c>
      <c r="F64" s="31">
        <v>42721</v>
      </c>
    </row>
    <row r="65" spans="1:6" x14ac:dyDescent="0.3">
      <c r="A65" s="26" t="s">
        <v>483</v>
      </c>
      <c r="B65" s="26">
        <v>11.13184167</v>
      </c>
      <c r="C65" s="26">
        <v>6.1759577200000004</v>
      </c>
      <c r="E65" s="26">
        <f t="shared" si="0"/>
        <v>4.9558839499999996</v>
      </c>
      <c r="F65" s="31">
        <v>42722</v>
      </c>
    </row>
    <row r="66" spans="1:6" x14ac:dyDescent="0.3">
      <c r="A66" s="26" t="s">
        <v>484</v>
      </c>
      <c r="B66" s="26">
        <v>12.0902931</v>
      </c>
      <c r="C66" s="26">
        <v>6.5248203199999999</v>
      </c>
      <c r="E66" s="26">
        <f t="shared" si="0"/>
        <v>5.5654727800000003</v>
      </c>
      <c r="F66" s="31">
        <v>42723</v>
      </c>
    </row>
    <row r="67" spans="1:6" x14ac:dyDescent="0.3">
      <c r="A67" s="26" t="s">
        <v>485</v>
      </c>
      <c r="B67" s="26">
        <v>11.992422449999999</v>
      </c>
      <c r="C67" s="26">
        <v>9.0122055099999994</v>
      </c>
      <c r="E67" s="26">
        <f t="shared" ref="E67:E130" si="1">B67-C67</f>
        <v>2.98021694</v>
      </c>
      <c r="F67" s="31">
        <v>42724</v>
      </c>
    </row>
    <row r="68" spans="1:6" x14ac:dyDescent="0.3">
      <c r="A68" s="26" t="s">
        <v>486</v>
      </c>
      <c r="B68" s="26">
        <v>13.48725492</v>
      </c>
      <c r="C68" s="26">
        <v>8.7914454899999992</v>
      </c>
      <c r="E68" s="26">
        <f t="shared" si="1"/>
        <v>4.6958094300000006</v>
      </c>
      <c r="F68" s="31">
        <v>42725</v>
      </c>
    </row>
    <row r="69" spans="1:6" x14ac:dyDescent="0.3">
      <c r="A69" s="26" t="s">
        <v>487</v>
      </c>
      <c r="B69" s="26">
        <v>12.85140565</v>
      </c>
      <c r="C69" s="26">
        <v>9.5806897299999996</v>
      </c>
      <c r="E69" s="26">
        <f t="shared" si="1"/>
        <v>3.2707159200000007</v>
      </c>
      <c r="F69" s="31">
        <v>42726</v>
      </c>
    </row>
    <row r="70" spans="1:6" x14ac:dyDescent="0.3">
      <c r="A70" s="26" t="s">
        <v>488</v>
      </c>
      <c r="B70" s="26">
        <v>11.415865500000001</v>
      </c>
      <c r="C70" s="26">
        <v>11.3972955</v>
      </c>
      <c r="E70" s="26">
        <f t="shared" si="1"/>
        <v>1.857000000000042E-2</v>
      </c>
      <c r="F70" s="31">
        <v>42727</v>
      </c>
    </row>
    <row r="71" spans="1:6" x14ac:dyDescent="0.3">
      <c r="A71" s="26" t="s">
        <v>489</v>
      </c>
      <c r="B71" s="26">
        <v>10.61342921</v>
      </c>
      <c r="C71" s="26">
        <v>11.64749232</v>
      </c>
      <c r="E71" s="26">
        <f t="shared" si="1"/>
        <v>-1.03406311</v>
      </c>
      <c r="F71" s="31">
        <v>42728</v>
      </c>
    </row>
    <row r="72" spans="1:6" x14ac:dyDescent="0.3">
      <c r="A72" s="26" t="s">
        <v>490</v>
      </c>
      <c r="B72" s="26">
        <v>9.5400520800000006</v>
      </c>
      <c r="C72" s="26">
        <v>11.88107209</v>
      </c>
      <c r="E72" s="26">
        <f t="shared" si="1"/>
        <v>-2.3410200099999994</v>
      </c>
      <c r="F72" s="31">
        <v>42729</v>
      </c>
    </row>
    <row r="73" spans="1:6" x14ac:dyDescent="0.3">
      <c r="A73" s="26" t="s">
        <v>491</v>
      </c>
      <c r="B73" s="26">
        <v>10.00833718</v>
      </c>
      <c r="C73" s="26">
        <v>10.971744109999999</v>
      </c>
      <c r="E73" s="26">
        <f t="shared" si="1"/>
        <v>-0.96340692999999966</v>
      </c>
      <c r="F73" s="31">
        <v>42730</v>
      </c>
    </row>
    <row r="74" spans="1:6" x14ac:dyDescent="0.3">
      <c r="A74" s="26" t="s">
        <v>492</v>
      </c>
      <c r="B74" s="26">
        <v>8.8358149299999997</v>
      </c>
      <c r="C74" s="26">
        <v>11.353339220000001</v>
      </c>
      <c r="E74" s="26">
        <f t="shared" si="1"/>
        <v>-2.5175242900000008</v>
      </c>
      <c r="F74" s="31">
        <v>42731</v>
      </c>
    </row>
    <row r="75" spans="1:6" x14ac:dyDescent="0.3">
      <c r="A75" s="26" t="s">
        <v>493</v>
      </c>
      <c r="B75" s="26">
        <v>9.1977809100000005</v>
      </c>
      <c r="C75" s="26">
        <v>10.940680309999999</v>
      </c>
      <c r="E75" s="26">
        <f t="shared" si="1"/>
        <v>-1.7428993999999989</v>
      </c>
      <c r="F75" s="31">
        <v>42732</v>
      </c>
    </row>
    <row r="76" spans="1:6" x14ac:dyDescent="0.3">
      <c r="A76" s="26" t="s">
        <v>494</v>
      </c>
      <c r="B76" s="26">
        <v>8.2808337299999994</v>
      </c>
      <c r="C76" s="26">
        <v>9.6129888900000005</v>
      </c>
      <c r="E76" s="26">
        <f t="shared" si="1"/>
        <v>-1.332155160000001</v>
      </c>
      <c r="F76" s="31">
        <v>42733</v>
      </c>
    </row>
    <row r="77" spans="1:6" x14ac:dyDescent="0.3">
      <c r="A77" s="26" t="s">
        <v>495</v>
      </c>
      <c r="B77" s="26">
        <v>6.6873272899999998</v>
      </c>
      <c r="C77" s="26">
        <v>0.59553475</v>
      </c>
      <c r="E77" s="26">
        <f t="shared" si="1"/>
        <v>6.0917925400000001</v>
      </c>
      <c r="F77" s="31">
        <v>42734</v>
      </c>
    </row>
    <row r="78" spans="1:6" x14ac:dyDescent="0.3">
      <c r="A78" s="26" t="s">
        <v>496</v>
      </c>
      <c r="B78" s="26">
        <v>6.8023583700000003</v>
      </c>
      <c r="C78" s="26">
        <v>0.76322698</v>
      </c>
      <c r="E78" s="26">
        <f t="shared" si="1"/>
        <v>6.0391313900000005</v>
      </c>
      <c r="F78" s="31">
        <v>42735</v>
      </c>
    </row>
    <row r="79" spans="1:6" x14ac:dyDescent="0.3">
      <c r="A79" s="26" t="s">
        <v>497</v>
      </c>
      <c r="B79" s="26">
        <v>5.8414879199999996</v>
      </c>
      <c r="C79" s="26">
        <v>0.45795774</v>
      </c>
      <c r="E79" s="26">
        <f t="shared" si="1"/>
        <v>5.3835301799999993</v>
      </c>
      <c r="F79" s="31">
        <v>42736</v>
      </c>
    </row>
    <row r="80" spans="1:6" x14ac:dyDescent="0.3">
      <c r="A80" s="26" t="s">
        <v>498</v>
      </c>
      <c r="B80" s="26">
        <v>5.04777992</v>
      </c>
      <c r="C80" s="26">
        <v>0.55989818999999996</v>
      </c>
      <c r="E80" s="26">
        <f t="shared" si="1"/>
        <v>4.4878817299999998</v>
      </c>
      <c r="F80" s="31">
        <v>42737</v>
      </c>
    </row>
    <row r="81" spans="1:6" x14ac:dyDescent="0.3">
      <c r="A81" s="26" t="s">
        <v>499</v>
      </c>
      <c r="B81" s="26">
        <v>4.6250246600000002</v>
      </c>
      <c r="C81" s="26">
        <v>4.5106710000000001E-2</v>
      </c>
      <c r="E81" s="26">
        <f t="shared" si="1"/>
        <v>4.5799179500000005</v>
      </c>
      <c r="F81" s="31">
        <v>42738</v>
      </c>
    </row>
    <row r="82" spans="1:6" x14ac:dyDescent="0.3">
      <c r="A82" s="26" t="s">
        <v>500</v>
      </c>
      <c r="B82" s="26">
        <v>5.1926892899999997</v>
      </c>
      <c r="C82" s="26">
        <v>9.6041660899999997</v>
      </c>
      <c r="E82" s="26">
        <f t="shared" si="1"/>
        <v>-4.4114768</v>
      </c>
      <c r="F82" s="31">
        <v>42739</v>
      </c>
    </row>
    <row r="83" spans="1:6" x14ac:dyDescent="0.3">
      <c r="A83" s="26" t="s">
        <v>501</v>
      </c>
      <c r="B83" s="26">
        <v>5.97093367</v>
      </c>
      <c r="C83" s="26">
        <v>0.16191827</v>
      </c>
      <c r="E83" s="26">
        <f t="shared" si="1"/>
        <v>5.8090153999999998</v>
      </c>
      <c r="F83" s="31">
        <v>42740</v>
      </c>
    </row>
    <row r="84" spans="1:6" x14ac:dyDescent="0.3">
      <c r="A84" s="26" t="s">
        <v>502</v>
      </c>
      <c r="B84" s="26">
        <v>5.9379051399999998</v>
      </c>
      <c r="C84" s="26">
        <v>0.49583469000000002</v>
      </c>
      <c r="E84" s="26">
        <f t="shared" si="1"/>
        <v>5.4420704500000001</v>
      </c>
      <c r="F84" s="31">
        <v>42741</v>
      </c>
    </row>
    <row r="85" spans="1:6" x14ac:dyDescent="0.3">
      <c r="A85" s="26" t="s">
        <v>503</v>
      </c>
      <c r="B85" s="26">
        <v>5.1899375799999996</v>
      </c>
      <c r="C85" s="26">
        <v>0.10363588</v>
      </c>
      <c r="E85" s="26">
        <f t="shared" si="1"/>
        <v>5.0863016999999999</v>
      </c>
      <c r="F85" s="31">
        <v>42742</v>
      </c>
    </row>
    <row r="86" spans="1:6" x14ac:dyDescent="0.3">
      <c r="A86" s="26" t="s">
        <v>504</v>
      </c>
      <c r="B86" s="26">
        <v>4.9328091499999998</v>
      </c>
      <c r="C86" s="26">
        <v>9.9836745600000008</v>
      </c>
      <c r="E86" s="26">
        <f t="shared" si="1"/>
        <v>-5.050865410000001</v>
      </c>
      <c r="F86" s="31">
        <v>42743</v>
      </c>
    </row>
    <row r="87" spans="1:6" x14ac:dyDescent="0.3">
      <c r="A87" s="26" t="s">
        <v>505</v>
      </c>
      <c r="B87" s="26">
        <v>4.6020905699999997</v>
      </c>
      <c r="C87" s="26">
        <v>8.6493526700000007</v>
      </c>
      <c r="E87" s="26">
        <f t="shared" si="1"/>
        <v>-4.0472621000000011</v>
      </c>
      <c r="F87" s="31">
        <v>42744</v>
      </c>
    </row>
    <row r="88" spans="1:6" x14ac:dyDescent="0.3">
      <c r="A88" s="26" t="s">
        <v>506</v>
      </c>
      <c r="B88" s="26">
        <v>6.8210804500000002</v>
      </c>
      <c r="C88" s="26">
        <v>8.7007038399999992</v>
      </c>
      <c r="E88" s="26">
        <f t="shared" si="1"/>
        <v>-1.879623389999999</v>
      </c>
      <c r="F88" s="31">
        <v>42745</v>
      </c>
    </row>
    <row r="89" spans="1:6" x14ac:dyDescent="0.3">
      <c r="A89" s="26" t="s">
        <v>507</v>
      </c>
      <c r="B89" s="26">
        <v>5.4458604700000004</v>
      </c>
      <c r="C89" s="26">
        <v>8.7469234799999995</v>
      </c>
      <c r="E89" s="26">
        <f t="shared" si="1"/>
        <v>-3.3010630099999991</v>
      </c>
      <c r="F89" s="31">
        <v>42746</v>
      </c>
    </row>
    <row r="90" spans="1:6" x14ac:dyDescent="0.3">
      <c r="A90" s="26" t="s">
        <v>508</v>
      </c>
      <c r="B90" s="26">
        <v>7.18580547</v>
      </c>
      <c r="C90" s="26">
        <v>7.4956316200000002</v>
      </c>
      <c r="E90" s="26">
        <f t="shared" si="1"/>
        <v>-0.30982615000000013</v>
      </c>
      <c r="F90" s="31">
        <v>42747</v>
      </c>
    </row>
    <row r="91" spans="1:6" x14ac:dyDescent="0.3">
      <c r="A91" s="26" t="s">
        <v>509</v>
      </c>
      <c r="B91" s="26">
        <v>7.4484764200000004</v>
      </c>
      <c r="C91" s="26">
        <v>9.3957520799999994</v>
      </c>
      <c r="E91" s="26">
        <f t="shared" si="1"/>
        <v>-1.947275659999999</v>
      </c>
      <c r="F91" s="31">
        <v>42748</v>
      </c>
    </row>
    <row r="92" spans="1:6" x14ac:dyDescent="0.3">
      <c r="A92" s="26" t="s">
        <v>510</v>
      </c>
      <c r="B92" s="26">
        <v>7.7414669199999997</v>
      </c>
      <c r="C92" s="26">
        <v>8.7667579100000008</v>
      </c>
      <c r="E92" s="26">
        <f t="shared" si="1"/>
        <v>-1.0252909900000011</v>
      </c>
      <c r="F92" s="31">
        <v>42749</v>
      </c>
    </row>
    <row r="93" spans="1:6" x14ac:dyDescent="0.3">
      <c r="A93" s="26" t="s">
        <v>511</v>
      </c>
      <c r="B93" s="26">
        <v>7.5554223299999999</v>
      </c>
      <c r="C93" s="26">
        <v>6.5799068099999998</v>
      </c>
      <c r="E93" s="26">
        <f t="shared" si="1"/>
        <v>0.97551552000000008</v>
      </c>
      <c r="F93" s="31">
        <v>42750</v>
      </c>
    </row>
    <row r="94" spans="1:6" x14ac:dyDescent="0.3">
      <c r="A94" s="26" t="s">
        <v>512</v>
      </c>
      <c r="B94" s="26">
        <v>8.2704094999999995</v>
      </c>
      <c r="C94" s="26">
        <v>5.4242806899999998</v>
      </c>
      <c r="E94" s="26">
        <f t="shared" si="1"/>
        <v>2.8461288099999997</v>
      </c>
      <c r="F94" s="31">
        <v>42751</v>
      </c>
    </row>
    <row r="95" spans="1:6" x14ac:dyDescent="0.3">
      <c r="A95" s="26" t="s">
        <v>513</v>
      </c>
      <c r="B95" s="26">
        <v>7.4019955800000004</v>
      </c>
      <c r="C95" s="26">
        <v>5.1625113100000002</v>
      </c>
      <c r="E95" s="26">
        <f t="shared" si="1"/>
        <v>2.2394842700000002</v>
      </c>
      <c r="F95" s="31">
        <v>42752</v>
      </c>
    </row>
    <row r="96" spans="1:6" x14ac:dyDescent="0.3">
      <c r="A96" s="26" t="s">
        <v>514</v>
      </c>
      <c r="B96" s="26">
        <v>8.3970956000000001</v>
      </c>
      <c r="C96" s="26">
        <v>4.3376199099999999</v>
      </c>
      <c r="E96" s="26">
        <f t="shared" si="1"/>
        <v>4.0594756900000002</v>
      </c>
      <c r="F96" s="31">
        <v>42753</v>
      </c>
    </row>
    <row r="97" spans="1:6" x14ac:dyDescent="0.3">
      <c r="A97" s="26" t="s">
        <v>515</v>
      </c>
      <c r="B97" s="26">
        <v>8.2199449199999997</v>
      </c>
      <c r="C97" s="26">
        <v>6.5080673000000004</v>
      </c>
      <c r="E97" s="26">
        <f t="shared" si="1"/>
        <v>1.7118776199999992</v>
      </c>
      <c r="F97" s="31">
        <v>42754</v>
      </c>
    </row>
    <row r="98" spans="1:6" x14ac:dyDescent="0.3">
      <c r="A98" s="26" t="s">
        <v>516</v>
      </c>
      <c r="B98" s="26">
        <v>8.4682099799999992</v>
      </c>
      <c r="C98" s="26">
        <v>6.5875694300000003</v>
      </c>
      <c r="E98" s="26">
        <f t="shared" si="1"/>
        <v>1.880640549999999</v>
      </c>
      <c r="F98" s="31">
        <v>42755</v>
      </c>
    </row>
    <row r="99" spans="1:6" x14ac:dyDescent="0.3">
      <c r="A99" s="26" t="s">
        <v>517</v>
      </c>
      <c r="B99" s="26">
        <v>7.1425722299999999</v>
      </c>
      <c r="C99" s="26">
        <v>5.4825668399999996</v>
      </c>
      <c r="E99" s="26">
        <f t="shared" si="1"/>
        <v>1.6600053900000002</v>
      </c>
      <c r="F99" s="31">
        <v>42756</v>
      </c>
    </row>
    <row r="100" spans="1:6" x14ac:dyDescent="0.3">
      <c r="A100" s="26" t="s">
        <v>518</v>
      </c>
      <c r="B100" s="26">
        <v>5.7283456199999998</v>
      </c>
      <c r="C100" s="26">
        <v>4.2110845899999996</v>
      </c>
      <c r="E100" s="26">
        <f t="shared" si="1"/>
        <v>1.5172610300000002</v>
      </c>
      <c r="F100" s="31">
        <v>42757</v>
      </c>
    </row>
    <row r="101" spans="1:6" x14ac:dyDescent="0.3">
      <c r="A101" s="26" t="s">
        <v>519</v>
      </c>
      <c r="B101" s="26">
        <v>4.7156164599999997</v>
      </c>
      <c r="C101" s="26">
        <v>4.6679871200000003</v>
      </c>
      <c r="E101" s="26">
        <f t="shared" si="1"/>
        <v>4.7629339999999409E-2</v>
      </c>
      <c r="F101" s="31">
        <v>42758</v>
      </c>
    </row>
    <row r="102" spans="1:6" x14ac:dyDescent="0.3">
      <c r="A102" s="26" t="s">
        <v>520</v>
      </c>
      <c r="B102" s="26">
        <v>6.4766188199999997</v>
      </c>
      <c r="C102" s="26">
        <v>3.8683261500000001</v>
      </c>
      <c r="E102" s="26">
        <f t="shared" si="1"/>
        <v>2.6082926699999995</v>
      </c>
      <c r="F102" s="31">
        <v>42759</v>
      </c>
    </row>
    <row r="103" spans="1:6" x14ac:dyDescent="0.3">
      <c r="A103" s="26" t="s">
        <v>521</v>
      </c>
      <c r="B103" s="26">
        <v>6.3058975799999999</v>
      </c>
      <c r="C103" s="26">
        <v>4.5650675100000004</v>
      </c>
      <c r="E103" s="26">
        <f t="shared" si="1"/>
        <v>1.7408300699999995</v>
      </c>
      <c r="F103" s="31">
        <v>42760</v>
      </c>
    </row>
    <row r="104" spans="1:6" x14ac:dyDescent="0.3">
      <c r="A104" s="26" t="s">
        <v>522</v>
      </c>
      <c r="B104" s="26">
        <v>6.54964777</v>
      </c>
      <c r="C104" s="26">
        <v>4.8682730200000002</v>
      </c>
      <c r="E104" s="26">
        <f t="shared" si="1"/>
        <v>1.6813747499999998</v>
      </c>
      <c r="F104" s="31">
        <v>42761</v>
      </c>
    </row>
    <row r="105" spans="1:6" x14ac:dyDescent="0.3">
      <c r="A105" s="26" t="s">
        <v>523</v>
      </c>
      <c r="B105" s="26">
        <v>5.17068219</v>
      </c>
      <c r="C105" s="26">
        <v>4.3630919800000001</v>
      </c>
      <c r="E105" s="26">
        <f t="shared" si="1"/>
        <v>0.80759020999999986</v>
      </c>
      <c r="F105" s="31">
        <v>42762</v>
      </c>
    </row>
    <row r="106" spans="1:6" x14ac:dyDescent="0.3">
      <c r="A106" s="26" t="s">
        <v>524</v>
      </c>
      <c r="B106" s="26">
        <v>3.87492218</v>
      </c>
      <c r="C106" s="26">
        <v>5.1686870300000001</v>
      </c>
      <c r="E106" s="26">
        <f t="shared" si="1"/>
        <v>-1.2937648500000001</v>
      </c>
      <c r="F106" s="31">
        <v>42763</v>
      </c>
    </row>
    <row r="107" spans="1:6" x14ac:dyDescent="0.3">
      <c r="A107" s="26" t="s">
        <v>525</v>
      </c>
      <c r="B107" s="26">
        <v>4.0151951199999996</v>
      </c>
      <c r="C107" s="26">
        <v>5.24564699</v>
      </c>
      <c r="E107" s="26">
        <f t="shared" si="1"/>
        <v>-1.2304518700000004</v>
      </c>
      <c r="F107" s="31">
        <v>42764</v>
      </c>
    </row>
    <row r="108" spans="1:6" x14ac:dyDescent="0.3">
      <c r="A108" s="26" t="s">
        <v>526</v>
      </c>
      <c r="B108" s="26">
        <v>2.7566809000000001</v>
      </c>
      <c r="C108" s="26">
        <v>3.97762102</v>
      </c>
      <c r="E108" s="26">
        <f t="shared" si="1"/>
        <v>-1.2209401199999999</v>
      </c>
      <c r="F108" s="31">
        <v>42765</v>
      </c>
    </row>
    <row r="109" spans="1:6" x14ac:dyDescent="0.3">
      <c r="A109" s="26" t="s">
        <v>527</v>
      </c>
      <c r="B109" s="26">
        <v>1.87666928</v>
      </c>
      <c r="C109" s="26">
        <v>4.4352496400000003</v>
      </c>
      <c r="E109" s="26">
        <f t="shared" si="1"/>
        <v>-2.5585803600000006</v>
      </c>
      <c r="F109" s="31">
        <v>42766</v>
      </c>
    </row>
    <row r="110" spans="1:6" x14ac:dyDescent="0.3">
      <c r="A110" s="26" t="s">
        <v>528</v>
      </c>
      <c r="B110" s="26">
        <v>2.7736095299999999</v>
      </c>
      <c r="C110" s="26">
        <v>4.3462079600000001</v>
      </c>
      <c r="E110" s="26">
        <f t="shared" si="1"/>
        <v>-1.5725984300000002</v>
      </c>
      <c r="F110" s="31">
        <v>42767</v>
      </c>
    </row>
    <row r="111" spans="1:6" x14ac:dyDescent="0.3">
      <c r="A111" s="26" t="s">
        <v>529</v>
      </c>
      <c r="B111" s="26">
        <v>0.88001494000000002</v>
      </c>
      <c r="C111" s="26">
        <v>4.8493268599999997</v>
      </c>
      <c r="E111" s="26">
        <f t="shared" si="1"/>
        <v>-3.9693119199999995</v>
      </c>
      <c r="F111" s="31">
        <v>42768</v>
      </c>
    </row>
    <row r="112" spans="1:6" x14ac:dyDescent="0.3">
      <c r="A112" s="26" t="s">
        <v>530</v>
      </c>
      <c r="B112" s="26">
        <v>0.45363384000000001</v>
      </c>
      <c r="C112" s="26">
        <v>2.0647581700000002</v>
      </c>
      <c r="E112" s="26">
        <f t="shared" si="1"/>
        <v>-1.6111243300000002</v>
      </c>
      <c r="F112" s="31">
        <v>42769</v>
      </c>
    </row>
    <row r="113" spans="1:6" x14ac:dyDescent="0.3">
      <c r="A113" s="26" t="s">
        <v>531</v>
      </c>
      <c r="B113" s="26">
        <v>1.58589505</v>
      </c>
      <c r="C113" s="26">
        <v>2.2471146000000002</v>
      </c>
      <c r="E113" s="26">
        <f t="shared" si="1"/>
        <v>-0.66121955000000021</v>
      </c>
      <c r="F113" s="31">
        <v>42770</v>
      </c>
    </row>
    <row r="114" spans="1:6" x14ac:dyDescent="0.3">
      <c r="A114" s="26" t="s">
        <v>532</v>
      </c>
      <c r="B114" s="26">
        <v>1.80753177</v>
      </c>
      <c r="C114" s="26">
        <v>2.23190635</v>
      </c>
      <c r="E114" s="26">
        <f t="shared" si="1"/>
        <v>-0.42437458000000006</v>
      </c>
      <c r="F114" s="31">
        <v>42771</v>
      </c>
    </row>
    <row r="115" spans="1:6" x14ac:dyDescent="0.3">
      <c r="A115" s="26" t="s">
        <v>533</v>
      </c>
      <c r="B115" s="26">
        <v>3.2788257999999999</v>
      </c>
      <c r="C115" s="26">
        <v>2.7921467999999998</v>
      </c>
      <c r="E115" s="26">
        <f t="shared" si="1"/>
        <v>0.48667900000000008</v>
      </c>
      <c r="F115" s="31">
        <v>42772</v>
      </c>
    </row>
    <row r="116" spans="1:6" x14ac:dyDescent="0.3">
      <c r="A116" s="26" t="s">
        <v>534</v>
      </c>
      <c r="B116" s="26">
        <v>2.8095310800000002</v>
      </c>
      <c r="C116" s="26">
        <v>3.18702116</v>
      </c>
      <c r="E116" s="26">
        <f t="shared" si="1"/>
        <v>-0.37749007999999984</v>
      </c>
      <c r="F116" s="31">
        <v>42773</v>
      </c>
    </row>
    <row r="117" spans="1:6" x14ac:dyDescent="0.3">
      <c r="A117" s="26" t="s">
        <v>535</v>
      </c>
      <c r="B117" s="26">
        <v>3.7178786800000001</v>
      </c>
      <c r="C117" s="26">
        <v>3.1328015200000001</v>
      </c>
      <c r="E117" s="26">
        <f t="shared" si="1"/>
        <v>0.58507715999999999</v>
      </c>
      <c r="F117" s="31">
        <v>42774</v>
      </c>
    </row>
    <row r="118" spans="1:6" x14ac:dyDescent="0.3">
      <c r="A118" s="26" t="s">
        <v>536</v>
      </c>
      <c r="B118" s="26">
        <v>3.45767509</v>
      </c>
      <c r="C118" s="26">
        <v>4.0850795599999996</v>
      </c>
      <c r="E118" s="26">
        <f t="shared" si="1"/>
        <v>-0.62740446999999966</v>
      </c>
      <c r="F118" s="31">
        <v>42775</v>
      </c>
    </row>
    <row r="119" spans="1:6" x14ac:dyDescent="0.3">
      <c r="A119" s="26" t="s">
        <v>537</v>
      </c>
      <c r="B119" s="26">
        <v>3.8184534700000001</v>
      </c>
      <c r="C119" s="26">
        <v>4.7754342799999998</v>
      </c>
      <c r="E119" s="26">
        <f t="shared" si="1"/>
        <v>-0.95698080999999968</v>
      </c>
      <c r="F119" s="31">
        <v>42776</v>
      </c>
    </row>
    <row r="120" spans="1:6" x14ac:dyDescent="0.3">
      <c r="A120" s="26" t="s">
        <v>538</v>
      </c>
      <c r="B120" s="26">
        <v>3.2395854499999999</v>
      </c>
      <c r="C120" s="26">
        <v>4.6863052200000004</v>
      </c>
      <c r="E120" s="26">
        <f t="shared" si="1"/>
        <v>-1.4467197700000005</v>
      </c>
      <c r="F120" s="31">
        <v>42777</v>
      </c>
    </row>
    <row r="121" spans="1:6" x14ac:dyDescent="0.3">
      <c r="A121" s="26" t="s">
        <v>539</v>
      </c>
      <c r="B121" s="26">
        <v>4.7118401199999997</v>
      </c>
      <c r="C121" s="26">
        <v>4.0251070699999998</v>
      </c>
      <c r="E121" s="26">
        <f t="shared" si="1"/>
        <v>0.68673304999999996</v>
      </c>
      <c r="F121" s="31">
        <v>42778</v>
      </c>
    </row>
    <row r="122" spans="1:6" x14ac:dyDescent="0.3">
      <c r="A122" s="26" t="s">
        <v>540</v>
      </c>
      <c r="B122" s="26">
        <v>4.7194535599999998</v>
      </c>
      <c r="C122" s="26">
        <v>3.5643772600000001</v>
      </c>
      <c r="E122" s="26">
        <f t="shared" si="1"/>
        <v>1.1550762999999997</v>
      </c>
      <c r="F122" s="31">
        <v>42779</v>
      </c>
    </row>
    <row r="123" spans="1:6" x14ac:dyDescent="0.3">
      <c r="A123" s="26" t="s">
        <v>541</v>
      </c>
      <c r="B123" s="26">
        <v>3.8395012999999998</v>
      </c>
      <c r="C123" s="26">
        <v>2.5850142900000002</v>
      </c>
      <c r="E123" s="26">
        <f t="shared" si="1"/>
        <v>1.2544870099999996</v>
      </c>
      <c r="F123" s="31">
        <v>42780</v>
      </c>
    </row>
    <row r="124" spans="1:6" x14ac:dyDescent="0.3">
      <c r="A124" s="26" t="s">
        <v>542</v>
      </c>
      <c r="B124" s="26">
        <v>5.5919036699999998</v>
      </c>
      <c r="C124" s="26">
        <v>2.3559221899999998</v>
      </c>
      <c r="E124" s="26">
        <f t="shared" si="1"/>
        <v>3.23598148</v>
      </c>
      <c r="F124" s="31">
        <v>42781</v>
      </c>
    </row>
    <row r="125" spans="1:6" x14ac:dyDescent="0.3">
      <c r="A125" s="26" t="s">
        <v>543</v>
      </c>
      <c r="B125" s="26">
        <v>5.0336333399999997</v>
      </c>
      <c r="C125" s="26">
        <v>1.6552767399999999</v>
      </c>
      <c r="E125" s="26">
        <f t="shared" si="1"/>
        <v>3.3783566</v>
      </c>
      <c r="F125" s="31">
        <v>42782</v>
      </c>
    </row>
    <row r="126" spans="1:6" x14ac:dyDescent="0.3">
      <c r="A126" s="26" t="s">
        <v>544</v>
      </c>
      <c r="B126" s="26">
        <v>2.60517018</v>
      </c>
      <c r="C126" s="26">
        <v>2.5601016599999999</v>
      </c>
      <c r="E126" s="26">
        <f t="shared" si="1"/>
        <v>4.5068520000000056E-2</v>
      </c>
      <c r="F126" s="31">
        <v>42783</v>
      </c>
    </row>
    <row r="127" spans="1:6" x14ac:dyDescent="0.3">
      <c r="A127" s="26" t="s">
        <v>545</v>
      </c>
      <c r="B127" s="26">
        <v>3.5138165799999999</v>
      </c>
      <c r="C127" s="26">
        <v>2.7821378999999999</v>
      </c>
      <c r="E127" s="26">
        <f t="shared" si="1"/>
        <v>0.73167867999999991</v>
      </c>
      <c r="F127" s="31">
        <v>42784</v>
      </c>
    </row>
    <row r="128" spans="1:6" x14ac:dyDescent="0.3">
      <c r="A128" s="26" t="s">
        <v>546</v>
      </c>
      <c r="B128" s="26">
        <v>4.1759557799999998</v>
      </c>
      <c r="C128" s="26">
        <v>1.26178963</v>
      </c>
      <c r="E128" s="26">
        <f t="shared" si="1"/>
        <v>2.9141661499999998</v>
      </c>
      <c r="F128" s="31">
        <v>42785</v>
      </c>
    </row>
    <row r="129" spans="1:6" x14ac:dyDescent="0.3">
      <c r="A129" s="26" t="s">
        <v>547</v>
      </c>
      <c r="B129" s="26">
        <v>5.3045040999999999</v>
      </c>
      <c r="C129" s="26">
        <v>0.77618034999999996</v>
      </c>
      <c r="E129" s="26">
        <f t="shared" si="1"/>
        <v>4.5283237500000002</v>
      </c>
      <c r="F129" s="31">
        <v>42786</v>
      </c>
    </row>
    <row r="130" spans="1:6" x14ac:dyDescent="0.3">
      <c r="A130" s="26" t="s">
        <v>548</v>
      </c>
      <c r="B130" s="26">
        <v>7.9721929300000003</v>
      </c>
      <c r="C130" s="26">
        <v>2.1227082400000001</v>
      </c>
      <c r="E130" s="26">
        <f t="shared" si="1"/>
        <v>5.8494846900000006</v>
      </c>
      <c r="F130" s="31">
        <v>42787</v>
      </c>
    </row>
    <row r="131" spans="1:6" x14ac:dyDescent="0.3">
      <c r="A131" s="26" t="s">
        <v>549</v>
      </c>
      <c r="B131" s="26">
        <v>8.2702117099999999</v>
      </c>
      <c r="C131" s="26">
        <v>2.0639674700000001</v>
      </c>
      <c r="E131" s="26">
        <f t="shared" ref="E131:E194" si="2">B131-C131</f>
        <v>6.2062442400000002</v>
      </c>
      <c r="F131" s="31">
        <v>42788</v>
      </c>
    </row>
    <row r="132" spans="1:6" x14ac:dyDescent="0.3">
      <c r="A132" s="26" t="s">
        <v>550</v>
      </c>
      <c r="B132" s="26">
        <v>7.6960977399999999</v>
      </c>
      <c r="C132" s="26">
        <v>2.61167236</v>
      </c>
      <c r="E132" s="26">
        <f t="shared" si="2"/>
        <v>5.0844253799999999</v>
      </c>
      <c r="F132" s="31">
        <v>42789</v>
      </c>
    </row>
    <row r="133" spans="1:6" x14ac:dyDescent="0.3">
      <c r="A133" s="26" t="s">
        <v>551</v>
      </c>
      <c r="B133" s="26">
        <v>6.8957514299999998</v>
      </c>
      <c r="C133" s="26">
        <v>3.1928348799999999</v>
      </c>
      <c r="E133" s="26">
        <f t="shared" si="2"/>
        <v>3.7029165499999999</v>
      </c>
      <c r="F133" s="31">
        <v>42790</v>
      </c>
    </row>
    <row r="134" spans="1:6" x14ac:dyDescent="0.3">
      <c r="A134" s="26" t="s">
        <v>552</v>
      </c>
      <c r="B134" s="26">
        <v>6.3905116099999999</v>
      </c>
      <c r="C134" s="26">
        <v>3.7874792300000002</v>
      </c>
      <c r="E134" s="26">
        <f t="shared" si="2"/>
        <v>2.6030323799999997</v>
      </c>
      <c r="F134" s="31">
        <v>42791</v>
      </c>
    </row>
    <row r="135" spans="1:6" x14ac:dyDescent="0.3">
      <c r="A135" s="26" t="s">
        <v>553</v>
      </c>
      <c r="B135" s="26">
        <v>6.1679342699999999</v>
      </c>
      <c r="C135" s="26">
        <v>5.1917433900000001</v>
      </c>
      <c r="E135" s="26">
        <f t="shared" si="2"/>
        <v>0.97619087999999987</v>
      </c>
      <c r="F135" s="31">
        <v>42792</v>
      </c>
    </row>
    <row r="136" spans="1:6" x14ac:dyDescent="0.3">
      <c r="A136" s="26" t="s">
        <v>554</v>
      </c>
      <c r="B136" s="26">
        <v>7.36175947</v>
      </c>
      <c r="C136" s="26">
        <v>4.9342489399999998</v>
      </c>
      <c r="E136" s="26">
        <f t="shared" si="2"/>
        <v>2.4275105300000002</v>
      </c>
      <c r="F136" s="31">
        <v>42793</v>
      </c>
    </row>
    <row r="137" spans="1:6" x14ac:dyDescent="0.3">
      <c r="A137" s="26" t="s">
        <v>555</v>
      </c>
      <c r="B137" s="26">
        <v>7.8467409100000003</v>
      </c>
      <c r="C137" s="26">
        <v>4.1624068999999997</v>
      </c>
      <c r="E137" s="26">
        <f t="shared" si="2"/>
        <v>3.6843340100000006</v>
      </c>
      <c r="F137" s="31">
        <v>42794</v>
      </c>
    </row>
    <row r="138" spans="1:6" x14ac:dyDescent="0.3">
      <c r="A138" s="26" t="s">
        <v>556</v>
      </c>
      <c r="B138" s="26">
        <v>8.0672757500000003</v>
      </c>
      <c r="C138" s="26">
        <v>5.0645735199999997</v>
      </c>
      <c r="E138" s="26">
        <f t="shared" si="2"/>
        <v>3.0027022300000006</v>
      </c>
      <c r="F138" s="31">
        <v>42795</v>
      </c>
    </row>
    <row r="139" spans="1:6" x14ac:dyDescent="0.3">
      <c r="A139" s="26" t="s">
        <v>557</v>
      </c>
      <c r="B139" s="26">
        <v>8.5025489099999998</v>
      </c>
      <c r="C139" s="26">
        <v>4.2159665300000002</v>
      </c>
      <c r="E139" s="26">
        <f t="shared" si="2"/>
        <v>4.2865823799999996</v>
      </c>
      <c r="F139" s="31">
        <v>42796</v>
      </c>
    </row>
    <row r="140" spans="1:6" x14ac:dyDescent="0.3">
      <c r="A140" s="26" t="s">
        <v>558</v>
      </c>
      <c r="B140" s="26">
        <v>8.3740815400000006</v>
      </c>
      <c r="C140" s="26">
        <v>4.3007810099999997</v>
      </c>
      <c r="E140" s="26">
        <f t="shared" si="2"/>
        <v>4.0733005300000009</v>
      </c>
      <c r="F140" s="31">
        <v>42797</v>
      </c>
    </row>
    <row r="141" spans="1:6" x14ac:dyDescent="0.3">
      <c r="A141" s="26" t="s">
        <v>559</v>
      </c>
      <c r="B141" s="26">
        <v>8.7716663500000003</v>
      </c>
      <c r="C141" s="26">
        <v>4.9344832600000004</v>
      </c>
      <c r="E141" s="26">
        <f t="shared" si="2"/>
        <v>3.8371830899999999</v>
      </c>
      <c r="F141" s="31">
        <v>42798</v>
      </c>
    </row>
    <row r="142" spans="1:6" x14ac:dyDescent="0.3">
      <c r="A142" s="26" t="s">
        <v>560</v>
      </c>
      <c r="B142" s="26">
        <v>8.4371157199999995</v>
      </c>
      <c r="C142" s="26">
        <v>4.9191965800000004</v>
      </c>
      <c r="E142" s="26">
        <f t="shared" si="2"/>
        <v>3.5179191399999992</v>
      </c>
      <c r="F142" s="31">
        <v>42799</v>
      </c>
    </row>
    <row r="143" spans="1:6" x14ac:dyDescent="0.3">
      <c r="A143" s="26" t="s">
        <v>561</v>
      </c>
      <c r="B143" s="26">
        <v>8.6204157600000002</v>
      </c>
      <c r="C143" s="26">
        <v>7.1713268899999996</v>
      </c>
      <c r="E143" s="26">
        <f t="shared" si="2"/>
        <v>1.4490888700000006</v>
      </c>
      <c r="F143" s="31">
        <v>42800</v>
      </c>
    </row>
    <row r="144" spans="1:6" x14ac:dyDescent="0.3">
      <c r="A144" s="26" t="s">
        <v>562</v>
      </c>
      <c r="B144" s="26">
        <v>8.13177065</v>
      </c>
      <c r="C144" s="26">
        <v>5.7064035400000002</v>
      </c>
      <c r="E144" s="26">
        <f t="shared" si="2"/>
        <v>2.4253671099999998</v>
      </c>
      <c r="F144" s="31">
        <v>42801</v>
      </c>
    </row>
    <row r="145" spans="1:6" x14ac:dyDescent="0.3">
      <c r="A145" s="26" t="s">
        <v>563</v>
      </c>
      <c r="B145" s="26">
        <v>7.8662781300000004</v>
      </c>
      <c r="C145" s="26">
        <v>4.8446297500000002</v>
      </c>
      <c r="E145" s="26">
        <f t="shared" si="2"/>
        <v>3.0216483800000002</v>
      </c>
      <c r="F145" s="31">
        <v>42802</v>
      </c>
    </row>
    <row r="146" spans="1:6" x14ac:dyDescent="0.3">
      <c r="A146" s="26" t="s">
        <v>564</v>
      </c>
      <c r="B146" s="26">
        <v>8.7922685400000002</v>
      </c>
      <c r="C146" s="26">
        <v>5.9283039799999999</v>
      </c>
      <c r="E146" s="26">
        <f t="shared" si="2"/>
        <v>2.8639645600000003</v>
      </c>
      <c r="F146" s="31">
        <v>42803</v>
      </c>
    </row>
    <row r="147" spans="1:6" x14ac:dyDescent="0.3">
      <c r="A147" s="26" t="s">
        <v>565</v>
      </c>
      <c r="B147" s="26">
        <v>9.1981183000000009</v>
      </c>
      <c r="C147" s="26">
        <v>7.5603910299999999</v>
      </c>
      <c r="E147" s="26">
        <f t="shared" si="2"/>
        <v>1.637727270000001</v>
      </c>
      <c r="F147" s="31">
        <v>42804</v>
      </c>
    </row>
    <row r="148" spans="1:6" x14ac:dyDescent="0.3">
      <c r="A148" s="26" t="s">
        <v>566</v>
      </c>
      <c r="B148" s="26">
        <v>10.59480353</v>
      </c>
      <c r="C148" s="26">
        <v>7.0644911800000001</v>
      </c>
      <c r="E148" s="26">
        <f t="shared" si="2"/>
        <v>3.53031235</v>
      </c>
      <c r="F148" s="31">
        <v>42805</v>
      </c>
    </row>
    <row r="149" spans="1:6" x14ac:dyDescent="0.3">
      <c r="A149" s="26" t="s">
        <v>567</v>
      </c>
      <c r="B149" s="26">
        <v>10.4556998</v>
      </c>
      <c r="C149" s="26">
        <v>6.3892617500000002</v>
      </c>
      <c r="E149" s="26">
        <f t="shared" si="2"/>
        <v>4.0664380499999995</v>
      </c>
      <c r="F149" s="31">
        <v>42806</v>
      </c>
    </row>
    <row r="150" spans="1:6" x14ac:dyDescent="0.3">
      <c r="A150" s="26" t="s">
        <v>568</v>
      </c>
      <c r="B150" s="26">
        <v>9.7330386200000003</v>
      </c>
      <c r="C150" s="26">
        <v>5.2207308399999999</v>
      </c>
      <c r="E150" s="26">
        <f t="shared" si="2"/>
        <v>4.5123077800000004</v>
      </c>
      <c r="F150" s="31">
        <v>42807</v>
      </c>
    </row>
    <row r="151" spans="1:6" x14ac:dyDescent="0.3">
      <c r="A151" s="26" t="s">
        <v>569</v>
      </c>
      <c r="B151" s="26">
        <v>11.110652930000001</v>
      </c>
      <c r="C151" s="26">
        <v>6.4722375200000002</v>
      </c>
      <c r="E151" s="26">
        <f t="shared" si="2"/>
        <v>4.6384154100000003</v>
      </c>
      <c r="F151" s="31">
        <v>42808</v>
      </c>
    </row>
    <row r="152" spans="1:6" x14ac:dyDescent="0.3">
      <c r="A152" s="26" t="s">
        <v>570</v>
      </c>
      <c r="B152" s="26">
        <v>11.53624698</v>
      </c>
      <c r="C152" s="26">
        <v>8.5242435299999997</v>
      </c>
      <c r="E152" s="26">
        <f t="shared" si="2"/>
        <v>3.0120034499999999</v>
      </c>
      <c r="F152" s="31">
        <v>42809</v>
      </c>
    </row>
    <row r="153" spans="1:6" x14ac:dyDescent="0.3">
      <c r="A153" s="26" t="s">
        <v>571</v>
      </c>
      <c r="B153" s="26">
        <v>10.555139710000001</v>
      </c>
      <c r="C153" s="26">
        <v>8.9272973800000006</v>
      </c>
      <c r="E153" s="26">
        <f t="shared" si="2"/>
        <v>1.62784233</v>
      </c>
      <c r="F153" s="31">
        <v>42810</v>
      </c>
    </row>
    <row r="154" spans="1:6" x14ac:dyDescent="0.3">
      <c r="A154" s="26" t="s">
        <v>572</v>
      </c>
      <c r="B154" s="26">
        <v>8.9142553099999997</v>
      </c>
      <c r="C154" s="26">
        <v>8.6836903999999997</v>
      </c>
      <c r="E154" s="26">
        <f t="shared" si="2"/>
        <v>0.23056491000000001</v>
      </c>
      <c r="F154" s="31">
        <v>42811</v>
      </c>
    </row>
    <row r="155" spans="1:6" x14ac:dyDescent="0.3">
      <c r="A155" s="26" t="s">
        <v>573</v>
      </c>
      <c r="B155" s="26">
        <v>9.1639094700000001</v>
      </c>
      <c r="C155" s="26">
        <v>6.9450098599999999</v>
      </c>
      <c r="E155" s="26">
        <f t="shared" si="2"/>
        <v>2.2188996100000002</v>
      </c>
      <c r="F155" s="31">
        <v>42812</v>
      </c>
    </row>
    <row r="156" spans="1:6" x14ac:dyDescent="0.3">
      <c r="A156" s="26" t="s">
        <v>574</v>
      </c>
      <c r="B156" s="26">
        <v>8.9721961300000004</v>
      </c>
      <c r="C156" s="26">
        <v>7.1854008299999998</v>
      </c>
      <c r="E156" s="26">
        <f t="shared" si="2"/>
        <v>1.7867953000000005</v>
      </c>
      <c r="F156" s="31">
        <v>42813</v>
      </c>
    </row>
    <row r="157" spans="1:6" x14ac:dyDescent="0.3">
      <c r="A157" s="26" t="s">
        <v>575</v>
      </c>
      <c r="B157" s="26">
        <v>9.3486761299999994</v>
      </c>
      <c r="C157" s="26">
        <v>7.3803972299999998</v>
      </c>
      <c r="E157" s="26">
        <f t="shared" si="2"/>
        <v>1.9682788999999996</v>
      </c>
      <c r="F157" s="31">
        <v>42814</v>
      </c>
    </row>
    <row r="158" spans="1:6" x14ac:dyDescent="0.3">
      <c r="A158" s="26" t="s">
        <v>576</v>
      </c>
      <c r="B158" s="26">
        <v>9.0236476099999994</v>
      </c>
      <c r="C158" s="26">
        <v>8.4004579199999991</v>
      </c>
      <c r="E158" s="26">
        <f t="shared" si="2"/>
        <v>0.62318969000000024</v>
      </c>
      <c r="F158" s="31">
        <v>42815</v>
      </c>
    </row>
    <row r="159" spans="1:6" x14ac:dyDescent="0.3">
      <c r="A159" s="26" t="s">
        <v>577</v>
      </c>
      <c r="B159" s="26">
        <v>8.59735139</v>
      </c>
      <c r="C159" s="26">
        <v>8.9409694799999997</v>
      </c>
      <c r="E159" s="26">
        <f t="shared" si="2"/>
        <v>-0.34361808999999965</v>
      </c>
      <c r="F159" s="31">
        <v>42816</v>
      </c>
    </row>
    <row r="160" spans="1:6" x14ac:dyDescent="0.3">
      <c r="A160" s="26" t="s">
        <v>578</v>
      </c>
      <c r="B160" s="26">
        <v>8.5264990800000007</v>
      </c>
      <c r="C160" s="26">
        <v>7.6387546799999999</v>
      </c>
      <c r="E160" s="26">
        <f t="shared" si="2"/>
        <v>0.88774440000000077</v>
      </c>
      <c r="F160" s="31">
        <v>42817</v>
      </c>
    </row>
    <row r="161" spans="1:6" x14ac:dyDescent="0.3">
      <c r="A161" s="26" t="s">
        <v>579</v>
      </c>
      <c r="B161" s="26">
        <v>9.3673685599999992</v>
      </c>
      <c r="C161" s="26">
        <v>8.1074597100000005</v>
      </c>
      <c r="E161" s="26">
        <f t="shared" si="2"/>
        <v>1.2599088499999986</v>
      </c>
      <c r="F161" s="31">
        <v>42818</v>
      </c>
    </row>
    <row r="162" spans="1:6" x14ac:dyDescent="0.3">
      <c r="A162" s="26" t="s">
        <v>580</v>
      </c>
      <c r="B162" s="26">
        <v>9.5175199799999994</v>
      </c>
      <c r="C162" s="26">
        <v>7.3000286599999997</v>
      </c>
      <c r="E162" s="26">
        <f t="shared" si="2"/>
        <v>2.2174913199999997</v>
      </c>
      <c r="F162" s="31">
        <v>42819</v>
      </c>
    </row>
    <row r="163" spans="1:6" x14ac:dyDescent="0.3">
      <c r="A163" s="26" t="s">
        <v>581</v>
      </c>
      <c r="B163" s="26">
        <v>9.8117406799999998</v>
      </c>
      <c r="C163" s="26">
        <v>5.6783016999999996</v>
      </c>
      <c r="E163" s="26">
        <f t="shared" si="2"/>
        <v>4.1334389800000002</v>
      </c>
      <c r="F163" s="31">
        <v>42820</v>
      </c>
    </row>
    <row r="164" spans="1:6" x14ac:dyDescent="0.3">
      <c r="A164" s="26" t="s">
        <v>582</v>
      </c>
      <c r="B164" s="26">
        <v>9.4984806099999997</v>
      </c>
      <c r="C164" s="26">
        <v>6.8536167199999998</v>
      </c>
      <c r="E164" s="26">
        <f t="shared" si="2"/>
        <v>2.6448638899999999</v>
      </c>
      <c r="F164" s="31">
        <v>42821</v>
      </c>
    </row>
    <row r="165" spans="1:6" x14ac:dyDescent="0.3">
      <c r="A165" s="26" t="s">
        <v>583</v>
      </c>
      <c r="B165" s="26">
        <v>10.856604920000001</v>
      </c>
      <c r="C165" s="26">
        <v>7.5600054300000004</v>
      </c>
      <c r="E165" s="26">
        <f t="shared" si="2"/>
        <v>3.2965994900000002</v>
      </c>
      <c r="F165" s="31">
        <v>42822</v>
      </c>
    </row>
    <row r="166" spans="1:6" x14ac:dyDescent="0.3">
      <c r="A166" s="26" t="s">
        <v>584</v>
      </c>
      <c r="B166" s="26">
        <v>10.73972026</v>
      </c>
      <c r="C166" s="26">
        <v>7.82400874</v>
      </c>
      <c r="E166" s="26">
        <f t="shared" si="2"/>
        <v>2.9157115200000003</v>
      </c>
      <c r="F166" s="31">
        <v>42823</v>
      </c>
    </row>
    <row r="167" spans="1:6" x14ac:dyDescent="0.3">
      <c r="A167" s="26" t="s">
        <v>585</v>
      </c>
      <c r="B167" s="26">
        <v>12.15976695</v>
      </c>
      <c r="C167" s="26">
        <v>6.5635631400000003</v>
      </c>
      <c r="E167" s="26">
        <f t="shared" si="2"/>
        <v>5.5962038099999996</v>
      </c>
      <c r="F167" s="31">
        <v>42824</v>
      </c>
    </row>
    <row r="168" spans="1:6" x14ac:dyDescent="0.3">
      <c r="A168" s="26" t="s">
        <v>586</v>
      </c>
      <c r="B168" s="26">
        <v>12.434753479999999</v>
      </c>
      <c r="C168" s="26">
        <v>5.7660999500000001</v>
      </c>
      <c r="E168" s="26">
        <f t="shared" si="2"/>
        <v>6.6686535299999994</v>
      </c>
      <c r="F168" s="31">
        <v>42825</v>
      </c>
    </row>
    <row r="169" spans="1:6" x14ac:dyDescent="0.3">
      <c r="A169" s="26" t="s">
        <v>587</v>
      </c>
      <c r="B169" s="26">
        <v>11.415510469999999</v>
      </c>
      <c r="C169" s="26">
        <v>6.9848023499999998</v>
      </c>
      <c r="E169" s="26">
        <f t="shared" si="2"/>
        <v>4.4307081199999994</v>
      </c>
      <c r="F169" s="31">
        <v>42826</v>
      </c>
    </row>
    <row r="170" spans="1:6" x14ac:dyDescent="0.3">
      <c r="A170" s="26" t="s">
        <v>588</v>
      </c>
      <c r="B170" s="26">
        <v>10.002980409999999</v>
      </c>
      <c r="C170" s="26">
        <v>6.6454300999999996</v>
      </c>
      <c r="E170" s="26">
        <f t="shared" si="2"/>
        <v>3.3575503099999997</v>
      </c>
      <c r="F170" s="31">
        <v>42827</v>
      </c>
    </row>
    <row r="171" spans="1:6" x14ac:dyDescent="0.3">
      <c r="A171" s="26" t="s">
        <v>589</v>
      </c>
      <c r="B171" s="26">
        <v>9.8891357400000004</v>
      </c>
      <c r="C171" s="26">
        <v>6.9546635300000004</v>
      </c>
      <c r="E171" s="26">
        <f t="shared" si="2"/>
        <v>2.93447221</v>
      </c>
      <c r="F171" s="31">
        <v>42828</v>
      </c>
    </row>
    <row r="172" spans="1:6" x14ac:dyDescent="0.3">
      <c r="A172" s="26" t="s">
        <v>590</v>
      </c>
      <c r="B172" s="26">
        <v>9.4614636300000008</v>
      </c>
      <c r="C172" s="26">
        <v>6.0195732900000003</v>
      </c>
      <c r="E172" s="26">
        <f t="shared" si="2"/>
        <v>3.4418903400000005</v>
      </c>
      <c r="F172" s="31">
        <v>42829</v>
      </c>
    </row>
    <row r="173" spans="1:6" x14ac:dyDescent="0.3">
      <c r="A173" s="26" t="s">
        <v>591</v>
      </c>
      <c r="B173" s="26">
        <v>9.2828696300000004</v>
      </c>
      <c r="C173" s="26">
        <v>5.77756603</v>
      </c>
      <c r="E173" s="26">
        <f t="shared" si="2"/>
        <v>3.5053036000000004</v>
      </c>
      <c r="F173" s="31">
        <v>42830</v>
      </c>
    </row>
    <row r="174" spans="1:6" x14ac:dyDescent="0.3">
      <c r="A174" s="26" t="s">
        <v>592</v>
      </c>
      <c r="B174" s="26">
        <v>7.8041658800000002</v>
      </c>
      <c r="C174" s="26">
        <v>3.32730192</v>
      </c>
      <c r="E174" s="26">
        <f t="shared" si="2"/>
        <v>4.4768639600000002</v>
      </c>
      <c r="F174" s="31">
        <v>42831</v>
      </c>
    </row>
    <row r="175" spans="1:6" x14ac:dyDescent="0.3">
      <c r="A175" s="26" t="s">
        <v>593</v>
      </c>
      <c r="B175" s="26">
        <v>8.4548132799999998</v>
      </c>
      <c r="C175" s="26">
        <v>3.4578623400000001</v>
      </c>
      <c r="E175" s="26">
        <f t="shared" si="2"/>
        <v>4.9969509399999996</v>
      </c>
      <c r="F175" s="31">
        <v>42832</v>
      </c>
    </row>
    <row r="176" spans="1:6" x14ac:dyDescent="0.3">
      <c r="A176" s="26" t="s">
        <v>594</v>
      </c>
      <c r="B176" s="26">
        <v>9.8004178700000004</v>
      </c>
      <c r="C176" s="26">
        <v>3.06106071</v>
      </c>
      <c r="E176" s="26">
        <f t="shared" si="2"/>
        <v>6.7393571600000008</v>
      </c>
      <c r="F176" s="31">
        <v>42833</v>
      </c>
    </row>
    <row r="177" spans="1:6" x14ac:dyDescent="0.3">
      <c r="A177" s="26" t="s">
        <v>595</v>
      </c>
      <c r="B177" s="26">
        <v>9.3490928499999999</v>
      </c>
      <c r="C177" s="26">
        <v>3.7132836600000001</v>
      </c>
      <c r="E177" s="26">
        <f t="shared" si="2"/>
        <v>5.6358091899999998</v>
      </c>
      <c r="F177" s="31">
        <v>42834</v>
      </c>
    </row>
    <row r="178" spans="1:6" x14ac:dyDescent="0.3">
      <c r="A178" s="26" t="s">
        <v>596</v>
      </c>
      <c r="B178" s="26">
        <v>8.9708398700000007</v>
      </c>
      <c r="C178" s="26">
        <v>2.0593858200000001</v>
      </c>
      <c r="E178" s="26">
        <f t="shared" si="2"/>
        <v>6.9114540500000006</v>
      </c>
      <c r="F178" s="31">
        <v>42835</v>
      </c>
    </row>
    <row r="179" spans="1:6" x14ac:dyDescent="0.3">
      <c r="A179" s="26" t="s">
        <v>597</v>
      </c>
      <c r="B179" s="26">
        <v>8.4156407400000006</v>
      </c>
      <c r="C179" s="26">
        <v>1.73281471</v>
      </c>
      <c r="E179" s="26">
        <f t="shared" si="2"/>
        <v>6.6828260300000011</v>
      </c>
      <c r="F179" s="31">
        <v>42836</v>
      </c>
    </row>
    <row r="180" spans="1:6" x14ac:dyDescent="0.3">
      <c r="A180" s="26" t="s">
        <v>598</v>
      </c>
      <c r="B180" s="26">
        <v>8.0573308099999998</v>
      </c>
      <c r="C180" s="26">
        <v>2.62347222</v>
      </c>
      <c r="E180" s="26">
        <f t="shared" si="2"/>
        <v>5.4338585899999998</v>
      </c>
      <c r="F180" s="31">
        <v>42837</v>
      </c>
    </row>
    <row r="181" spans="1:6" x14ac:dyDescent="0.3">
      <c r="A181" s="26" t="s">
        <v>599</v>
      </c>
      <c r="B181" s="26">
        <v>8.8149318599999997</v>
      </c>
      <c r="C181" s="26">
        <v>2.9578469300000001</v>
      </c>
      <c r="E181" s="26">
        <f t="shared" si="2"/>
        <v>5.8570849299999992</v>
      </c>
      <c r="F181" s="31">
        <v>42838</v>
      </c>
    </row>
    <row r="182" spans="1:6" x14ac:dyDescent="0.3">
      <c r="A182" s="26" t="s">
        <v>600</v>
      </c>
      <c r="B182" s="26">
        <v>6.7484409599999999</v>
      </c>
      <c r="C182" s="26">
        <v>4.1446683799999997</v>
      </c>
      <c r="E182" s="26">
        <f t="shared" si="2"/>
        <v>2.6037725800000002</v>
      </c>
      <c r="F182" s="31">
        <v>42839</v>
      </c>
    </row>
    <row r="183" spans="1:6" x14ac:dyDescent="0.3">
      <c r="A183" s="26" t="s">
        <v>601</v>
      </c>
      <c r="B183" s="26">
        <v>6.7079688199999996</v>
      </c>
      <c r="C183" s="26">
        <v>3.6249087100000001</v>
      </c>
      <c r="E183" s="26">
        <f t="shared" si="2"/>
        <v>3.0830601099999995</v>
      </c>
      <c r="F183" s="31">
        <v>42840</v>
      </c>
    </row>
    <row r="184" spans="1:6" x14ac:dyDescent="0.3">
      <c r="A184" s="26" t="s">
        <v>602</v>
      </c>
      <c r="B184" s="26">
        <v>6.8846457799999996</v>
      </c>
      <c r="C184" s="26">
        <v>3.6513209099999999</v>
      </c>
      <c r="E184" s="26">
        <f t="shared" si="2"/>
        <v>3.2333248699999997</v>
      </c>
      <c r="F184" s="31">
        <v>42841</v>
      </c>
    </row>
    <row r="185" spans="1:6" x14ac:dyDescent="0.3">
      <c r="A185" s="26" t="s">
        <v>603</v>
      </c>
      <c r="B185" s="26">
        <v>8.2037184700000001</v>
      </c>
      <c r="C185" s="26">
        <v>0.94039757000000002</v>
      </c>
      <c r="E185" s="26">
        <f t="shared" si="2"/>
        <v>7.2633209000000001</v>
      </c>
      <c r="F185" s="31">
        <v>42842</v>
      </c>
    </row>
    <row r="186" spans="1:6" x14ac:dyDescent="0.3">
      <c r="A186" s="26" t="s">
        <v>604</v>
      </c>
      <c r="B186" s="26">
        <v>7.5103476000000002</v>
      </c>
      <c r="C186" s="26">
        <v>1.4817441200000001</v>
      </c>
      <c r="E186" s="26">
        <f t="shared" si="2"/>
        <v>6.0286034800000001</v>
      </c>
      <c r="F186" s="31">
        <v>42843</v>
      </c>
    </row>
    <row r="187" spans="1:6" x14ac:dyDescent="0.3">
      <c r="A187" s="26" t="s">
        <v>605</v>
      </c>
      <c r="B187" s="26">
        <v>7.5452975899999997</v>
      </c>
      <c r="C187" s="26">
        <v>3.5197741800000002</v>
      </c>
      <c r="E187" s="26">
        <f t="shared" si="2"/>
        <v>4.0255234099999999</v>
      </c>
      <c r="F187" s="31">
        <v>42844</v>
      </c>
    </row>
    <row r="188" spans="1:6" x14ac:dyDescent="0.3">
      <c r="A188" s="26" t="s">
        <v>606</v>
      </c>
      <c r="B188" s="26">
        <v>8.7273362799999994</v>
      </c>
      <c r="C188" s="26">
        <v>5.5851558399999996</v>
      </c>
      <c r="E188" s="26">
        <f t="shared" si="2"/>
        <v>3.1421804399999997</v>
      </c>
      <c r="F188" s="31">
        <v>42845</v>
      </c>
    </row>
    <row r="189" spans="1:6" x14ac:dyDescent="0.3">
      <c r="A189" s="26" t="s">
        <v>607</v>
      </c>
      <c r="B189" s="26">
        <v>8.2086663499999997</v>
      </c>
      <c r="C189" s="26">
        <v>6.4839434899999997</v>
      </c>
      <c r="E189" s="26">
        <f t="shared" si="2"/>
        <v>1.72472286</v>
      </c>
      <c r="F189" s="31">
        <v>42846</v>
      </c>
    </row>
    <row r="190" spans="1:6" x14ac:dyDescent="0.3">
      <c r="A190" s="26" t="s">
        <v>608</v>
      </c>
      <c r="B190" s="26">
        <v>8.1042901900000004</v>
      </c>
      <c r="C190" s="26">
        <v>5.7610006599999997</v>
      </c>
      <c r="E190" s="26">
        <f t="shared" si="2"/>
        <v>2.3432895300000007</v>
      </c>
      <c r="F190" s="31">
        <v>42847</v>
      </c>
    </row>
    <row r="191" spans="1:6" x14ac:dyDescent="0.3">
      <c r="A191" s="26" t="s">
        <v>609</v>
      </c>
      <c r="B191" s="26">
        <v>9.3746335399999996</v>
      </c>
      <c r="C191" s="26">
        <v>8.3127427899999997</v>
      </c>
      <c r="E191" s="26">
        <f t="shared" si="2"/>
        <v>1.0618907499999999</v>
      </c>
      <c r="F191" s="31">
        <v>42848</v>
      </c>
    </row>
    <row r="192" spans="1:6" x14ac:dyDescent="0.3">
      <c r="A192" s="26" t="s">
        <v>610</v>
      </c>
      <c r="B192" s="26">
        <v>10.29688878</v>
      </c>
      <c r="C192" s="26">
        <v>9.2588791399999995</v>
      </c>
      <c r="E192" s="26">
        <f t="shared" si="2"/>
        <v>1.0380096400000003</v>
      </c>
      <c r="F192" s="31">
        <v>42849</v>
      </c>
    </row>
    <row r="193" spans="1:6" x14ac:dyDescent="0.3">
      <c r="A193" s="26" t="s">
        <v>611</v>
      </c>
      <c r="B193" s="26">
        <v>10.19347726</v>
      </c>
      <c r="C193" s="26">
        <v>8.5845091900000003</v>
      </c>
      <c r="E193" s="26">
        <f t="shared" si="2"/>
        <v>1.6089680699999995</v>
      </c>
      <c r="F193" s="31">
        <v>42850</v>
      </c>
    </row>
    <row r="194" spans="1:6" x14ac:dyDescent="0.3">
      <c r="A194" s="26" t="s">
        <v>612</v>
      </c>
      <c r="B194" s="26">
        <v>10.31357403</v>
      </c>
      <c r="C194" s="26">
        <v>8.3721700999999999</v>
      </c>
      <c r="E194" s="26">
        <f t="shared" si="2"/>
        <v>1.9414039299999999</v>
      </c>
      <c r="F194" s="31">
        <v>42851</v>
      </c>
    </row>
    <row r="195" spans="1:6" x14ac:dyDescent="0.3">
      <c r="A195" s="26" t="s">
        <v>613</v>
      </c>
      <c r="B195" s="26">
        <v>9.6437427099999997</v>
      </c>
      <c r="C195" s="26">
        <v>8.1213889600000009</v>
      </c>
      <c r="E195" s="26">
        <f t="shared" ref="E195:E258" si="3">B195-C195</f>
        <v>1.5223537499999988</v>
      </c>
      <c r="F195" s="31">
        <v>42852</v>
      </c>
    </row>
    <row r="196" spans="1:6" x14ac:dyDescent="0.3">
      <c r="A196" s="26" t="s">
        <v>614</v>
      </c>
      <c r="B196" s="26">
        <v>9.7482650700000004</v>
      </c>
      <c r="C196" s="26">
        <v>7.7296095300000003</v>
      </c>
      <c r="E196" s="26">
        <f t="shared" si="3"/>
        <v>2.0186555400000001</v>
      </c>
      <c r="F196" s="31">
        <v>42853</v>
      </c>
    </row>
    <row r="197" spans="1:6" x14ac:dyDescent="0.3">
      <c r="A197" s="26" t="s">
        <v>615</v>
      </c>
      <c r="B197" s="26">
        <v>10.58475653</v>
      </c>
      <c r="C197" s="26">
        <v>6.3814366600000003</v>
      </c>
      <c r="E197" s="26">
        <f t="shared" si="3"/>
        <v>4.2033198699999996</v>
      </c>
      <c r="F197" s="31">
        <v>42854</v>
      </c>
    </row>
    <row r="198" spans="1:6" x14ac:dyDescent="0.3">
      <c r="A198" s="26" t="s">
        <v>616</v>
      </c>
      <c r="B198" s="26">
        <v>9.5739764699999998</v>
      </c>
      <c r="C198" s="26">
        <v>6.4458434899999997</v>
      </c>
      <c r="E198" s="26">
        <f t="shared" si="3"/>
        <v>3.1281329800000002</v>
      </c>
      <c r="F198" s="31">
        <v>42855</v>
      </c>
    </row>
    <row r="199" spans="1:6" x14ac:dyDescent="0.3">
      <c r="A199" s="26" t="s">
        <v>617</v>
      </c>
      <c r="B199" s="26">
        <v>10.052991779999999</v>
      </c>
      <c r="C199" s="26">
        <v>5.7798091999999999</v>
      </c>
      <c r="E199" s="26">
        <f t="shared" si="3"/>
        <v>4.2731825799999994</v>
      </c>
      <c r="F199" s="31">
        <v>42856</v>
      </c>
    </row>
    <row r="200" spans="1:6" x14ac:dyDescent="0.3">
      <c r="A200" s="26" t="s">
        <v>618</v>
      </c>
      <c r="B200" s="26">
        <v>9.2942931000000009</v>
      </c>
      <c r="C200" s="26">
        <v>6.2386600899999998</v>
      </c>
      <c r="E200" s="26">
        <f t="shared" si="3"/>
        <v>3.0556330100000011</v>
      </c>
      <c r="F200" s="31">
        <v>42857</v>
      </c>
    </row>
    <row r="201" spans="1:6" x14ac:dyDescent="0.3">
      <c r="A201" s="26" t="s">
        <v>619</v>
      </c>
      <c r="B201" s="26">
        <v>10.70998816</v>
      </c>
      <c r="C201" s="26">
        <v>5.554557</v>
      </c>
      <c r="E201" s="26">
        <f t="shared" si="3"/>
        <v>5.15543116</v>
      </c>
      <c r="F201" s="31">
        <v>42858</v>
      </c>
    </row>
    <row r="202" spans="1:6" x14ac:dyDescent="0.3">
      <c r="A202" s="26" t="s">
        <v>620</v>
      </c>
      <c r="B202" s="26">
        <v>10.944494840000001</v>
      </c>
      <c r="C202" s="26">
        <v>5.6450149999999999</v>
      </c>
      <c r="E202" s="26">
        <f t="shared" si="3"/>
        <v>5.2994798400000009</v>
      </c>
      <c r="F202" s="31">
        <v>42859</v>
      </c>
    </row>
    <row r="203" spans="1:6" x14ac:dyDescent="0.3">
      <c r="A203" s="26" t="s">
        <v>621</v>
      </c>
      <c r="B203" s="26">
        <v>10.34483571</v>
      </c>
      <c r="C203" s="26">
        <v>5.4803660299999999</v>
      </c>
      <c r="E203" s="26">
        <f t="shared" si="3"/>
        <v>4.86446968</v>
      </c>
      <c r="F203" s="31">
        <v>42860</v>
      </c>
    </row>
    <row r="204" spans="1:6" x14ac:dyDescent="0.3">
      <c r="A204" s="26" t="s">
        <v>622</v>
      </c>
      <c r="B204" s="26">
        <v>11.236445740000001</v>
      </c>
      <c r="C204" s="26">
        <v>5.7406964199999999</v>
      </c>
      <c r="E204" s="26">
        <f t="shared" si="3"/>
        <v>5.4957493200000007</v>
      </c>
      <c r="F204" s="31">
        <v>42861</v>
      </c>
    </row>
    <row r="205" spans="1:6" x14ac:dyDescent="0.3">
      <c r="A205" s="26" t="s">
        <v>623</v>
      </c>
      <c r="B205" s="26">
        <v>11.747105039999999</v>
      </c>
      <c r="C205" s="26">
        <v>5.4761979900000002</v>
      </c>
      <c r="E205" s="26">
        <f t="shared" si="3"/>
        <v>6.270907049999999</v>
      </c>
      <c r="F205" s="31">
        <v>42862</v>
      </c>
    </row>
    <row r="206" spans="1:6" x14ac:dyDescent="0.3">
      <c r="A206" s="26" t="s">
        <v>624</v>
      </c>
      <c r="B206" s="26">
        <v>12.282149329999999</v>
      </c>
      <c r="C206" s="26">
        <v>5.1993155700000004</v>
      </c>
      <c r="E206" s="26">
        <f t="shared" si="3"/>
        <v>7.0828337599999989</v>
      </c>
      <c r="F206" s="31">
        <v>42863</v>
      </c>
    </row>
    <row r="207" spans="1:6" x14ac:dyDescent="0.3">
      <c r="A207" s="26" t="s">
        <v>625</v>
      </c>
      <c r="B207" s="26">
        <v>12.63847133</v>
      </c>
      <c r="C207" s="26">
        <v>4.2220957700000001</v>
      </c>
      <c r="E207" s="26">
        <f t="shared" si="3"/>
        <v>8.4163755599999988</v>
      </c>
      <c r="F207" s="31">
        <v>42864</v>
      </c>
    </row>
    <row r="208" spans="1:6" x14ac:dyDescent="0.3">
      <c r="A208" s="26" t="s">
        <v>626</v>
      </c>
      <c r="B208" s="26">
        <v>14.32660334</v>
      </c>
      <c r="C208" s="26">
        <v>4.0306133500000003</v>
      </c>
      <c r="E208" s="26">
        <f t="shared" si="3"/>
        <v>10.295989989999999</v>
      </c>
      <c r="F208" s="31">
        <v>42865</v>
      </c>
    </row>
    <row r="209" spans="1:6" x14ac:dyDescent="0.3">
      <c r="A209" s="26" t="s">
        <v>627</v>
      </c>
      <c r="B209" s="26">
        <v>13.169752559999999</v>
      </c>
      <c r="C209" s="26">
        <v>5.2819923900000001</v>
      </c>
      <c r="E209" s="26">
        <f t="shared" si="3"/>
        <v>7.8877601699999991</v>
      </c>
      <c r="F209" s="31">
        <v>42866</v>
      </c>
    </row>
    <row r="210" spans="1:6" x14ac:dyDescent="0.3">
      <c r="A210" s="26" t="s">
        <v>628</v>
      </c>
      <c r="B210" s="26">
        <v>13.394213519999999</v>
      </c>
      <c r="C210" s="26">
        <v>5.0336532700000003</v>
      </c>
      <c r="E210" s="26">
        <f t="shared" si="3"/>
        <v>8.3605602499999989</v>
      </c>
      <c r="F210" s="31">
        <v>42867</v>
      </c>
    </row>
    <row r="211" spans="1:6" x14ac:dyDescent="0.3">
      <c r="A211" s="26" t="s">
        <v>629</v>
      </c>
      <c r="B211" s="26">
        <v>13.227485980000001</v>
      </c>
      <c r="C211" s="26">
        <v>6.4917889899999999</v>
      </c>
      <c r="E211" s="26">
        <f t="shared" si="3"/>
        <v>6.735696990000001</v>
      </c>
      <c r="F211" s="31">
        <v>42868</v>
      </c>
    </row>
    <row r="212" spans="1:6" x14ac:dyDescent="0.3">
      <c r="A212" s="26" t="s">
        <v>630</v>
      </c>
      <c r="B212" s="26">
        <v>12.96760343</v>
      </c>
      <c r="C212" s="26">
        <v>7.3510706299999997</v>
      </c>
      <c r="E212" s="26">
        <f t="shared" si="3"/>
        <v>5.6165328000000008</v>
      </c>
      <c r="F212" s="31">
        <v>42869</v>
      </c>
    </row>
    <row r="213" spans="1:6" x14ac:dyDescent="0.3">
      <c r="A213" s="26" t="s">
        <v>631</v>
      </c>
      <c r="B213" s="26">
        <v>12.805471219999999</v>
      </c>
      <c r="C213" s="26">
        <v>8.6902164200000005</v>
      </c>
      <c r="E213" s="26">
        <f t="shared" si="3"/>
        <v>4.1152547999999989</v>
      </c>
      <c r="F213" s="31">
        <v>42870</v>
      </c>
    </row>
    <row r="214" spans="1:6" x14ac:dyDescent="0.3">
      <c r="A214" s="26" t="s">
        <v>632</v>
      </c>
      <c r="B214" s="26">
        <v>12.94809787</v>
      </c>
      <c r="C214" s="26">
        <v>9.1599994099999993</v>
      </c>
      <c r="E214" s="26">
        <f t="shared" si="3"/>
        <v>3.7880984600000005</v>
      </c>
      <c r="F214" s="31">
        <v>42871</v>
      </c>
    </row>
    <row r="215" spans="1:6" x14ac:dyDescent="0.3">
      <c r="A215" s="26" t="s">
        <v>633</v>
      </c>
      <c r="B215" s="26">
        <v>12.09013816</v>
      </c>
      <c r="C215" s="26">
        <v>8.9216033800000005</v>
      </c>
      <c r="E215" s="26">
        <f t="shared" si="3"/>
        <v>3.1685347799999999</v>
      </c>
      <c r="F215" s="31">
        <v>42872</v>
      </c>
    </row>
    <row r="216" spans="1:6" x14ac:dyDescent="0.3">
      <c r="A216" s="26" t="s">
        <v>634</v>
      </c>
      <c r="B216" s="26">
        <v>11.742092830000001</v>
      </c>
      <c r="C216" s="26">
        <v>9.28771418</v>
      </c>
      <c r="E216" s="26">
        <f t="shared" si="3"/>
        <v>2.4543786500000007</v>
      </c>
      <c r="F216" s="31">
        <v>42873</v>
      </c>
    </row>
    <row r="217" spans="1:6" x14ac:dyDescent="0.3">
      <c r="A217" s="26" t="s">
        <v>635</v>
      </c>
      <c r="B217" s="26">
        <v>12.76301312</v>
      </c>
      <c r="C217" s="26">
        <v>1.4293088199999999</v>
      </c>
      <c r="E217" s="26">
        <f t="shared" si="3"/>
        <v>11.333704300000001</v>
      </c>
      <c r="F217" s="31">
        <v>42874</v>
      </c>
    </row>
    <row r="218" spans="1:6" x14ac:dyDescent="0.3">
      <c r="A218" s="26" t="s">
        <v>636</v>
      </c>
      <c r="B218" s="26">
        <v>12.8577437</v>
      </c>
      <c r="C218" s="26">
        <v>1.50354487</v>
      </c>
      <c r="E218" s="26">
        <f t="shared" si="3"/>
        <v>11.35419883</v>
      </c>
      <c r="F218" s="31">
        <v>42875</v>
      </c>
    </row>
    <row r="219" spans="1:6" x14ac:dyDescent="0.3">
      <c r="A219" s="26" t="s">
        <v>637</v>
      </c>
      <c r="B219" s="26">
        <v>13.820872550000001</v>
      </c>
      <c r="C219" s="26">
        <v>0.66820104999999996</v>
      </c>
      <c r="E219" s="26">
        <f t="shared" si="3"/>
        <v>13.1526715</v>
      </c>
      <c r="F219" s="31">
        <v>42876</v>
      </c>
    </row>
    <row r="220" spans="1:6" x14ac:dyDescent="0.3">
      <c r="A220" s="26" t="s">
        <v>638</v>
      </c>
      <c r="B220" s="26">
        <v>13.97914374</v>
      </c>
      <c r="C220" s="26">
        <v>8.6559347899999999</v>
      </c>
      <c r="E220" s="26">
        <f t="shared" si="3"/>
        <v>5.3232089499999997</v>
      </c>
      <c r="F220" s="31">
        <v>42877</v>
      </c>
    </row>
    <row r="221" spans="1:6" x14ac:dyDescent="0.3">
      <c r="A221" s="26" t="s">
        <v>639</v>
      </c>
      <c r="B221" s="26">
        <v>13.958974939999999</v>
      </c>
      <c r="C221" s="26">
        <v>8.6020049400000005</v>
      </c>
      <c r="E221" s="26">
        <f t="shared" si="3"/>
        <v>5.3569699999999987</v>
      </c>
      <c r="F221" s="31">
        <v>42878</v>
      </c>
    </row>
    <row r="222" spans="1:6" x14ac:dyDescent="0.3">
      <c r="A222" s="26" t="s">
        <v>640</v>
      </c>
      <c r="B222" s="26">
        <v>14.81826818</v>
      </c>
      <c r="C222" s="26">
        <v>7.6611794399999997</v>
      </c>
      <c r="E222" s="26">
        <f t="shared" si="3"/>
        <v>7.1570887400000007</v>
      </c>
      <c r="F222" s="31">
        <v>42879</v>
      </c>
    </row>
    <row r="223" spans="1:6" x14ac:dyDescent="0.3">
      <c r="A223" s="26" t="s">
        <v>641</v>
      </c>
      <c r="B223" s="26">
        <v>13.027986459999999</v>
      </c>
      <c r="C223" s="26">
        <v>6.4834375099999999</v>
      </c>
      <c r="E223" s="26">
        <f t="shared" si="3"/>
        <v>6.5445489499999994</v>
      </c>
      <c r="F223" s="31">
        <v>42880</v>
      </c>
    </row>
    <row r="224" spans="1:6" x14ac:dyDescent="0.3">
      <c r="A224" s="26" t="s">
        <v>642</v>
      </c>
      <c r="B224" s="26">
        <v>12.3714073</v>
      </c>
      <c r="C224" s="26">
        <v>7.1797067600000002</v>
      </c>
      <c r="E224" s="26">
        <f t="shared" si="3"/>
        <v>5.1917005399999994</v>
      </c>
      <c r="F224" s="31">
        <v>42881</v>
      </c>
    </row>
    <row r="225" spans="1:6" x14ac:dyDescent="0.3">
      <c r="A225" s="26" t="s">
        <v>643</v>
      </c>
      <c r="B225" s="26">
        <v>10.764302710000001</v>
      </c>
      <c r="C225" s="26">
        <v>7.0374084100000003</v>
      </c>
      <c r="E225" s="26">
        <f t="shared" si="3"/>
        <v>3.7268943000000005</v>
      </c>
      <c r="F225" s="31">
        <v>42882</v>
      </c>
    </row>
    <row r="226" spans="1:6" x14ac:dyDescent="0.3">
      <c r="A226" s="26" t="s">
        <v>644</v>
      </c>
      <c r="B226" s="26">
        <v>9.9248741900000006</v>
      </c>
      <c r="C226" s="26">
        <v>6.6106771100000001</v>
      </c>
      <c r="E226" s="26">
        <f t="shared" si="3"/>
        <v>3.3141970800000005</v>
      </c>
      <c r="F226" s="31">
        <v>42883</v>
      </c>
    </row>
    <row r="227" spans="1:6" x14ac:dyDescent="0.3">
      <c r="A227" s="26" t="s">
        <v>645</v>
      </c>
      <c r="B227" s="26">
        <v>9.4528714600000008</v>
      </c>
      <c r="C227" s="26">
        <v>5.5418945400000004</v>
      </c>
      <c r="E227" s="26">
        <f t="shared" si="3"/>
        <v>3.9109769200000004</v>
      </c>
      <c r="F227" s="31">
        <v>42884</v>
      </c>
    </row>
    <row r="228" spans="1:6" x14ac:dyDescent="0.3">
      <c r="A228" s="26" t="s">
        <v>646</v>
      </c>
      <c r="B228" s="26">
        <v>10.979033980000001</v>
      </c>
      <c r="C228" s="26">
        <v>5.68806558</v>
      </c>
      <c r="E228" s="26">
        <f t="shared" si="3"/>
        <v>5.2909684000000006</v>
      </c>
      <c r="F228" s="31">
        <v>42885</v>
      </c>
    </row>
    <row r="229" spans="1:6" x14ac:dyDescent="0.3">
      <c r="A229" s="26" t="s">
        <v>647</v>
      </c>
      <c r="B229" s="26">
        <v>11.252596090000001</v>
      </c>
      <c r="C229" s="26">
        <v>7.0128055700000003</v>
      </c>
      <c r="E229" s="26">
        <f t="shared" si="3"/>
        <v>4.2397905200000006</v>
      </c>
      <c r="F229" s="31">
        <v>42886</v>
      </c>
    </row>
    <row r="230" spans="1:6" x14ac:dyDescent="0.3">
      <c r="A230" s="26" t="s">
        <v>648</v>
      </c>
      <c r="B230" s="26">
        <v>13.520494680000001</v>
      </c>
      <c r="C230" s="26">
        <v>6.8478715699999997</v>
      </c>
      <c r="E230" s="26">
        <f t="shared" si="3"/>
        <v>6.6726231100000009</v>
      </c>
      <c r="F230" s="31">
        <v>42887</v>
      </c>
    </row>
    <row r="231" spans="1:6" x14ac:dyDescent="0.3">
      <c r="A231" s="26" t="s">
        <v>649</v>
      </c>
      <c r="B231" s="26">
        <v>12.45415045</v>
      </c>
      <c r="C231" s="26">
        <v>6.4556672900000001</v>
      </c>
      <c r="E231" s="26">
        <f t="shared" si="3"/>
        <v>5.9984831600000001</v>
      </c>
      <c r="F231" s="31">
        <v>42888</v>
      </c>
    </row>
    <row r="232" spans="1:6" x14ac:dyDescent="0.3">
      <c r="A232" s="26" t="s">
        <v>650</v>
      </c>
      <c r="B232" s="26">
        <v>13.90973224</v>
      </c>
      <c r="C232" s="26">
        <v>4.8077565900000003</v>
      </c>
      <c r="E232" s="26">
        <f t="shared" si="3"/>
        <v>9.10197565</v>
      </c>
      <c r="F232" s="31">
        <v>42889</v>
      </c>
    </row>
    <row r="233" spans="1:6" x14ac:dyDescent="0.3">
      <c r="A233" s="26" t="s">
        <v>651</v>
      </c>
      <c r="B233" s="26">
        <v>15.04685961</v>
      </c>
      <c r="C233" s="26">
        <v>4.6410777999999997</v>
      </c>
      <c r="E233" s="26">
        <f t="shared" si="3"/>
        <v>10.405781810000001</v>
      </c>
      <c r="F233" s="31">
        <v>42890</v>
      </c>
    </row>
    <row r="234" spans="1:6" x14ac:dyDescent="0.3">
      <c r="A234" s="26" t="s">
        <v>652</v>
      </c>
      <c r="B234" s="26">
        <v>13.483502039999999</v>
      </c>
      <c r="C234" s="26">
        <v>4.8702656500000003</v>
      </c>
      <c r="E234" s="26">
        <f t="shared" si="3"/>
        <v>8.6132363899999991</v>
      </c>
      <c r="F234" s="31">
        <v>42891</v>
      </c>
    </row>
    <row r="235" spans="1:6" x14ac:dyDescent="0.3">
      <c r="A235" s="26" t="s">
        <v>653</v>
      </c>
      <c r="B235" s="26">
        <v>14.29547187</v>
      </c>
      <c r="C235" s="26">
        <v>5.0304613600000003</v>
      </c>
      <c r="E235" s="26">
        <f t="shared" si="3"/>
        <v>9.2650105099999998</v>
      </c>
      <c r="F235" s="31">
        <v>42892</v>
      </c>
    </row>
    <row r="236" spans="1:6" x14ac:dyDescent="0.3">
      <c r="A236" s="26" t="s">
        <v>654</v>
      </c>
      <c r="B236" s="26">
        <v>14.821705270000001</v>
      </c>
      <c r="C236" s="26">
        <v>4.7025893099999996</v>
      </c>
      <c r="E236" s="26">
        <f t="shared" si="3"/>
        <v>10.119115960000002</v>
      </c>
      <c r="F236" s="31">
        <v>42893</v>
      </c>
    </row>
    <row r="237" spans="1:6" x14ac:dyDescent="0.3">
      <c r="A237" s="26" t="s">
        <v>655</v>
      </c>
      <c r="B237" s="26">
        <v>16.457455700000001</v>
      </c>
      <c r="C237" s="26">
        <v>5.7047032099999999</v>
      </c>
      <c r="E237" s="26">
        <f t="shared" si="3"/>
        <v>10.752752490000001</v>
      </c>
      <c r="F237" s="31">
        <v>42894</v>
      </c>
    </row>
    <row r="238" spans="1:6" x14ac:dyDescent="0.3">
      <c r="A238" s="26" t="s">
        <v>656</v>
      </c>
      <c r="B238" s="26">
        <v>13.570257979999999</v>
      </c>
      <c r="C238" s="26">
        <v>6.9805016999999996</v>
      </c>
      <c r="E238" s="26">
        <f t="shared" si="3"/>
        <v>6.5897562799999996</v>
      </c>
      <c r="F238" s="31">
        <v>42895</v>
      </c>
    </row>
    <row r="239" spans="1:6" x14ac:dyDescent="0.3">
      <c r="A239" s="26" t="s">
        <v>657</v>
      </c>
      <c r="B239" s="26">
        <v>12.031668290000001</v>
      </c>
      <c r="C239" s="26">
        <v>6.2252737299999996</v>
      </c>
      <c r="E239" s="26">
        <f t="shared" si="3"/>
        <v>5.8063945600000011</v>
      </c>
      <c r="F239" s="31">
        <v>42896</v>
      </c>
    </row>
    <row r="240" spans="1:6" x14ac:dyDescent="0.3">
      <c r="A240" s="26" t="s">
        <v>658</v>
      </c>
      <c r="B240" s="26">
        <v>10.84901876</v>
      </c>
      <c r="C240" s="26">
        <v>5.2637554099999999</v>
      </c>
      <c r="E240" s="26">
        <f t="shared" si="3"/>
        <v>5.58526335</v>
      </c>
      <c r="F240" s="31">
        <v>42897</v>
      </c>
    </row>
    <row r="241" spans="1:6" x14ac:dyDescent="0.3">
      <c r="A241" s="26" t="s">
        <v>659</v>
      </c>
      <c r="B241" s="26">
        <v>11.358586389999999</v>
      </c>
      <c r="C241" s="26">
        <v>5.4189325200000003</v>
      </c>
      <c r="E241" s="26">
        <f t="shared" si="3"/>
        <v>5.939653869999999</v>
      </c>
      <c r="F241" s="31">
        <v>42898</v>
      </c>
    </row>
    <row r="242" spans="1:6" x14ac:dyDescent="0.3">
      <c r="A242" s="26" t="s">
        <v>660</v>
      </c>
      <c r="B242" s="26">
        <v>9.9914470200000007</v>
      </c>
      <c r="C242" s="26">
        <v>6.2622543999999998</v>
      </c>
      <c r="E242" s="26">
        <f t="shared" si="3"/>
        <v>3.729192620000001</v>
      </c>
      <c r="F242" s="31">
        <v>42899</v>
      </c>
    </row>
    <row r="243" spans="1:6" x14ac:dyDescent="0.3">
      <c r="A243" s="26" t="s">
        <v>661</v>
      </c>
      <c r="B243" s="26">
        <v>10.656684139999999</v>
      </c>
      <c r="C243" s="26">
        <v>6.6388748499999997</v>
      </c>
      <c r="E243" s="26">
        <f t="shared" si="3"/>
        <v>4.0178092899999998</v>
      </c>
      <c r="F243" s="31">
        <v>42900</v>
      </c>
    </row>
    <row r="244" spans="1:6" x14ac:dyDescent="0.3">
      <c r="A244" s="26" t="s">
        <v>662</v>
      </c>
      <c r="B244" s="26">
        <v>10.817501500000001</v>
      </c>
      <c r="C244" s="26">
        <v>5.4672316800000003</v>
      </c>
      <c r="E244" s="26">
        <f t="shared" si="3"/>
        <v>5.3502698200000003</v>
      </c>
      <c r="F244" s="31">
        <v>42901</v>
      </c>
    </row>
    <row r="245" spans="1:6" x14ac:dyDescent="0.3">
      <c r="A245" s="26" t="s">
        <v>663</v>
      </c>
      <c r="B245" s="26">
        <v>10.913826220000001</v>
      </c>
      <c r="C245" s="26">
        <v>5.6488036499999996</v>
      </c>
      <c r="E245" s="26">
        <f t="shared" si="3"/>
        <v>5.2650225700000011</v>
      </c>
      <c r="F245" s="31">
        <v>42902</v>
      </c>
    </row>
    <row r="246" spans="1:6" x14ac:dyDescent="0.3">
      <c r="A246" s="26" t="s">
        <v>664</v>
      </c>
      <c r="B246" s="26">
        <v>9.4465014400000005</v>
      </c>
      <c r="C246" s="26">
        <v>7.5999518400000001</v>
      </c>
      <c r="E246" s="26">
        <f t="shared" si="3"/>
        <v>1.8465496000000003</v>
      </c>
      <c r="F246" s="31">
        <v>42903</v>
      </c>
    </row>
    <row r="247" spans="1:6" x14ac:dyDescent="0.3">
      <c r="A247" s="26" t="s">
        <v>665</v>
      </c>
      <c r="B247" s="26">
        <v>9.9995089799999999</v>
      </c>
      <c r="C247" s="26">
        <v>8.2562214399999991</v>
      </c>
      <c r="E247" s="26">
        <f t="shared" si="3"/>
        <v>1.7432875400000007</v>
      </c>
      <c r="F247" s="31">
        <v>42904</v>
      </c>
    </row>
    <row r="248" spans="1:6" x14ac:dyDescent="0.3">
      <c r="A248" s="26" t="s">
        <v>666</v>
      </c>
      <c r="B248" s="26">
        <v>10.697737460000001</v>
      </c>
      <c r="C248" s="26">
        <v>8.2683915700000004</v>
      </c>
      <c r="E248" s="26">
        <f t="shared" si="3"/>
        <v>2.4293458900000005</v>
      </c>
      <c r="F248" s="31">
        <v>42905</v>
      </c>
    </row>
    <row r="249" spans="1:6" x14ac:dyDescent="0.3">
      <c r="A249" s="26" t="s">
        <v>667</v>
      </c>
      <c r="B249" s="26">
        <v>12.24073549</v>
      </c>
      <c r="C249" s="26">
        <v>6.1467243700000003</v>
      </c>
      <c r="E249" s="26">
        <f t="shared" si="3"/>
        <v>6.0940111200000002</v>
      </c>
      <c r="F249" s="31">
        <v>42906</v>
      </c>
    </row>
    <row r="250" spans="1:6" x14ac:dyDescent="0.3">
      <c r="A250" s="26" t="s">
        <v>668</v>
      </c>
      <c r="B250" s="26">
        <v>12.993647559999999</v>
      </c>
      <c r="C250" s="26">
        <v>6.0472704500000001</v>
      </c>
      <c r="E250" s="26">
        <f t="shared" si="3"/>
        <v>6.9463771099999994</v>
      </c>
      <c r="F250" s="31">
        <v>42907</v>
      </c>
    </row>
    <row r="251" spans="1:6" x14ac:dyDescent="0.3">
      <c r="A251" s="26" t="s">
        <v>669</v>
      </c>
      <c r="B251" s="26">
        <v>13.882381049999999</v>
      </c>
      <c r="C251" s="26">
        <v>6.4410396299999997</v>
      </c>
      <c r="E251" s="26">
        <f t="shared" si="3"/>
        <v>7.4413414199999997</v>
      </c>
      <c r="F251" s="31">
        <v>42908</v>
      </c>
    </row>
    <row r="252" spans="1:6" x14ac:dyDescent="0.3">
      <c r="A252" s="26" t="s">
        <v>670</v>
      </c>
      <c r="B252" s="26">
        <v>12.62752572</v>
      </c>
      <c r="C252" s="26">
        <v>7.2502979500000002</v>
      </c>
      <c r="E252" s="26">
        <f t="shared" si="3"/>
        <v>5.3772277699999993</v>
      </c>
      <c r="F252" s="31">
        <v>42909</v>
      </c>
    </row>
    <row r="253" spans="1:6" x14ac:dyDescent="0.3">
      <c r="A253" s="26" t="s">
        <v>671</v>
      </c>
      <c r="B253" s="26">
        <v>10.98551829</v>
      </c>
      <c r="C253" s="26">
        <v>6.0801546599999998</v>
      </c>
      <c r="E253" s="26">
        <f t="shared" si="3"/>
        <v>4.9053636300000001</v>
      </c>
      <c r="F253" s="31">
        <v>42910</v>
      </c>
    </row>
    <row r="254" spans="1:6" x14ac:dyDescent="0.3">
      <c r="A254" s="26" t="s">
        <v>672</v>
      </c>
      <c r="B254" s="26">
        <v>10.261535820000001</v>
      </c>
      <c r="C254" s="26">
        <v>6.8703916999999999</v>
      </c>
      <c r="E254" s="26">
        <f t="shared" si="3"/>
        <v>3.3911441200000008</v>
      </c>
      <c r="F254" s="31">
        <v>42911</v>
      </c>
    </row>
    <row r="255" spans="1:6" x14ac:dyDescent="0.3">
      <c r="A255" s="26" t="s">
        <v>673</v>
      </c>
      <c r="B255" s="26">
        <v>10.013107809999999</v>
      </c>
      <c r="C255" s="26">
        <v>7.6624923300000001</v>
      </c>
      <c r="E255" s="26">
        <f t="shared" si="3"/>
        <v>2.3506154799999992</v>
      </c>
      <c r="F255" s="31">
        <v>42912</v>
      </c>
    </row>
    <row r="256" spans="1:6" x14ac:dyDescent="0.3">
      <c r="A256" s="26" t="s">
        <v>674</v>
      </c>
      <c r="B256" s="26">
        <v>10.484424280000001</v>
      </c>
      <c r="C256" s="26">
        <v>7.2112288900000001</v>
      </c>
      <c r="E256" s="26">
        <f t="shared" si="3"/>
        <v>3.2731953900000006</v>
      </c>
      <c r="F256" s="31">
        <v>42913</v>
      </c>
    </row>
    <row r="257" spans="1:6" x14ac:dyDescent="0.3">
      <c r="A257" s="26" t="s">
        <v>675</v>
      </c>
      <c r="B257" s="26">
        <v>10.89114816</v>
      </c>
      <c r="C257" s="26">
        <v>7.4183859099999996</v>
      </c>
      <c r="E257" s="26">
        <f t="shared" si="3"/>
        <v>3.4727622500000006</v>
      </c>
      <c r="F257" s="31">
        <v>42914</v>
      </c>
    </row>
    <row r="258" spans="1:6" x14ac:dyDescent="0.3">
      <c r="A258" s="26" t="s">
        <v>676</v>
      </c>
      <c r="B258" s="26">
        <v>10.60696418</v>
      </c>
      <c r="C258" s="26">
        <v>7.42707491</v>
      </c>
      <c r="E258" s="26">
        <f t="shared" si="3"/>
        <v>3.1798892700000003</v>
      </c>
      <c r="F258" s="31">
        <v>42915</v>
      </c>
    </row>
    <row r="259" spans="1:6" x14ac:dyDescent="0.3">
      <c r="A259" s="26" t="s">
        <v>677</v>
      </c>
      <c r="B259" s="26">
        <v>8.9497225399999998</v>
      </c>
      <c r="C259" s="26">
        <v>6.8123658100000002</v>
      </c>
      <c r="E259" s="26">
        <f t="shared" ref="E259:E322" si="4">B259-C259</f>
        <v>2.1373567299999996</v>
      </c>
      <c r="F259" s="31">
        <v>42916</v>
      </c>
    </row>
    <row r="260" spans="1:6" x14ac:dyDescent="0.3">
      <c r="A260" s="26" t="s">
        <v>678</v>
      </c>
      <c r="B260" s="26">
        <v>8.8197270099999994</v>
      </c>
      <c r="C260" s="26">
        <v>5.0374074799999997</v>
      </c>
      <c r="E260" s="26">
        <f t="shared" si="4"/>
        <v>3.7823195299999997</v>
      </c>
      <c r="F260" s="31">
        <v>42917</v>
      </c>
    </row>
    <row r="261" spans="1:6" x14ac:dyDescent="0.3">
      <c r="A261" s="26" t="s">
        <v>679</v>
      </c>
      <c r="B261" s="26">
        <v>8.7656472799999996</v>
      </c>
      <c r="C261" s="26">
        <v>4.6541563500000001</v>
      </c>
      <c r="E261" s="26">
        <f t="shared" si="4"/>
        <v>4.1114909299999995</v>
      </c>
      <c r="F261" s="31">
        <v>42918</v>
      </c>
    </row>
    <row r="262" spans="1:6" x14ac:dyDescent="0.3">
      <c r="A262" s="26" t="s">
        <v>680</v>
      </c>
      <c r="B262" s="26">
        <v>9.0477983399999999</v>
      </c>
      <c r="C262" s="26">
        <v>5.03858826</v>
      </c>
      <c r="E262" s="26">
        <f t="shared" si="4"/>
        <v>4.0092100799999999</v>
      </c>
      <c r="F262" s="31">
        <v>42919</v>
      </c>
    </row>
    <row r="263" spans="1:6" x14ac:dyDescent="0.3">
      <c r="A263" s="26" t="s">
        <v>681</v>
      </c>
      <c r="B263" s="26">
        <v>8.9968760499999991</v>
      </c>
      <c r="C263" s="26">
        <v>3.9831282099999998</v>
      </c>
      <c r="E263" s="26">
        <f t="shared" si="4"/>
        <v>5.0137478399999988</v>
      </c>
      <c r="F263" s="31">
        <v>42920</v>
      </c>
    </row>
    <row r="264" spans="1:6" x14ac:dyDescent="0.3">
      <c r="A264" s="26" t="s">
        <v>682</v>
      </c>
      <c r="B264" s="26">
        <v>9.5578543099999997</v>
      </c>
      <c r="C264" s="26">
        <v>3.99129771</v>
      </c>
      <c r="E264" s="26">
        <f t="shared" si="4"/>
        <v>5.5665566000000002</v>
      </c>
      <c r="F264" s="31">
        <v>42921</v>
      </c>
    </row>
    <row r="265" spans="1:6" x14ac:dyDescent="0.3">
      <c r="A265" s="26" t="s">
        <v>683</v>
      </c>
      <c r="B265" s="26">
        <v>9.5839908400000002</v>
      </c>
      <c r="C265" s="26">
        <v>2.5326983200000002</v>
      </c>
      <c r="E265" s="26">
        <f t="shared" si="4"/>
        <v>7.0512925200000005</v>
      </c>
      <c r="F265" s="31">
        <v>42922</v>
      </c>
    </row>
    <row r="266" spans="1:6" x14ac:dyDescent="0.3">
      <c r="A266" s="26" t="s">
        <v>684</v>
      </c>
      <c r="B266" s="26">
        <v>7.3744339200000004</v>
      </c>
      <c r="C266" s="26">
        <v>1.4872695300000001</v>
      </c>
      <c r="E266" s="26">
        <f t="shared" si="4"/>
        <v>5.8871643900000006</v>
      </c>
      <c r="F266" s="31">
        <v>42923</v>
      </c>
    </row>
    <row r="267" spans="1:6" x14ac:dyDescent="0.3">
      <c r="A267" s="26" t="s">
        <v>685</v>
      </c>
      <c r="B267" s="26">
        <v>7.4705705399999998</v>
      </c>
      <c r="C267" s="26">
        <v>2.4400142800000002</v>
      </c>
      <c r="E267" s="26">
        <f t="shared" si="4"/>
        <v>5.0305562599999991</v>
      </c>
      <c r="F267" s="31">
        <v>42924</v>
      </c>
    </row>
    <row r="268" spans="1:6" x14ac:dyDescent="0.3">
      <c r="A268" s="26" t="s">
        <v>686</v>
      </c>
      <c r="B268" s="26">
        <v>6.7263047</v>
      </c>
      <c r="C268" s="26">
        <v>2.4131592500000001</v>
      </c>
      <c r="E268" s="26">
        <f t="shared" si="4"/>
        <v>4.3131454500000004</v>
      </c>
      <c r="F268" s="31">
        <v>42925</v>
      </c>
    </row>
    <row r="269" spans="1:6" x14ac:dyDescent="0.3">
      <c r="A269" s="26" t="s">
        <v>687</v>
      </c>
      <c r="B269" s="26">
        <v>7.5646957600000002</v>
      </c>
      <c r="C269" s="26">
        <v>2.9322570400000001</v>
      </c>
      <c r="E269" s="26">
        <f t="shared" si="4"/>
        <v>4.6324387199999997</v>
      </c>
      <c r="F269" s="31">
        <v>42926</v>
      </c>
    </row>
    <row r="270" spans="1:6" x14ac:dyDescent="0.3">
      <c r="A270" s="26" t="s">
        <v>688</v>
      </c>
      <c r="B270" s="26">
        <v>6.3920669200000004</v>
      </c>
      <c r="C270" s="26">
        <v>2.1232042099999999</v>
      </c>
      <c r="E270" s="26">
        <f t="shared" si="4"/>
        <v>4.2688627100000005</v>
      </c>
      <c r="F270" s="31">
        <v>42927</v>
      </c>
    </row>
    <row r="271" spans="1:6" x14ac:dyDescent="0.3">
      <c r="A271" s="26" t="s">
        <v>689</v>
      </c>
      <c r="B271" s="26">
        <v>5.63687805</v>
      </c>
      <c r="C271" s="26">
        <v>1.1198950299999999</v>
      </c>
      <c r="E271" s="26">
        <f t="shared" si="4"/>
        <v>4.5169830199999996</v>
      </c>
      <c r="F271" s="31">
        <v>42928</v>
      </c>
    </row>
    <row r="272" spans="1:6" x14ac:dyDescent="0.3">
      <c r="A272" s="26" t="s">
        <v>690</v>
      </c>
      <c r="B272" s="26">
        <v>5.35676226</v>
      </c>
      <c r="C272" s="26">
        <v>3.4879255300000001</v>
      </c>
      <c r="E272" s="26">
        <f t="shared" si="4"/>
        <v>1.8688367299999999</v>
      </c>
      <c r="F272" s="31">
        <v>42929</v>
      </c>
    </row>
    <row r="273" spans="1:6" x14ac:dyDescent="0.3">
      <c r="A273" s="26" t="s">
        <v>691</v>
      </c>
      <c r="B273" s="26">
        <v>5.1064389800000001</v>
      </c>
      <c r="C273" s="26">
        <v>2.9034246700000002</v>
      </c>
      <c r="E273" s="26">
        <f t="shared" si="4"/>
        <v>2.2030143099999999</v>
      </c>
      <c r="F273" s="31">
        <v>42930</v>
      </c>
    </row>
    <row r="274" spans="1:6" x14ac:dyDescent="0.3">
      <c r="A274" s="26" t="s">
        <v>692</v>
      </c>
      <c r="B274" s="26">
        <v>3.7095761</v>
      </c>
      <c r="C274" s="26">
        <v>1.0505057200000001</v>
      </c>
      <c r="E274" s="26">
        <f t="shared" si="4"/>
        <v>2.6590703800000002</v>
      </c>
      <c r="F274" s="31">
        <v>42931</v>
      </c>
    </row>
    <row r="275" spans="1:6" x14ac:dyDescent="0.3">
      <c r="A275" s="26" t="s">
        <v>693</v>
      </c>
      <c r="B275" s="26">
        <v>3.0860973600000001</v>
      </c>
      <c r="C275" s="26">
        <v>0.90124824999999997</v>
      </c>
      <c r="E275" s="26">
        <f t="shared" si="4"/>
        <v>2.18484911</v>
      </c>
      <c r="F275" s="31">
        <v>42932</v>
      </c>
    </row>
    <row r="276" spans="1:6" x14ac:dyDescent="0.3">
      <c r="A276" s="26" t="s">
        <v>694</v>
      </c>
      <c r="B276" s="26">
        <v>3.08195665</v>
      </c>
      <c r="C276" s="26">
        <v>0.37846102999999998</v>
      </c>
      <c r="E276" s="26">
        <f t="shared" si="4"/>
        <v>2.70349562</v>
      </c>
      <c r="F276" s="31">
        <v>42933</v>
      </c>
    </row>
    <row r="277" spans="1:6" x14ac:dyDescent="0.3">
      <c r="A277" s="26" t="s">
        <v>695</v>
      </c>
      <c r="B277" s="26">
        <v>1.3607926100000001</v>
      </c>
      <c r="C277" s="26">
        <v>0.11440459</v>
      </c>
      <c r="E277" s="26">
        <f t="shared" si="4"/>
        <v>1.2463880200000002</v>
      </c>
      <c r="F277" s="31">
        <v>42934</v>
      </c>
    </row>
    <row r="278" spans="1:6" x14ac:dyDescent="0.3">
      <c r="A278" s="26" t="s">
        <v>696</v>
      </c>
      <c r="B278" s="26">
        <v>0.82713049999999999</v>
      </c>
      <c r="C278" s="26">
        <v>0.3809245</v>
      </c>
      <c r="E278" s="26">
        <f t="shared" si="4"/>
        <v>0.44620599999999999</v>
      </c>
      <c r="F278" s="31">
        <v>42935</v>
      </c>
    </row>
    <row r="279" spans="1:6" x14ac:dyDescent="0.3">
      <c r="A279" s="26" t="s">
        <v>697</v>
      </c>
      <c r="B279" s="26">
        <v>0.61230699</v>
      </c>
      <c r="C279" s="26">
        <v>0.54222711000000001</v>
      </c>
      <c r="E279" s="26">
        <f t="shared" si="4"/>
        <v>7.0079879999999983E-2</v>
      </c>
      <c r="F279" s="31">
        <v>42936</v>
      </c>
    </row>
    <row r="280" spans="1:6" x14ac:dyDescent="0.3">
      <c r="A280" s="26" t="s">
        <v>698</v>
      </c>
      <c r="B280" s="26">
        <v>1.20266348</v>
      </c>
      <c r="C280" s="26">
        <v>1.3767034499999999</v>
      </c>
      <c r="E280" s="26">
        <f t="shared" si="4"/>
        <v>-0.17403996999999993</v>
      </c>
      <c r="F280" s="31">
        <v>42937</v>
      </c>
    </row>
    <row r="281" spans="1:6" x14ac:dyDescent="0.3">
      <c r="A281" s="26" t="s">
        <v>699</v>
      </c>
      <c r="B281" s="26">
        <v>1.9548303300000001</v>
      </c>
      <c r="C281" s="26">
        <v>1.01543615</v>
      </c>
      <c r="E281" s="26">
        <f t="shared" si="4"/>
        <v>0.93939418000000008</v>
      </c>
      <c r="F281" s="31">
        <v>42938</v>
      </c>
    </row>
    <row r="282" spans="1:6" x14ac:dyDescent="0.3">
      <c r="A282" s="26" t="s">
        <v>700</v>
      </c>
      <c r="B282" s="26">
        <v>1.2259371999999999</v>
      </c>
      <c r="C282" s="26">
        <v>0.33204004999999998</v>
      </c>
      <c r="E282" s="26">
        <f t="shared" si="4"/>
        <v>0.89389714999999992</v>
      </c>
      <c r="F282" s="31">
        <v>42939</v>
      </c>
    </row>
    <row r="283" spans="1:6" x14ac:dyDescent="0.3">
      <c r="A283" s="26" t="s">
        <v>701</v>
      </c>
      <c r="B283" s="26">
        <v>-8.5401519999999995E-2</v>
      </c>
      <c r="C283" s="26">
        <v>0.75328262999999995</v>
      </c>
      <c r="E283" s="26">
        <f t="shared" si="4"/>
        <v>-0.83868414999999996</v>
      </c>
      <c r="F283" s="31">
        <v>42940</v>
      </c>
    </row>
    <row r="284" spans="1:6" x14ac:dyDescent="0.3">
      <c r="A284" s="26" t="s">
        <v>702</v>
      </c>
      <c r="B284" s="26">
        <v>-0.68707748000000002</v>
      </c>
      <c r="C284" s="26">
        <v>0.11972354</v>
      </c>
      <c r="E284" s="26">
        <f t="shared" si="4"/>
        <v>-0.80680101999999998</v>
      </c>
      <c r="F284" s="31">
        <v>42941</v>
      </c>
    </row>
    <row r="285" spans="1:6" x14ac:dyDescent="0.3">
      <c r="A285" s="26" t="s">
        <v>703</v>
      </c>
      <c r="B285" s="26">
        <v>0.17780208</v>
      </c>
      <c r="C285" s="26">
        <v>1.7571300400000001</v>
      </c>
      <c r="E285" s="26">
        <f t="shared" si="4"/>
        <v>-1.5793279600000001</v>
      </c>
      <c r="F285" s="31">
        <v>42942</v>
      </c>
    </row>
    <row r="286" spans="1:6" x14ac:dyDescent="0.3">
      <c r="A286" s="26" t="s">
        <v>704</v>
      </c>
      <c r="B286" s="26">
        <v>-0.53464584999999998</v>
      </c>
      <c r="C286" s="26">
        <v>0.40556503999999999</v>
      </c>
      <c r="E286" s="26">
        <f t="shared" si="4"/>
        <v>-0.94021088999999991</v>
      </c>
      <c r="F286" s="31">
        <v>42943</v>
      </c>
    </row>
    <row r="287" spans="1:6" x14ac:dyDescent="0.3">
      <c r="A287" s="26" t="s">
        <v>705</v>
      </c>
      <c r="B287" s="26">
        <v>-2.0072065600000002</v>
      </c>
      <c r="C287" s="26">
        <v>2.2517843399999999</v>
      </c>
      <c r="E287" s="26">
        <f t="shared" si="4"/>
        <v>-4.2589909000000006</v>
      </c>
      <c r="F287" s="31">
        <v>42944</v>
      </c>
    </row>
    <row r="288" spans="1:6" x14ac:dyDescent="0.3">
      <c r="A288" s="26" t="s">
        <v>706</v>
      </c>
      <c r="B288" s="26">
        <v>-2.11300709</v>
      </c>
      <c r="C288" s="26">
        <v>2.0055567500000002</v>
      </c>
      <c r="E288" s="26">
        <f t="shared" si="4"/>
        <v>-4.1185638400000002</v>
      </c>
      <c r="F288" s="31">
        <v>42945</v>
      </c>
    </row>
    <row r="289" spans="1:6" x14ac:dyDescent="0.3">
      <c r="A289" s="26" t="s">
        <v>707</v>
      </c>
      <c r="B289" s="26">
        <v>-1.4699890099999999</v>
      </c>
      <c r="C289" s="26">
        <v>2.6053427999999998</v>
      </c>
      <c r="E289" s="26">
        <f t="shared" si="4"/>
        <v>-4.0753318099999998</v>
      </c>
      <c r="F289" s="31">
        <v>42946</v>
      </c>
    </row>
    <row r="290" spans="1:6" x14ac:dyDescent="0.3">
      <c r="A290" s="26" t="s">
        <v>708</v>
      </c>
      <c r="B290" s="26">
        <v>-1.9055308799999999</v>
      </c>
      <c r="C290" s="26">
        <v>2.9224435400000002</v>
      </c>
      <c r="E290" s="26">
        <f t="shared" si="4"/>
        <v>-4.8279744200000003</v>
      </c>
      <c r="F290" s="31">
        <v>42947</v>
      </c>
    </row>
    <row r="291" spans="1:6" x14ac:dyDescent="0.3">
      <c r="A291" s="26" t="s">
        <v>709</v>
      </c>
      <c r="B291" s="26">
        <v>-0.39755163999999998</v>
      </c>
      <c r="C291" s="26">
        <v>2.53930335</v>
      </c>
      <c r="E291" s="26">
        <f t="shared" si="4"/>
        <v>-2.9368549900000001</v>
      </c>
      <c r="F291" s="31">
        <v>42948</v>
      </c>
    </row>
    <row r="292" spans="1:6" x14ac:dyDescent="0.3">
      <c r="A292" s="26" t="s">
        <v>710</v>
      </c>
      <c r="B292" s="26">
        <v>1.4232730499999999</v>
      </c>
      <c r="C292" s="26">
        <v>3.4237933300000001</v>
      </c>
      <c r="E292" s="26">
        <f t="shared" si="4"/>
        <v>-2.0005202799999999</v>
      </c>
      <c r="F292" s="31">
        <v>42949</v>
      </c>
    </row>
    <row r="293" spans="1:6" x14ac:dyDescent="0.3">
      <c r="A293" s="26" t="s">
        <v>711</v>
      </c>
      <c r="B293" s="26">
        <v>1.14801018</v>
      </c>
      <c r="C293" s="26">
        <v>2.53502509</v>
      </c>
      <c r="E293" s="26">
        <f t="shared" si="4"/>
        <v>-1.38701491</v>
      </c>
      <c r="F293" s="31">
        <v>42950</v>
      </c>
    </row>
    <row r="294" spans="1:6" x14ac:dyDescent="0.3">
      <c r="A294" s="26" t="s">
        <v>712</v>
      </c>
      <c r="B294" s="26">
        <v>1.8043960299999999</v>
      </c>
      <c r="C294" s="26">
        <v>1.85508356</v>
      </c>
      <c r="E294" s="26">
        <f t="shared" si="4"/>
        <v>-5.0687530000000036E-2</v>
      </c>
      <c r="F294" s="31">
        <v>42951</v>
      </c>
    </row>
    <row r="295" spans="1:6" x14ac:dyDescent="0.3">
      <c r="A295" s="26" t="s">
        <v>713</v>
      </c>
      <c r="B295" s="26">
        <v>2.2618966</v>
      </c>
      <c r="C295" s="26">
        <v>2.2266497099999998</v>
      </c>
      <c r="E295" s="26">
        <f t="shared" si="4"/>
        <v>3.5246890000000253E-2</v>
      </c>
      <c r="F295" s="31">
        <v>42952</v>
      </c>
    </row>
    <row r="296" spans="1:6" x14ac:dyDescent="0.3">
      <c r="A296" s="26" t="s">
        <v>714</v>
      </c>
      <c r="B296" s="26">
        <v>2.0961101000000002</v>
      </c>
      <c r="C296" s="26">
        <v>2.8790152899999999</v>
      </c>
      <c r="E296" s="26">
        <f t="shared" si="4"/>
        <v>-0.7829051899999997</v>
      </c>
      <c r="F296" s="31">
        <v>42953</v>
      </c>
    </row>
    <row r="297" spans="1:6" x14ac:dyDescent="0.3">
      <c r="A297" s="26" t="s">
        <v>715</v>
      </c>
      <c r="B297" s="26">
        <v>2.2770064900000002</v>
      </c>
      <c r="C297" s="26">
        <v>2.9150298600000002</v>
      </c>
      <c r="E297" s="26">
        <f t="shared" si="4"/>
        <v>-0.63802336999999998</v>
      </c>
      <c r="F297" s="31">
        <v>42954</v>
      </c>
    </row>
    <row r="298" spans="1:6" x14ac:dyDescent="0.3">
      <c r="A298" s="26" t="s">
        <v>716</v>
      </c>
      <c r="B298" s="26">
        <v>2.1296112800000002</v>
      </c>
      <c r="C298" s="26">
        <v>5.3349053399999997</v>
      </c>
      <c r="E298" s="26">
        <f t="shared" si="4"/>
        <v>-3.2052940599999995</v>
      </c>
      <c r="F298" s="31">
        <v>42955</v>
      </c>
    </row>
    <row r="299" spans="1:6" x14ac:dyDescent="0.3">
      <c r="A299" s="26" t="s">
        <v>717</v>
      </c>
      <c r="B299" s="26">
        <v>0.43900077999999998</v>
      </c>
      <c r="C299" s="26">
        <v>5.0374049799999998</v>
      </c>
      <c r="E299" s="26">
        <f t="shared" si="4"/>
        <v>-4.5984042000000001</v>
      </c>
      <c r="F299" s="31">
        <v>42956</v>
      </c>
    </row>
    <row r="300" spans="1:6" x14ac:dyDescent="0.3">
      <c r="A300" s="26" t="s">
        <v>718</v>
      </c>
      <c r="B300" s="26">
        <v>3.3861311299999999</v>
      </c>
      <c r="C300" s="26">
        <v>4.3300233800000001</v>
      </c>
      <c r="E300" s="26">
        <f t="shared" si="4"/>
        <v>-0.94389225000000021</v>
      </c>
      <c r="F300" s="31">
        <v>42957</v>
      </c>
    </row>
    <row r="301" spans="1:6" x14ac:dyDescent="0.3">
      <c r="A301" s="26" t="s">
        <v>719</v>
      </c>
      <c r="B301" s="26">
        <v>3.7095009299999999</v>
      </c>
      <c r="C301" s="26">
        <v>4.5829385499999997</v>
      </c>
      <c r="E301" s="26">
        <f t="shared" si="4"/>
        <v>-0.8734376199999998</v>
      </c>
      <c r="F301" s="31">
        <v>42958</v>
      </c>
    </row>
    <row r="302" spans="1:6" x14ac:dyDescent="0.3">
      <c r="A302" s="26" t="s">
        <v>720</v>
      </c>
      <c r="B302" s="26">
        <v>4.38729148</v>
      </c>
      <c r="C302" s="26">
        <v>3.5512792000000002</v>
      </c>
      <c r="E302" s="26">
        <f t="shared" si="4"/>
        <v>0.83601227999999983</v>
      </c>
      <c r="F302" s="31">
        <v>42959</v>
      </c>
    </row>
    <row r="303" spans="1:6" x14ac:dyDescent="0.3">
      <c r="A303" s="26" t="s">
        <v>721</v>
      </c>
      <c r="B303" s="26">
        <v>4.5540732300000002</v>
      </c>
      <c r="C303" s="26">
        <v>3.01444219</v>
      </c>
      <c r="E303" s="26">
        <f t="shared" si="4"/>
        <v>1.5396310400000002</v>
      </c>
      <c r="F303" s="31">
        <v>42960</v>
      </c>
    </row>
    <row r="304" spans="1:6" x14ac:dyDescent="0.3">
      <c r="A304" s="26" t="s">
        <v>722</v>
      </c>
      <c r="B304" s="26">
        <v>4.9288454699999997</v>
      </c>
      <c r="C304" s="26">
        <v>2.50087926</v>
      </c>
      <c r="E304" s="26">
        <f t="shared" si="4"/>
        <v>2.4279662099999997</v>
      </c>
      <c r="F304" s="31">
        <v>42961</v>
      </c>
    </row>
    <row r="305" spans="1:6" x14ac:dyDescent="0.3">
      <c r="A305" s="26" t="s">
        <v>723</v>
      </c>
      <c r="B305" s="26">
        <v>5.2301249900000002</v>
      </c>
      <c r="C305" s="26">
        <v>2.15379063</v>
      </c>
      <c r="E305" s="26">
        <f t="shared" si="4"/>
        <v>3.0763343600000002</v>
      </c>
      <c r="F305" s="31">
        <v>42962</v>
      </c>
    </row>
    <row r="306" spans="1:6" x14ac:dyDescent="0.3">
      <c r="A306" s="26" t="s">
        <v>724</v>
      </c>
      <c r="B306" s="26">
        <v>4.7658335200000002</v>
      </c>
      <c r="C306" s="26">
        <v>1.9418109699999999</v>
      </c>
      <c r="E306" s="26">
        <f t="shared" si="4"/>
        <v>2.8240225500000005</v>
      </c>
      <c r="F306" s="31">
        <v>42963</v>
      </c>
    </row>
    <row r="307" spans="1:6" x14ac:dyDescent="0.3">
      <c r="A307" s="26" t="s">
        <v>725</v>
      </c>
      <c r="B307" s="26">
        <v>7.4932188200000001</v>
      </c>
      <c r="C307" s="26">
        <v>2.4729707099999998</v>
      </c>
      <c r="E307" s="26">
        <f t="shared" si="4"/>
        <v>5.0202481100000007</v>
      </c>
      <c r="F307" s="31">
        <v>42964</v>
      </c>
    </row>
    <row r="308" spans="1:6" x14ac:dyDescent="0.3">
      <c r="A308" s="26" t="s">
        <v>726</v>
      </c>
      <c r="B308" s="26">
        <v>8.0858206799999994</v>
      </c>
      <c r="C308" s="26">
        <v>1.0300427999999999</v>
      </c>
      <c r="E308" s="26">
        <f t="shared" si="4"/>
        <v>7.0557778799999991</v>
      </c>
      <c r="F308" s="31">
        <v>42965</v>
      </c>
    </row>
    <row r="309" spans="1:6" x14ac:dyDescent="0.3">
      <c r="A309" s="26" t="s">
        <v>727</v>
      </c>
      <c r="B309" s="26">
        <v>7.8470276600000002</v>
      </c>
      <c r="C309" s="26">
        <v>1.0022110000000001E-2</v>
      </c>
      <c r="E309" s="26">
        <f t="shared" si="4"/>
        <v>7.8370055499999998</v>
      </c>
      <c r="F309" s="31">
        <v>42966</v>
      </c>
    </row>
    <row r="310" spans="1:6" x14ac:dyDescent="0.3">
      <c r="A310" s="26" t="s">
        <v>728</v>
      </c>
      <c r="B310" s="26">
        <v>5.5199916199999999</v>
      </c>
      <c r="C310" s="26">
        <v>0.94163330000000001</v>
      </c>
      <c r="E310" s="26">
        <f t="shared" si="4"/>
        <v>4.5783583199999995</v>
      </c>
      <c r="F310" s="31">
        <v>42967</v>
      </c>
    </row>
    <row r="311" spans="1:6" x14ac:dyDescent="0.3">
      <c r="A311" s="26" t="s">
        <v>729</v>
      </c>
      <c r="B311" s="26">
        <v>4.99621051</v>
      </c>
      <c r="C311" s="26">
        <v>1.31426051</v>
      </c>
      <c r="E311" s="26">
        <f t="shared" si="4"/>
        <v>3.6819500000000001</v>
      </c>
      <c r="F311" s="31">
        <v>42968</v>
      </c>
    </row>
    <row r="312" spans="1:6" x14ac:dyDescent="0.3">
      <c r="A312" s="26" t="s">
        <v>730</v>
      </c>
      <c r="B312" s="26">
        <v>4.7183850700000001</v>
      </c>
      <c r="C312" s="26">
        <v>1.6539830499999999</v>
      </c>
      <c r="E312" s="26">
        <f t="shared" si="4"/>
        <v>3.0644020200000002</v>
      </c>
      <c r="F312" s="31">
        <v>42969</v>
      </c>
    </row>
    <row r="313" spans="1:6" x14ac:dyDescent="0.3">
      <c r="A313" s="26" t="s">
        <v>731</v>
      </c>
      <c r="B313" s="26">
        <v>5.16990047</v>
      </c>
      <c r="C313" s="26">
        <v>0.66003769000000001</v>
      </c>
      <c r="E313" s="26">
        <f t="shared" si="4"/>
        <v>4.5098627799999997</v>
      </c>
      <c r="F313" s="31">
        <v>42970</v>
      </c>
    </row>
    <row r="314" spans="1:6" x14ac:dyDescent="0.3">
      <c r="A314" s="26" t="s">
        <v>732</v>
      </c>
      <c r="B314" s="26">
        <v>5.3728919700000004</v>
      </c>
      <c r="C314" s="26">
        <v>0.42798388999999998</v>
      </c>
      <c r="E314" s="26">
        <f t="shared" si="4"/>
        <v>4.9449080800000003</v>
      </c>
      <c r="F314" s="31">
        <v>42971</v>
      </c>
    </row>
    <row r="315" spans="1:6" x14ac:dyDescent="0.3">
      <c r="A315" s="26" t="s">
        <v>733</v>
      </c>
      <c r="B315" s="26">
        <v>5.4226659799999997</v>
      </c>
      <c r="C315" s="26">
        <v>0.55585633999999995</v>
      </c>
      <c r="E315" s="26">
        <f t="shared" si="4"/>
        <v>4.8668096399999996</v>
      </c>
      <c r="F315" s="31">
        <v>42972</v>
      </c>
    </row>
    <row r="316" spans="1:6" x14ac:dyDescent="0.3">
      <c r="A316" s="26" t="s">
        <v>734</v>
      </c>
      <c r="B316" s="26">
        <v>5.91312982</v>
      </c>
      <c r="C316" s="26">
        <v>2.4602373700000002</v>
      </c>
      <c r="E316" s="26">
        <f t="shared" si="4"/>
        <v>3.4528924499999998</v>
      </c>
      <c r="F316" s="31">
        <v>42973</v>
      </c>
    </row>
    <row r="317" spans="1:6" x14ac:dyDescent="0.3">
      <c r="A317" s="26" t="s">
        <v>735</v>
      </c>
      <c r="B317" s="26">
        <v>5.1646548699999997</v>
      </c>
      <c r="C317" s="26">
        <v>1.36306481</v>
      </c>
      <c r="E317" s="26">
        <f t="shared" si="4"/>
        <v>3.8015900599999997</v>
      </c>
      <c r="F317" s="31">
        <v>42974</v>
      </c>
    </row>
    <row r="318" spans="1:6" x14ac:dyDescent="0.3">
      <c r="A318" s="26" t="s">
        <v>736</v>
      </c>
      <c r="B318" s="26">
        <v>4.3384645300000004</v>
      </c>
      <c r="C318" s="26">
        <v>0.61355729999999997</v>
      </c>
      <c r="E318" s="26">
        <f t="shared" si="4"/>
        <v>3.7249072300000003</v>
      </c>
      <c r="F318" s="31">
        <v>42975</v>
      </c>
    </row>
    <row r="319" spans="1:6" x14ac:dyDescent="0.3">
      <c r="A319" s="26" t="s">
        <v>737</v>
      </c>
      <c r="B319" s="26">
        <v>4.1589942400000002</v>
      </c>
      <c r="C319" s="26">
        <v>0.39568567999999998</v>
      </c>
      <c r="E319" s="26">
        <f t="shared" si="4"/>
        <v>3.76330856</v>
      </c>
      <c r="F319" s="31">
        <v>42976</v>
      </c>
    </row>
    <row r="320" spans="1:6" x14ac:dyDescent="0.3">
      <c r="A320" s="26" t="s">
        <v>738</v>
      </c>
      <c r="B320" s="26">
        <v>2.6112744600000002</v>
      </c>
      <c r="C320" s="26">
        <v>7.7099349999999997E-2</v>
      </c>
      <c r="E320" s="26">
        <f t="shared" si="4"/>
        <v>2.5341751100000001</v>
      </c>
      <c r="F320" s="31">
        <v>42977</v>
      </c>
    </row>
    <row r="321" spans="1:6" x14ac:dyDescent="0.3">
      <c r="A321" s="26" t="s">
        <v>739</v>
      </c>
      <c r="B321" s="26">
        <v>3.2912748299999999</v>
      </c>
      <c r="C321" s="26">
        <v>0.88224206999999999</v>
      </c>
      <c r="E321" s="26">
        <f t="shared" si="4"/>
        <v>2.4090327599999997</v>
      </c>
      <c r="F321" s="31">
        <v>42978</v>
      </c>
    </row>
    <row r="322" spans="1:6" x14ac:dyDescent="0.3">
      <c r="A322" s="26" t="s">
        <v>740</v>
      </c>
      <c r="B322" s="26">
        <v>2.5562987800000001</v>
      </c>
      <c r="C322" s="26">
        <v>2.37014886</v>
      </c>
      <c r="E322" s="26">
        <f t="shared" si="4"/>
        <v>0.18614992000000008</v>
      </c>
      <c r="F322" s="31">
        <v>42979</v>
      </c>
    </row>
    <row r="323" spans="1:6" x14ac:dyDescent="0.3">
      <c r="A323" s="26" t="s">
        <v>741</v>
      </c>
      <c r="B323" s="26">
        <v>2.8164792400000001</v>
      </c>
      <c r="C323" s="26">
        <v>4.1059647899999998</v>
      </c>
      <c r="E323" s="26">
        <f t="shared" ref="E323:E356" si="5">B323-C323</f>
        <v>-1.2894855499999998</v>
      </c>
      <c r="F323" s="31">
        <v>42980</v>
      </c>
    </row>
    <row r="324" spans="1:6" x14ac:dyDescent="0.3">
      <c r="A324" s="26" t="s">
        <v>742</v>
      </c>
      <c r="B324" s="26">
        <v>3.53793186</v>
      </c>
      <c r="C324" s="26">
        <v>3.37193583</v>
      </c>
      <c r="E324" s="26">
        <f t="shared" si="5"/>
        <v>0.16599603000000007</v>
      </c>
      <c r="F324" s="31">
        <v>42981</v>
      </c>
    </row>
    <row r="325" spans="1:6" x14ac:dyDescent="0.3">
      <c r="A325" s="26" t="s">
        <v>743</v>
      </c>
      <c r="B325" s="26">
        <v>5.5645522100000004</v>
      </c>
      <c r="C325" s="26">
        <v>2.4278197800000001</v>
      </c>
      <c r="E325" s="26">
        <f t="shared" si="5"/>
        <v>3.1367324300000003</v>
      </c>
      <c r="F325" s="31">
        <v>42982</v>
      </c>
    </row>
    <row r="326" spans="1:6" x14ac:dyDescent="0.3">
      <c r="A326" s="26" t="s">
        <v>744</v>
      </c>
      <c r="B326" s="26">
        <v>6.9079440700000001</v>
      </c>
      <c r="C326" s="26">
        <v>3.3263939599999999</v>
      </c>
      <c r="E326" s="26">
        <f t="shared" si="5"/>
        <v>3.5815501100000002</v>
      </c>
      <c r="F326" s="31">
        <v>42983</v>
      </c>
    </row>
    <row r="327" spans="1:6" x14ac:dyDescent="0.3">
      <c r="A327" s="26" t="s">
        <v>745</v>
      </c>
      <c r="B327" s="26">
        <v>5.7499154600000004</v>
      </c>
      <c r="C327" s="26">
        <v>3.6561140000000001</v>
      </c>
      <c r="E327" s="26">
        <f t="shared" si="5"/>
        <v>2.0938014600000003</v>
      </c>
      <c r="F327" s="31">
        <v>42984</v>
      </c>
    </row>
    <row r="328" spans="1:6" x14ac:dyDescent="0.3">
      <c r="A328" s="26" t="s">
        <v>746</v>
      </c>
      <c r="B328" s="26">
        <v>5.9020977600000002</v>
      </c>
      <c r="C328" s="26">
        <v>3.3939813299999999</v>
      </c>
      <c r="E328" s="26">
        <f t="shared" si="5"/>
        <v>2.5081164300000003</v>
      </c>
      <c r="F328" s="31">
        <v>42985</v>
      </c>
    </row>
    <row r="329" spans="1:6" x14ac:dyDescent="0.3">
      <c r="A329" s="26" t="s">
        <v>747</v>
      </c>
      <c r="B329" s="26">
        <v>6.7783539800000003</v>
      </c>
      <c r="C329" s="26">
        <v>2.0582338600000001</v>
      </c>
      <c r="E329" s="26">
        <f t="shared" si="5"/>
        <v>4.7201201200000007</v>
      </c>
      <c r="F329" s="31">
        <v>42986</v>
      </c>
    </row>
    <row r="330" spans="1:6" x14ac:dyDescent="0.3">
      <c r="A330" s="26" t="s">
        <v>748</v>
      </c>
      <c r="B330" s="26">
        <v>7.28213708</v>
      </c>
      <c r="C330" s="26">
        <v>2.8029919699999999</v>
      </c>
      <c r="E330" s="26">
        <f t="shared" si="5"/>
        <v>4.4791451100000002</v>
      </c>
      <c r="F330" s="31">
        <v>42987</v>
      </c>
    </row>
    <row r="331" spans="1:6" x14ac:dyDescent="0.3">
      <c r="A331" s="26" t="s">
        <v>749</v>
      </c>
      <c r="B331" s="26">
        <v>7.1517123600000003</v>
      </c>
      <c r="C331" s="26">
        <v>2.9361738700000002</v>
      </c>
      <c r="E331" s="26">
        <f t="shared" si="5"/>
        <v>4.2155384900000001</v>
      </c>
      <c r="F331" s="31">
        <v>42988</v>
      </c>
    </row>
    <row r="332" spans="1:6" x14ac:dyDescent="0.3">
      <c r="A332" s="26" t="s">
        <v>750</v>
      </c>
      <c r="B332" s="26">
        <v>7.8201258300000003</v>
      </c>
      <c r="C332" s="26">
        <v>3.1504197</v>
      </c>
      <c r="E332" s="26">
        <f t="shared" si="5"/>
        <v>4.6697061299999998</v>
      </c>
      <c r="F332" s="31">
        <v>42989</v>
      </c>
    </row>
    <row r="333" spans="1:6" x14ac:dyDescent="0.3">
      <c r="A333" s="26" t="s">
        <v>751</v>
      </c>
      <c r="B333" s="26">
        <v>7.9125990499999999</v>
      </c>
      <c r="C333" s="26">
        <v>3.1555430100000001</v>
      </c>
      <c r="E333" s="26">
        <f t="shared" si="5"/>
        <v>4.7570560400000002</v>
      </c>
      <c r="F333" s="31">
        <v>42990</v>
      </c>
    </row>
    <row r="334" spans="1:6" x14ac:dyDescent="0.3">
      <c r="A334" s="26" t="s">
        <v>752</v>
      </c>
      <c r="B334" s="26">
        <v>8.0057456800000004</v>
      </c>
      <c r="C334" s="26">
        <v>1.8119649900000001</v>
      </c>
      <c r="E334" s="26">
        <f t="shared" si="5"/>
        <v>6.1937806900000005</v>
      </c>
      <c r="F334" s="31">
        <v>42991</v>
      </c>
    </row>
    <row r="335" spans="1:6" x14ac:dyDescent="0.3">
      <c r="A335" s="26" t="s">
        <v>753</v>
      </c>
      <c r="B335" s="26">
        <v>9.2032170799999999</v>
      </c>
      <c r="C335" s="26">
        <v>0.28142350999999999</v>
      </c>
      <c r="E335" s="26">
        <f t="shared" si="5"/>
        <v>8.9217935700000002</v>
      </c>
      <c r="F335" s="31">
        <v>42992</v>
      </c>
    </row>
    <row r="336" spans="1:6" x14ac:dyDescent="0.3">
      <c r="A336" s="26" t="s">
        <v>754</v>
      </c>
      <c r="B336" s="26">
        <v>8.6663490500000009</v>
      </c>
      <c r="C336" s="26">
        <v>1.7036303399999999</v>
      </c>
      <c r="E336" s="26">
        <f t="shared" si="5"/>
        <v>6.9627187100000008</v>
      </c>
      <c r="F336" s="31">
        <v>42993</v>
      </c>
    </row>
    <row r="337" spans="1:6" x14ac:dyDescent="0.3">
      <c r="A337" s="26" t="s">
        <v>755</v>
      </c>
      <c r="B337" s="26">
        <v>9.9804336100000004</v>
      </c>
      <c r="C337" s="26">
        <v>2.0112120199999999</v>
      </c>
      <c r="E337" s="26">
        <f t="shared" si="5"/>
        <v>7.9692215900000001</v>
      </c>
      <c r="F337" s="31">
        <v>42994</v>
      </c>
    </row>
    <row r="338" spans="1:6" x14ac:dyDescent="0.3">
      <c r="A338" s="26" t="s">
        <v>756</v>
      </c>
      <c r="B338" s="26">
        <v>9.5529002500000004</v>
      </c>
      <c r="C338" s="26">
        <v>3.43619567</v>
      </c>
      <c r="E338" s="26">
        <f t="shared" si="5"/>
        <v>6.1167045800000004</v>
      </c>
      <c r="F338" s="31">
        <v>42995</v>
      </c>
    </row>
    <row r="339" spans="1:6" x14ac:dyDescent="0.3">
      <c r="A339" s="26" t="s">
        <v>757</v>
      </c>
      <c r="B339" s="26">
        <v>9.1101085299999998</v>
      </c>
      <c r="C339" s="26">
        <v>3.00468863</v>
      </c>
      <c r="E339" s="26">
        <f t="shared" si="5"/>
        <v>6.1054198999999993</v>
      </c>
      <c r="F339" s="31">
        <v>42996</v>
      </c>
    </row>
    <row r="340" spans="1:6" x14ac:dyDescent="0.3">
      <c r="A340" s="26" t="s">
        <v>758</v>
      </c>
      <c r="B340" s="26">
        <v>9.1747989699999994</v>
      </c>
      <c r="C340" s="26">
        <v>3.9207670700000001</v>
      </c>
      <c r="E340" s="26">
        <f t="shared" si="5"/>
        <v>5.2540318999999993</v>
      </c>
      <c r="F340" s="31">
        <v>42997</v>
      </c>
    </row>
    <row r="341" spans="1:6" x14ac:dyDescent="0.3">
      <c r="A341" s="26" t="s">
        <v>759</v>
      </c>
      <c r="B341" s="26">
        <v>9.6679522000000002</v>
      </c>
      <c r="C341" s="26">
        <v>4.3423491399999996</v>
      </c>
      <c r="E341" s="26">
        <f t="shared" si="5"/>
        <v>5.3256030600000006</v>
      </c>
      <c r="F341" s="31">
        <v>42998</v>
      </c>
    </row>
    <row r="342" spans="1:6" x14ac:dyDescent="0.3">
      <c r="A342" s="26" t="s">
        <v>760</v>
      </c>
      <c r="B342" s="26">
        <v>8.8467139100000001</v>
      </c>
      <c r="C342" s="26">
        <v>3.2914854099999999</v>
      </c>
      <c r="E342" s="26">
        <f t="shared" si="5"/>
        <v>5.5552285000000001</v>
      </c>
      <c r="F342" s="31">
        <v>42999</v>
      </c>
    </row>
    <row r="343" spans="1:6" x14ac:dyDescent="0.3">
      <c r="A343" s="26" t="s">
        <v>761</v>
      </c>
      <c r="B343" s="26">
        <v>8.5633729899999995</v>
      </c>
      <c r="C343" s="26">
        <v>3.6163070199999998</v>
      </c>
      <c r="E343" s="26">
        <f t="shared" si="5"/>
        <v>4.9470659699999997</v>
      </c>
      <c r="F343" s="31">
        <v>43000</v>
      </c>
    </row>
    <row r="344" spans="1:6" x14ac:dyDescent="0.3">
      <c r="A344" s="26" t="s">
        <v>762</v>
      </c>
      <c r="B344" s="26">
        <v>9.00004837</v>
      </c>
      <c r="C344" s="26">
        <v>2.3977346900000001</v>
      </c>
      <c r="E344" s="26">
        <f t="shared" si="5"/>
        <v>6.60231368</v>
      </c>
      <c r="F344" s="31">
        <v>43001</v>
      </c>
    </row>
    <row r="345" spans="1:6" x14ac:dyDescent="0.3">
      <c r="A345" s="26" t="s">
        <v>763</v>
      </c>
      <c r="B345" s="26">
        <v>8.5572332600000003</v>
      </c>
      <c r="C345" s="26">
        <v>0.17569304999999999</v>
      </c>
      <c r="E345" s="26">
        <f t="shared" si="5"/>
        <v>8.3815402100000007</v>
      </c>
      <c r="F345" s="31">
        <v>43002</v>
      </c>
    </row>
    <row r="346" spans="1:6" x14ac:dyDescent="0.3">
      <c r="A346" s="26" t="s">
        <v>764</v>
      </c>
      <c r="B346" s="26">
        <v>9.8764773800000007</v>
      </c>
      <c r="C346" s="26">
        <v>9.3321000000000001E-2</v>
      </c>
      <c r="E346" s="26">
        <f t="shared" si="5"/>
        <v>9.7831563800000012</v>
      </c>
      <c r="F346" s="31">
        <v>43003</v>
      </c>
    </row>
    <row r="347" spans="1:6" x14ac:dyDescent="0.3">
      <c r="A347" s="26" t="s">
        <v>765</v>
      </c>
      <c r="B347" s="26">
        <v>11.218349590000001</v>
      </c>
      <c r="C347" s="26">
        <v>0.32167577000000003</v>
      </c>
      <c r="E347" s="26">
        <f t="shared" si="5"/>
        <v>10.89667382</v>
      </c>
      <c r="F347" s="31">
        <v>43004</v>
      </c>
    </row>
    <row r="348" spans="1:6" x14ac:dyDescent="0.3">
      <c r="A348" s="26" t="s">
        <v>766</v>
      </c>
      <c r="B348" s="26">
        <v>10.760896860000001</v>
      </c>
      <c r="C348" s="26">
        <v>1.882501E-2</v>
      </c>
      <c r="E348" s="26">
        <f t="shared" si="5"/>
        <v>10.74207185</v>
      </c>
      <c r="F348" s="31">
        <v>43005</v>
      </c>
    </row>
    <row r="349" spans="1:6" x14ac:dyDescent="0.3">
      <c r="A349" s="26" t="s">
        <v>767</v>
      </c>
      <c r="B349" s="26">
        <v>10.01177466</v>
      </c>
      <c r="C349" s="26">
        <v>0.51078438999999998</v>
      </c>
      <c r="E349" s="26">
        <f t="shared" si="5"/>
        <v>9.5009902700000008</v>
      </c>
      <c r="F349" s="31">
        <v>43006</v>
      </c>
    </row>
    <row r="350" spans="1:6" x14ac:dyDescent="0.3">
      <c r="A350" s="26" t="s">
        <v>768</v>
      </c>
      <c r="B350" s="26">
        <v>10.55366854</v>
      </c>
      <c r="C350" s="26">
        <v>0.45616848999999998</v>
      </c>
      <c r="E350" s="26">
        <f t="shared" si="5"/>
        <v>10.097500050000001</v>
      </c>
      <c r="F350" s="31">
        <v>43007</v>
      </c>
    </row>
    <row r="351" spans="1:6" x14ac:dyDescent="0.3">
      <c r="A351" s="26" t="s">
        <v>769</v>
      </c>
      <c r="B351" s="26">
        <v>8.9862175700000009</v>
      </c>
      <c r="C351" s="26">
        <v>0.47432355999999998</v>
      </c>
      <c r="E351" s="26">
        <f t="shared" si="5"/>
        <v>8.5118940100000007</v>
      </c>
      <c r="F351" s="31">
        <v>43008</v>
      </c>
    </row>
    <row r="352" spans="1:6" x14ac:dyDescent="0.3">
      <c r="A352" s="26" t="s">
        <v>770</v>
      </c>
      <c r="B352" s="26">
        <v>9.6252746400000007</v>
      </c>
      <c r="C352" s="26">
        <v>4.8927529999999997E-2</v>
      </c>
      <c r="E352" s="26">
        <f t="shared" si="5"/>
        <v>9.5763471100000004</v>
      </c>
      <c r="F352" s="31">
        <v>43009</v>
      </c>
    </row>
    <row r="353" spans="1:6" x14ac:dyDescent="0.3">
      <c r="A353" s="26" t="s">
        <v>771</v>
      </c>
      <c r="B353" s="26">
        <v>8.6524324799999999</v>
      </c>
      <c r="C353" s="26">
        <v>0.74227516999999998</v>
      </c>
      <c r="E353" s="26">
        <f t="shared" si="5"/>
        <v>7.9101573099999998</v>
      </c>
      <c r="F353" s="31">
        <v>43010</v>
      </c>
    </row>
    <row r="354" spans="1:6" x14ac:dyDescent="0.3">
      <c r="A354" s="26" t="s">
        <v>772</v>
      </c>
      <c r="B354" s="26">
        <v>8.9172947400000009</v>
      </c>
      <c r="C354" s="26">
        <v>0.69379177999999997</v>
      </c>
      <c r="E354" s="26">
        <f t="shared" si="5"/>
        <v>8.2235029600000011</v>
      </c>
      <c r="F354" s="31">
        <v>43011</v>
      </c>
    </row>
    <row r="355" spans="1:6" x14ac:dyDescent="0.3">
      <c r="A355" s="26" t="s">
        <v>773</v>
      </c>
      <c r="B355" s="26">
        <v>9.2582563899999997</v>
      </c>
      <c r="C355" s="26">
        <v>2.3504557199999998</v>
      </c>
      <c r="E355" s="26">
        <f t="shared" si="5"/>
        <v>6.9078006700000003</v>
      </c>
      <c r="F355" s="31">
        <v>43012</v>
      </c>
    </row>
    <row r="356" spans="1:6" x14ac:dyDescent="0.3">
      <c r="A356" s="26" t="s">
        <v>774</v>
      </c>
      <c r="B356" s="26">
        <v>8.9108690700000004</v>
      </c>
      <c r="C356" s="26">
        <v>1.7248448199999999</v>
      </c>
      <c r="E356" s="26">
        <f t="shared" si="5"/>
        <v>7.1860242500000009</v>
      </c>
      <c r="F356" s="31">
        <v>43013</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23221F-D4FC-473F-9DDF-AD4BE7204F3D}">
  <sheetPr codeName="Sheet5"/>
  <dimension ref="A1:F356"/>
  <sheetViews>
    <sheetView topLeftCell="A313" workbookViewId="0">
      <selection activeCell="K319" sqref="K319"/>
    </sheetView>
  </sheetViews>
  <sheetFormatPr defaultRowHeight="14.4" x14ac:dyDescent="0.3"/>
  <cols>
    <col min="1" max="1" width="28.21875" style="29" bestFit="1" customWidth="1"/>
    <col min="4" max="5" width="8.88671875" style="29"/>
    <col min="6" max="6" width="9.88671875" style="29" bestFit="1" customWidth="1"/>
    <col min="7" max="16384" width="8.88671875" style="29"/>
  </cols>
  <sheetData>
    <row r="1" spans="1:6" x14ac:dyDescent="0.3">
      <c r="E1" s="29" t="s">
        <v>776</v>
      </c>
      <c r="F1" s="29" t="s">
        <v>775</v>
      </c>
    </row>
    <row r="2" spans="1:6" x14ac:dyDescent="0.3">
      <c r="A2" s="29" t="s">
        <v>420</v>
      </c>
      <c r="B2">
        <v>1.6957705999999999</v>
      </c>
      <c r="C2">
        <v>16.51807341</v>
      </c>
      <c r="E2" s="29">
        <f>B2-C2</f>
        <v>-14.82230281</v>
      </c>
      <c r="F2" s="30">
        <v>42659</v>
      </c>
    </row>
    <row r="3" spans="1:6" x14ac:dyDescent="0.3">
      <c r="A3" s="29" t="s">
        <v>421</v>
      </c>
      <c r="B3">
        <v>1.4085861</v>
      </c>
      <c r="C3">
        <v>17.436653039999999</v>
      </c>
      <c r="E3" s="29">
        <f t="shared" ref="E3:E66" si="0">B3-C3</f>
        <v>-16.028066939999999</v>
      </c>
      <c r="F3" s="30">
        <v>42660</v>
      </c>
    </row>
    <row r="4" spans="1:6" x14ac:dyDescent="0.3">
      <c r="A4" s="29" t="s">
        <v>422</v>
      </c>
      <c r="B4">
        <v>0.74219029999999997</v>
      </c>
      <c r="C4">
        <v>16.737535520000002</v>
      </c>
      <c r="E4" s="29">
        <f t="shared" si="0"/>
        <v>-15.995345220000001</v>
      </c>
      <c r="F4" s="30">
        <v>42661</v>
      </c>
    </row>
    <row r="5" spans="1:6" x14ac:dyDescent="0.3">
      <c r="A5" s="29" t="s">
        <v>423</v>
      </c>
      <c r="B5">
        <v>2.4719720999999999</v>
      </c>
      <c r="C5">
        <v>15.870540569999999</v>
      </c>
      <c r="E5" s="29">
        <f t="shared" si="0"/>
        <v>-13.398568469999999</v>
      </c>
      <c r="F5" s="30">
        <v>42662</v>
      </c>
    </row>
    <row r="6" spans="1:6" x14ac:dyDescent="0.3">
      <c r="A6" s="29" t="s">
        <v>424</v>
      </c>
      <c r="B6">
        <v>0.6313048</v>
      </c>
      <c r="C6">
        <v>15.18349484</v>
      </c>
      <c r="E6" s="29">
        <f t="shared" si="0"/>
        <v>-14.552190039999999</v>
      </c>
      <c r="F6" s="30">
        <v>42663</v>
      </c>
    </row>
    <row r="7" spans="1:6" x14ac:dyDescent="0.3">
      <c r="A7" s="29" t="s">
        <v>425</v>
      </c>
      <c r="B7">
        <v>0.77385709999999996</v>
      </c>
      <c r="C7">
        <v>14.74257626</v>
      </c>
      <c r="E7" s="29">
        <f t="shared" si="0"/>
        <v>-13.968719159999999</v>
      </c>
      <c r="F7" s="30">
        <v>42664</v>
      </c>
    </row>
    <row r="8" spans="1:6" x14ac:dyDescent="0.3">
      <c r="A8" s="29" t="s">
        <v>426</v>
      </c>
      <c r="B8">
        <v>1.3073360999999999</v>
      </c>
      <c r="C8">
        <v>13.89857196</v>
      </c>
      <c r="E8" s="29">
        <f t="shared" si="0"/>
        <v>-12.591235859999999</v>
      </c>
      <c r="F8" s="30">
        <v>42665</v>
      </c>
    </row>
    <row r="9" spans="1:6" x14ac:dyDescent="0.3">
      <c r="A9" s="29" t="s">
        <v>427</v>
      </c>
      <c r="B9">
        <v>1.9661341000000001</v>
      </c>
      <c r="C9">
        <v>13.74813934</v>
      </c>
      <c r="E9" s="29">
        <f t="shared" si="0"/>
        <v>-11.78200524</v>
      </c>
      <c r="F9" s="30">
        <v>42666</v>
      </c>
    </row>
    <row r="10" spans="1:6" x14ac:dyDescent="0.3">
      <c r="A10" s="29" t="s">
        <v>428</v>
      </c>
      <c r="B10">
        <v>2.6669877999999998</v>
      </c>
      <c r="C10">
        <v>14.213999919999999</v>
      </c>
      <c r="E10" s="29">
        <f t="shared" si="0"/>
        <v>-11.54701212</v>
      </c>
      <c r="F10" s="30">
        <v>42667</v>
      </c>
    </row>
    <row r="11" spans="1:6" x14ac:dyDescent="0.3">
      <c r="A11" s="29" t="s">
        <v>429</v>
      </c>
      <c r="B11">
        <v>3.1307477000000001</v>
      </c>
      <c r="C11">
        <v>14.31526906</v>
      </c>
      <c r="E11" s="29">
        <f t="shared" si="0"/>
        <v>-11.18452136</v>
      </c>
      <c r="F11" s="30">
        <v>42668</v>
      </c>
    </row>
    <row r="12" spans="1:6" x14ac:dyDescent="0.3">
      <c r="A12" s="29" t="s">
        <v>430</v>
      </c>
      <c r="B12">
        <v>3.3151809000000001</v>
      </c>
      <c r="C12">
        <v>14.664761009999999</v>
      </c>
      <c r="E12" s="29">
        <f t="shared" si="0"/>
        <v>-11.34958011</v>
      </c>
      <c r="F12" s="30">
        <v>42669</v>
      </c>
    </row>
    <row r="13" spans="1:6" x14ac:dyDescent="0.3">
      <c r="A13" s="29" t="s">
        <v>431</v>
      </c>
      <c r="B13">
        <v>2.7733892999999998</v>
      </c>
      <c r="C13">
        <v>14.65811339</v>
      </c>
      <c r="E13" s="29">
        <f t="shared" si="0"/>
        <v>-11.884724090000001</v>
      </c>
      <c r="F13" s="30">
        <v>42670</v>
      </c>
    </row>
    <row r="14" spans="1:6" x14ac:dyDescent="0.3">
      <c r="A14" s="29" t="s">
        <v>432</v>
      </c>
      <c r="B14">
        <v>3.6283793000000002</v>
      </c>
      <c r="C14">
        <v>13.272591820000001</v>
      </c>
      <c r="E14" s="29">
        <f t="shared" si="0"/>
        <v>-9.64421252</v>
      </c>
      <c r="F14" s="30">
        <v>42671</v>
      </c>
    </row>
    <row r="15" spans="1:6" x14ac:dyDescent="0.3">
      <c r="A15" s="29" t="s">
        <v>433</v>
      </c>
      <c r="B15">
        <v>3.6508340000000001</v>
      </c>
      <c r="C15">
        <v>12.734383080000001</v>
      </c>
      <c r="E15" s="29">
        <f t="shared" si="0"/>
        <v>-9.0835490800000009</v>
      </c>
      <c r="F15" s="30">
        <v>42672</v>
      </c>
    </row>
    <row r="16" spans="1:6" x14ac:dyDescent="0.3">
      <c r="A16" s="29" t="s">
        <v>434</v>
      </c>
      <c r="B16">
        <v>4.8406675000000003</v>
      </c>
      <c r="C16">
        <v>13.79802714</v>
      </c>
      <c r="E16" s="29">
        <f t="shared" si="0"/>
        <v>-8.95735964</v>
      </c>
      <c r="F16" s="30">
        <v>42673</v>
      </c>
    </row>
    <row r="17" spans="1:6" x14ac:dyDescent="0.3">
      <c r="A17" s="29" t="s">
        <v>435</v>
      </c>
      <c r="B17">
        <v>6.6731794999999998</v>
      </c>
      <c r="C17">
        <v>14.66060197</v>
      </c>
      <c r="E17" s="29">
        <f t="shared" si="0"/>
        <v>-7.9874224700000003</v>
      </c>
      <c r="F17" s="30">
        <v>42674</v>
      </c>
    </row>
    <row r="18" spans="1:6" x14ac:dyDescent="0.3">
      <c r="A18" s="29" t="s">
        <v>436</v>
      </c>
      <c r="B18">
        <v>5.6819261000000001</v>
      </c>
      <c r="C18">
        <v>14.445345659999999</v>
      </c>
      <c r="E18" s="29">
        <f t="shared" si="0"/>
        <v>-8.7634195599999991</v>
      </c>
      <c r="F18" s="30">
        <v>42675</v>
      </c>
    </row>
    <row r="19" spans="1:6" x14ac:dyDescent="0.3">
      <c r="A19" s="29" t="s">
        <v>437</v>
      </c>
      <c r="B19">
        <v>6.1097985000000001</v>
      </c>
      <c r="C19">
        <v>14.577410260000001</v>
      </c>
      <c r="E19" s="29">
        <f t="shared" si="0"/>
        <v>-8.4676117600000005</v>
      </c>
      <c r="F19" s="30">
        <v>42676</v>
      </c>
    </row>
    <row r="20" spans="1:6" x14ac:dyDescent="0.3">
      <c r="A20" s="29" t="s">
        <v>438</v>
      </c>
      <c r="B20">
        <v>7.6059909000000001</v>
      </c>
      <c r="C20">
        <v>14.23471968</v>
      </c>
      <c r="E20" s="29">
        <f t="shared" si="0"/>
        <v>-6.6287287799999994</v>
      </c>
      <c r="F20" s="30">
        <v>42677</v>
      </c>
    </row>
    <row r="21" spans="1:6" x14ac:dyDescent="0.3">
      <c r="A21" s="29" t="s">
        <v>439</v>
      </c>
      <c r="B21">
        <v>6.6517245999999997</v>
      </c>
      <c r="C21">
        <v>12.0512107</v>
      </c>
      <c r="E21" s="29">
        <f t="shared" si="0"/>
        <v>-5.3994861000000007</v>
      </c>
      <c r="F21" s="30">
        <v>42678</v>
      </c>
    </row>
    <row r="22" spans="1:6" x14ac:dyDescent="0.3">
      <c r="A22" s="29" t="s">
        <v>440</v>
      </c>
      <c r="B22">
        <v>8.6363239000000007</v>
      </c>
      <c r="C22">
        <v>9.4368678999999993</v>
      </c>
      <c r="E22" s="29">
        <f t="shared" si="0"/>
        <v>-0.80054399999999859</v>
      </c>
      <c r="F22" s="30">
        <v>42679</v>
      </c>
    </row>
    <row r="23" spans="1:6" x14ac:dyDescent="0.3">
      <c r="A23" s="29" t="s">
        <v>441</v>
      </c>
      <c r="B23">
        <v>8.9191158999999995</v>
      </c>
      <c r="C23">
        <v>10.859137459999999</v>
      </c>
      <c r="E23" s="29">
        <f t="shared" si="0"/>
        <v>-1.9400215599999999</v>
      </c>
      <c r="F23" s="30">
        <v>42680</v>
      </c>
    </row>
    <row r="24" spans="1:6" x14ac:dyDescent="0.3">
      <c r="A24" s="29" t="s">
        <v>442</v>
      </c>
      <c r="B24">
        <v>8.2374071999999998</v>
      </c>
      <c r="C24">
        <v>10.447179889999999</v>
      </c>
      <c r="E24" s="29">
        <f t="shared" si="0"/>
        <v>-2.2097726899999994</v>
      </c>
      <c r="F24" s="30">
        <v>42681</v>
      </c>
    </row>
    <row r="25" spans="1:6" x14ac:dyDescent="0.3">
      <c r="A25" s="29" t="s">
        <v>443</v>
      </c>
      <c r="B25">
        <v>7.3070170000000001</v>
      </c>
      <c r="C25">
        <v>10.79582997</v>
      </c>
      <c r="E25" s="29">
        <f t="shared" si="0"/>
        <v>-3.4888129699999997</v>
      </c>
      <c r="F25" s="30">
        <v>42682</v>
      </c>
    </row>
    <row r="26" spans="1:6" x14ac:dyDescent="0.3">
      <c r="A26" s="29" t="s">
        <v>444</v>
      </c>
      <c r="B26">
        <v>7.7368591999999996</v>
      </c>
      <c r="C26">
        <v>10.231471259999999</v>
      </c>
      <c r="E26" s="29">
        <f t="shared" si="0"/>
        <v>-2.4946120599999997</v>
      </c>
      <c r="F26" s="30">
        <v>42683</v>
      </c>
    </row>
    <row r="27" spans="1:6" x14ac:dyDescent="0.3">
      <c r="A27" s="29" t="s">
        <v>445</v>
      </c>
      <c r="B27">
        <v>6.5951693999999996</v>
      </c>
      <c r="C27">
        <v>8.8584538100000003</v>
      </c>
      <c r="E27" s="29">
        <f t="shared" si="0"/>
        <v>-2.2632844100000007</v>
      </c>
      <c r="F27" s="30">
        <v>42684</v>
      </c>
    </row>
    <row r="28" spans="1:6" x14ac:dyDescent="0.3">
      <c r="A28" s="29" t="s">
        <v>446</v>
      </c>
      <c r="B28">
        <v>8.4604719999999993</v>
      </c>
      <c r="C28">
        <v>8.7194807500000007</v>
      </c>
      <c r="E28" s="29">
        <f t="shared" si="0"/>
        <v>-0.25900875000000134</v>
      </c>
      <c r="F28" s="30">
        <v>42685</v>
      </c>
    </row>
    <row r="29" spans="1:6" x14ac:dyDescent="0.3">
      <c r="A29" s="29" t="s">
        <v>447</v>
      </c>
      <c r="B29">
        <v>9.6300506000000006</v>
      </c>
      <c r="C29">
        <v>8.9747804500000008</v>
      </c>
      <c r="E29" s="29">
        <f t="shared" si="0"/>
        <v>0.65527014999999977</v>
      </c>
      <c r="F29" s="30">
        <v>42686</v>
      </c>
    </row>
    <row r="30" spans="1:6" x14ac:dyDescent="0.3">
      <c r="A30" s="29" t="s">
        <v>448</v>
      </c>
      <c r="B30">
        <v>9.6954189</v>
      </c>
      <c r="C30">
        <v>8.4854185300000005</v>
      </c>
      <c r="E30" s="29">
        <f t="shared" si="0"/>
        <v>1.2100003699999995</v>
      </c>
      <c r="F30" s="30">
        <v>42687</v>
      </c>
    </row>
    <row r="31" spans="1:6" x14ac:dyDescent="0.3">
      <c r="A31" s="29" t="s">
        <v>449</v>
      </c>
      <c r="B31">
        <v>8.7803360999999995</v>
      </c>
      <c r="C31">
        <v>7.20228541</v>
      </c>
      <c r="E31" s="29">
        <f t="shared" si="0"/>
        <v>1.5780506899999995</v>
      </c>
      <c r="F31" s="30">
        <v>42688</v>
      </c>
    </row>
    <row r="32" spans="1:6" x14ac:dyDescent="0.3">
      <c r="A32" s="29" t="s">
        <v>450</v>
      </c>
      <c r="B32">
        <v>6.9223841000000004</v>
      </c>
      <c r="C32">
        <v>6.4648893899999997</v>
      </c>
      <c r="E32" s="29">
        <f t="shared" si="0"/>
        <v>0.45749471000000064</v>
      </c>
      <c r="F32" s="30">
        <v>42689</v>
      </c>
    </row>
    <row r="33" spans="1:6" x14ac:dyDescent="0.3">
      <c r="A33" s="29" t="s">
        <v>451</v>
      </c>
      <c r="B33">
        <v>6.0315314999999998</v>
      </c>
      <c r="C33">
        <v>7.3750904200000003</v>
      </c>
      <c r="E33" s="29">
        <f t="shared" si="0"/>
        <v>-1.3435589200000004</v>
      </c>
      <c r="F33" s="30">
        <v>42690</v>
      </c>
    </row>
    <row r="34" spans="1:6" x14ac:dyDescent="0.3">
      <c r="A34" s="29" t="s">
        <v>452</v>
      </c>
      <c r="B34">
        <v>7.4490156000000001</v>
      </c>
      <c r="C34">
        <v>7.3971020699999999</v>
      </c>
      <c r="E34" s="29">
        <f t="shared" si="0"/>
        <v>5.1913530000000208E-2</v>
      </c>
      <c r="F34" s="30">
        <v>42691</v>
      </c>
    </row>
    <row r="35" spans="1:6" x14ac:dyDescent="0.3">
      <c r="A35" s="29" t="s">
        <v>453</v>
      </c>
      <c r="B35">
        <v>7.8866563999999997</v>
      </c>
      <c r="C35">
        <v>7.9426672199999997</v>
      </c>
      <c r="E35" s="29">
        <f t="shared" si="0"/>
        <v>-5.6010820000000017E-2</v>
      </c>
      <c r="F35" s="30">
        <v>42692</v>
      </c>
    </row>
    <row r="36" spans="1:6" x14ac:dyDescent="0.3">
      <c r="A36" s="29" t="s">
        <v>454</v>
      </c>
      <c r="B36">
        <v>8.6051663000000005</v>
      </c>
      <c r="C36">
        <v>8.6252659600000001</v>
      </c>
      <c r="E36" s="29">
        <f t="shared" si="0"/>
        <v>-2.0099659999999631E-2</v>
      </c>
      <c r="F36" s="30">
        <v>42693</v>
      </c>
    </row>
    <row r="37" spans="1:6" x14ac:dyDescent="0.3">
      <c r="A37" s="29" t="s">
        <v>455</v>
      </c>
      <c r="B37">
        <v>9.0023029000000001</v>
      </c>
      <c r="C37">
        <v>8.3965662999999999</v>
      </c>
      <c r="E37" s="29">
        <f t="shared" si="0"/>
        <v>0.60573660000000018</v>
      </c>
      <c r="F37" s="30">
        <v>42694</v>
      </c>
    </row>
    <row r="38" spans="1:6" x14ac:dyDescent="0.3">
      <c r="A38" s="29" t="s">
        <v>456</v>
      </c>
      <c r="B38">
        <v>9.5648628000000002</v>
      </c>
      <c r="C38">
        <v>8.2337620000000005</v>
      </c>
      <c r="E38" s="29">
        <f t="shared" si="0"/>
        <v>1.3311007999999998</v>
      </c>
      <c r="F38" s="30">
        <v>42695</v>
      </c>
    </row>
    <row r="39" spans="1:6" x14ac:dyDescent="0.3">
      <c r="A39" s="29" t="s">
        <v>457</v>
      </c>
      <c r="B39">
        <v>10.5405712</v>
      </c>
      <c r="C39">
        <v>7.3992793499999996</v>
      </c>
      <c r="E39" s="29">
        <f t="shared" si="0"/>
        <v>3.1412918500000009</v>
      </c>
      <c r="F39" s="30">
        <v>42696</v>
      </c>
    </row>
    <row r="40" spans="1:6" x14ac:dyDescent="0.3">
      <c r="A40" s="29" t="s">
        <v>458</v>
      </c>
      <c r="B40">
        <v>11.590427399999999</v>
      </c>
      <c r="C40">
        <v>7.7005899400000004</v>
      </c>
      <c r="E40" s="29">
        <f t="shared" si="0"/>
        <v>3.889837459999999</v>
      </c>
      <c r="F40" s="30">
        <v>42697</v>
      </c>
    </row>
    <row r="41" spans="1:6" x14ac:dyDescent="0.3">
      <c r="A41" s="29" t="s">
        <v>459</v>
      </c>
      <c r="B41">
        <v>11.982642999999999</v>
      </c>
      <c r="C41">
        <v>9.0580501299999998</v>
      </c>
      <c r="E41" s="29">
        <f t="shared" si="0"/>
        <v>2.9245928699999997</v>
      </c>
      <c r="F41" s="30">
        <v>42698</v>
      </c>
    </row>
    <row r="42" spans="1:6" x14ac:dyDescent="0.3">
      <c r="A42" s="29" t="s">
        <v>460</v>
      </c>
      <c r="B42">
        <v>14.570159800000001</v>
      </c>
      <c r="C42">
        <v>9.8696052200000004</v>
      </c>
      <c r="E42" s="29">
        <f t="shared" si="0"/>
        <v>4.7005545800000004</v>
      </c>
      <c r="F42" s="30">
        <v>42699</v>
      </c>
    </row>
    <row r="43" spans="1:6" x14ac:dyDescent="0.3">
      <c r="A43" s="29" t="s">
        <v>461</v>
      </c>
      <c r="B43">
        <v>14.675637800000001</v>
      </c>
      <c r="C43">
        <v>11.952877279999999</v>
      </c>
      <c r="E43" s="29">
        <f t="shared" si="0"/>
        <v>2.7227605200000013</v>
      </c>
      <c r="F43" s="30">
        <v>42700</v>
      </c>
    </row>
    <row r="44" spans="1:6" x14ac:dyDescent="0.3">
      <c r="A44" s="29" t="s">
        <v>462</v>
      </c>
      <c r="B44">
        <v>14.5858746</v>
      </c>
      <c r="C44">
        <v>12.66412607</v>
      </c>
      <c r="E44" s="29">
        <f t="shared" si="0"/>
        <v>1.9217485300000003</v>
      </c>
      <c r="F44" s="30">
        <v>42701</v>
      </c>
    </row>
    <row r="45" spans="1:6" x14ac:dyDescent="0.3">
      <c r="A45" s="29" t="s">
        <v>463</v>
      </c>
      <c r="B45">
        <v>14.2791873</v>
      </c>
      <c r="C45">
        <v>13.806453940000001</v>
      </c>
      <c r="E45" s="29">
        <f t="shared" si="0"/>
        <v>0.47273335999999944</v>
      </c>
      <c r="F45" s="30">
        <v>42702</v>
      </c>
    </row>
    <row r="46" spans="1:6" x14ac:dyDescent="0.3">
      <c r="A46" s="29" t="s">
        <v>464</v>
      </c>
      <c r="B46">
        <v>14.717107199999999</v>
      </c>
      <c r="C46">
        <v>14.76633296</v>
      </c>
      <c r="E46" s="29">
        <f t="shared" si="0"/>
        <v>-4.9225760000000562E-2</v>
      </c>
      <c r="F46" s="30">
        <v>42703</v>
      </c>
    </row>
    <row r="47" spans="1:6" x14ac:dyDescent="0.3">
      <c r="A47" s="29" t="s">
        <v>465</v>
      </c>
      <c r="B47">
        <v>15.119353800000001</v>
      </c>
      <c r="C47">
        <v>15.082136589999999</v>
      </c>
      <c r="E47" s="29">
        <f t="shared" si="0"/>
        <v>3.7217210000001444E-2</v>
      </c>
      <c r="F47" s="30">
        <v>42704</v>
      </c>
    </row>
    <row r="48" spans="1:6" x14ac:dyDescent="0.3">
      <c r="A48" s="29" t="s">
        <v>466</v>
      </c>
      <c r="B48">
        <v>14.288809499999999</v>
      </c>
      <c r="C48">
        <v>16.030113</v>
      </c>
      <c r="E48" s="29">
        <f t="shared" si="0"/>
        <v>-1.7413035000000008</v>
      </c>
      <c r="F48" s="30">
        <v>42705</v>
      </c>
    </row>
    <row r="49" spans="1:6" x14ac:dyDescent="0.3">
      <c r="A49" s="29" t="s">
        <v>467</v>
      </c>
      <c r="B49">
        <v>13.387680599999999</v>
      </c>
      <c r="C49">
        <v>14.688367680000001</v>
      </c>
      <c r="E49" s="29">
        <f t="shared" si="0"/>
        <v>-1.3006870800000012</v>
      </c>
      <c r="F49" s="30">
        <v>42706</v>
      </c>
    </row>
    <row r="50" spans="1:6" x14ac:dyDescent="0.3">
      <c r="A50" s="29" t="s">
        <v>468</v>
      </c>
      <c r="B50">
        <v>13.552926100000001</v>
      </c>
      <c r="C50">
        <v>14.562375429999999</v>
      </c>
      <c r="E50" s="29">
        <f t="shared" si="0"/>
        <v>-1.0094493299999989</v>
      </c>
      <c r="F50" s="30">
        <v>42707</v>
      </c>
    </row>
    <row r="51" spans="1:6" x14ac:dyDescent="0.3">
      <c r="A51" s="29" t="s">
        <v>469</v>
      </c>
      <c r="B51">
        <v>16.159207200000001</v>
      </c>
      <c r="C51">
        <v>15.33328367</v>
      </c>
      <c r="E51" s="29">
        <f t="shared" si="0"/>
        <v>0.82592353000000074</v>
      </c>
      <c r="F51" s="30">
        <v>42708</v>
      </c>
    </row>
    <row r="52" spans="1:6" x14ac:dyDescent="0.3">
      <c r="A52" s="29" t="s">
        <v>470</v>
      </c>
      <c r="B52">
        <v>16.283053899999999</v>
      </c>
      <c r="C52">
        <v>15.27893012</v>
      </c>
      <c r="E52" s="29">
        <f t="shared" si="0"/>
        <v>1.0041237799999987</v>
      </c>
      <c r="F52" s="30">
        <v>42709</v>
      </c>
    </row>
    <row r="53" spans="1:6" x14ac:dyDescent="0.3">
      <c r="A53" s="29" t="s">
        <v>471</v>
      </c>
      <c r="B53">
        <v>17.076275599999999</v>
      </c>
      <c r="C53">
        <v>13.99647669</v>
      </c>
      <c r="E53" s="29">
        <f t="shared" si="0"/>
        <v>3.0797989099999992</v>
      </c>
      <c r="F53" s="30">
        <v>42710</v>
      </c>
    </row>
    <row r="54" spans="1:6" x14ac:dyDescent="0.3">
      <c r="A54" s="29" t="s">
        <v>472</v>
      </c>
      <c r="B54">
        <v>17.306956400000001</v>
      </c>
      <c r="C54">
        <v>15.14698589</v>
      </c>
      <c r="E54" s="29">
        <f t="shared" si="0"/>
        <v>2.1599705100000008</v>
      </c>
      <c r="F54" s="30">
        <v>42711</v>
      </c>
    </row>
    <row r="55" spans="1:6" x14ac:dyDescent="0.3">
      <c r="A55" s="29" t="s">
        <v>473</v>
      </c>
      <c r="B55">
        <v>17.145092399999999</v>
      </c>
      <c r="C55">
        <v>14.960847680000001</v>
      </c>
      <c r="E55" s="29">
        <f t="shared" si="0"/>
        <v>2.1842447199999988</v>
      </c>
      <c r="F55" s="30">
        <v>42712</v>
      </c>
    </row>
    <row r="56" spans="1:6" x14ac:dyDescent="0.3">
      <c r="A56" s="29" t="s">
        <v>474</v>
      </c>
      <c r="B56">
        <v>17.875056099999998</v>
      </c>
      <c r="C56">
        <v>16.141118240000001</v>
      </c>
      <c r="E56" s="29">
        <f t="shared" si="0"/>
        <v>1.7339378599999975</v>
      </c>
      <c r="F56" s="30">
        <v>42713</v>
      </c>
    </row>
    <row r="57" spans="1:6" x14ac:dyDescent="0.3">
      <c r="A57" s="29" t="s">
        <v>475</v>
      </c>
      <c r="B57">
        <v>15.9348391</v>
      </c>
      <c r="C57">
        <v>13.991539469999999</v>
      </c>
      <c r="E57" s="29">
        <f t="shared" si="0"/>
        <v>1.9432996300000003</v>
      </c>
      <c r="F57" s="30">
        <v>42714</v>
      </c>
    </row>
    <row r="58" spans="1:6" x14ac:dyDescent="0.3">
      <c r="A58" s="29" t="s">
        <v>476</v>
      </c>
      <c r="B58">
        <v>15.541990999999999</v>
      </c>
      <c r="C58">
        <v>14.41011439</v>
      </c>
      <c r="E58" s="29">
        <f t="shared" si="0"/>
        <v>1.1318766099999991</v>
      </c>
      <c r="F58" s="30">
        <v>42715</v>
      </c>
    </row>
    <row r="59" spans="1:6" x14ac:dyDescent="0.3">
      <c r="A59" s="29" t="s">
        <v>477</v>
      </c>
      <c r="B59">
        <v>15.7457253</v>
      </c>
      <c r="C59">
        <v>13.93381978</v>
      </c>
      <c r="E59" s="29">
        <f t="shared" si="0"/>
        <v>1.8119055199999998</v>
      </c>
      <c r="F59" s="30">
        <v>42716</v>
      </c>
    </row>
    <row r="60" spans="1:6" x14ac:dyDescent="0.3">
      <c r="A60" s="29" t="s">
        <v>478</v>
      </c>
      <c r="B60">
        <v>15.582978000000001</v>
      </c>
      <c r="C60">
        <v>13.43473897</v>
      </c>
      <c r="E60" s="29">
        <f t="shared" si="0"/>
        <v>2.1482390300000009</v>
      </c>
      <c r="F60" s="30">
        <v>42717</v>
      </c>
    </row>
    <row r="61" spans="1:6" x14ac:dyDescent="0.3">
      <c r="A61" s="29" t="s">
        <v>479</v>
      </c>
      <c r="B61">
        <v>17.537688200000002</v>
      </c>
      <c r="C61">
        <v>13.72984913</v>
      </c>
      <c r="E61" s="29">
        <f t="shared" si="0"/>
        <v>3.8078390700000018</v>
      </c>
      <c r="F61" s="30">
        <v>42718</v>
      </c>
    </row>
    <row r="62" spans="1:6" x14ac:dyDescent="0.3">
      <c r="A62" s="29" t="s">
        <v>480</v>
      </c>
      <c r="B62">
        <v>17.697528500000001</v>
      </c>
      <c r="C62">
        <v>13.44628445</v>
      </c>
      <c r="E62" s="29">
        <f t="shared" si="0"/>
        <v>4.2512440500000004</v>
      </c>
      <c r="F62" s="30">
        <v>42719</v>
      </c>
    </row>
    <row r="63" spans="1:6" x14ac:dyDescent="0.3">
      <c r="A63" s="29" t="s">
        <v>481</v>
      </c>
      <c r="B63">
        <v>16.757548700000001</v>
      </c>
      <c r="C63">
        <v>10.85796738</v>
      </c>
      <c r="E63" s="29">
        <f t="shared" si="0"/>
        <v>5.8995813200000011</v>
      </c>
      <c r="F63" s="30">
        <v>42720</v>
      </c>
    </row>
    <row r="64" spans="1:6" x14ac:dyDescent="0.3">
      <c r="A64" s="29" t="s">
        <v>482</v>
      </c>
      <c r="B64">
        <v>17.103481800000001</v>
      </c>
      <c r="C64">
        <v>10.812773760000001</v>
      </c>
      <c r="E64" s="29">
        <f t="shared" si="0"/>
        <v>6.2907080400000002</v>
      </c>
      <c r="F64" s="30">
        <v>42721</v>
      </c>
    </row>
    <row r="65" spans="1:6" x14ac:dyDescent="0.3">
      <c r="A65" s="29" t="s">
        <v>483</v>
      </c>
      <c r="B65">
        <v>18.1758332</v>
      </c>
      <c r="C65">
        <v>9.2530592899999995</v>
      </c>
      <c r="E65" s="29">
        <f t="shared" si="0"/>
        <v>8.9227739100000001</v>
      </c>
      <c r="F65" s="30">
        <v>42722</v>
      </c>
    </row>
    <row r="66" spans="1:6" x14ac:dyDescent="0.3">
      <c r="A66" s="29" t="s">
        <v>484</v>
      </c>
      <c r="B66">
        <v>18.3749994</v>
      </c>
      <c r="C66">
        <v>8.7378683200000005</v>
      </c>
      <c r="E66" s="29">
        <f t="shared" si="0"/>
        <v>9.6371310799999996</v>
      </c>
      <c r="F66" s="30">
        <v>42723</v>
      </c>
    </row>
    <row r="67" spans="1:6" x14ac:dyDescent="0.3">
      <c r="A67" s="29" t="s">
        <v>485</v>
      </c>
      <c r="B67">
        <v>17.3888411</v>
      </c>
      <c r="C67">
        <v>9.5135089599999993</v>
      </c>
      <c r="E67" s="29">
        <f t="shared" ref="E67:E130" si="1">B67-C67</f>
        <v>7.8753321400000011</v>
      </c>
      <c r="F67" s="30">
        <v>42724</v>
      </c>
    </row>
    <row r="68" spans="1:6" x14ac:dyDescent="0.3">
      <c r="A68" s="29" t="s">
        <v>486</v>
      </c>
      <c r="B68">
        <v>17.8142268</v>
      </c>
      <c r="C68">
        <v>10.16823694</v>
      </c>
      <c r="E68" s="29">
        <f t="shared" si="1"/>
        <v>7.6459898600000002</v>
      </c>
      <c r="F68" s="30">
        <v>42725</v>
      </c>
    </row>
    <row r="69" spans="1:6" x14ac:dyDescent="0.3">
      <c r="A69" s="29" t="s">
        <v>487</v>
      </c>
      <c r="B69">
        <v>18.462367199999999</v>
      </c>
      <c r="C69">
        <v>10.443858110000001</v>
      </c>
      <c r="E69" s="29">
        <f t="shared" si="1"/>
        <v>8.0185090899999985</v>
      </c>
      <c r="F69" s="30">
        <v>42726</v>
      </c>
    </row>
    <row r="70" spans="1:6" x14ac:dyDescent="0.3">
      <c r="A70" s="29" t="s">
        <v>488</v>
      </c>
      <c r="B70">
        <v>17.882458100000001</v>
      </c>
      <c r="C70">
        <v>11.089265879999999</v>
      </c>
      <c r="E70" s="29">
        <f t="shared" si="1"/>
        <v>6.7931922200000017</v>
      </c>
      <c r="F70" s="30">
        <v>42727</v>
      </c>
    </row>
    <row r="71" spans="1:6" x14ac:dyDescent="0.3">
      <c r="A71" s="29" t="s">
        <v>489</v>
      </c>
      <c r="B71">
        <v>18.934298800000001</v>
      </c>
      <c r="C71">
        <v>10.71125114</v>
      </c>
      <c r="E71" s="29">
        <f t="shared" si="1"/>
        <v>8.2230476600000006</v>
      </c>
      <c r="F71" s="30">
        <v>42728</v>
      </c>
    </row>
    <row r="72" spans="1:6" x14ac:dyDescent="0.3">
      <c r="A72" s="29" t="s">
        <v>490</v>
      </c>
      <c r="B72">
        <v>17.324714700000001</v>
      </c>
      <c r="C72">
        <v>11.341223619999999</v>
      </c>
      <c r="E72" s="29">
        <f t="shared" si="1"/>
        <v>5.9834910800000021</v>
      </c>
      <c r="F72" s="30">
        <v>42729</v>
      </c>
    </row>
    <row r="73" spans="1:6" x14ac:dyDescent="0.3">
      <c r="A73" s="29" t="s">
        <v>491</v>
      </c>
      <c r="B73">
        <v>19.640144299999999</v>
      </c>
      <c r="C73">
        <v>11.054306990000001</v>
      </c>
      <c r="E73" s="29">
        <f t="shared" si="1"/>
        <v>8.5858373099999987</v>
      </c>
      <c r="F73" s="30">
        <v>42730</v>
      </c>
    </row>
    <row r="74" spans="1:6" x14ac:dyDescent="0.3">
      <c r="A74" s="29" t="s">
        <v>492</v>
      </c>
      <c r="B74">
        <v>18.654627099999999</v>
      </c>
      <c r="C74">
        <v>10.73466838</v>
      </c>
      <c r="E74" s="29">
        <f t="shared" si="1"/>
        <v>7.9199587199999986</v>
      </c>
      <c r="F74" s="30">
        <v>42731</v>
      </c>
    </row>
    <row r="75" spans="1:6" x14ac:dyDescent="0.3">
      <c r="A75" s="29" t="s">
        <v>493</v>
      </c>
      <c r="B75">
        <v>17.899350999999999</v>
      </c>
      <c r="C75">
        <v>10.89546284</v>
      </c>
      <c r="E75" s="29">
        <f t="shared" si="1"/>
        <v>7.0038881599999989</v>
      </c>
      <c r="F75" s="30">
        <v>42732</v>
      </c>
    </row>
    <row r="76" spans="1:6" x14ac:dyDescent="0.3">
      <c r="A76" s="29" t="s">
        <v>494</v>
      </c>
      <c r="B76">
        <v>17.048250700000001</v>
      </c>
      <c r="C76">
        <v>11.17728919</v>
      </c>
      <c r="E76" s="29">
        <f t="shared" si="1"/>
        <v>5.8709615100000008</v>
      </c>
      <c r="F76" s="30">
        <v>42733</v>
      </c>
    </row>
    <row r="77" spans="1:6" x14ac:dyDescent="0.3">
      <c r="A77" s="29" t="s">
        <v>495</v>
      </c>
      <c r="B77">
        <v>17.054984099999999</v>
      </c>
      <c r="C77">
        <v>9.8495359100000002</v>
      </c>
      <c r="E77" s="29">
        <f t="shared" si="1"/>
        <v>7.2054481899999985</v>
      </c>
      <c r="F77" s="30">
        <v>42734</v>
      </c>
    </row>
    <row r="78" spans="1:6" x14ac:dyDescent="0.3">
      <c r="A78" s="29" t="s">
        <v>496</v>
      </c>
      <c r="B78">
        <v>17.076744399999999</v>
      </c>
      <c r="C78">
        <v>11.71915952</v>
      </c>
      <c r="E78" s="29">
        <f t="shared" si="1"/>
        <v>5.3575848799999992</v>
      </c>
      <c r="F78" s="30">
        <v>42735</v>
      </c>
    </row>
    <row r="79" spans="1:6" x14ac:dyDescent="0.3">
      <c r="A79" s="29" t="s">
        <v>497</v>
      </c>
      <c r="B79">
        <v>16.151601700000001</v>
      </c>
      <c r="C79">
        <v>9.3559058700000008</v>
      </c>
      <c r="E79" s="29">
        <f t="shared" si="1"/>
        <v>6.7956958299999997</v>
      </c>
      <c r="F79" s="30">
        <v>42736</v>
      </c>
    </row>
    <row r="80" spans="1:6" x14ac:dyDescent="0.3">
      <c r="A80" s="29" t="s">
        <v>498</v>
      </c>
      <c r="B80">
        <v>15.2134252</v>
      </c>
      <c r="C80">
        <v>8.9635240599999992</v>
      </c>
      <c r="E80" s="29">
        <f t="shared" si="1"/>
        <v>6.2499011400000004</v>
      </c>
      <c r="F80" s="30">
        <v>42737</v>
      </c>
    </row>
    <row r="81" spans="1:6" x14ac:dyDescent="0.3">
      <c r="A81" s="29" t="s">
        <v>499</v>
      </c>
      <c r="B81">
        <v>15.038313799999999</v>
      </c>
      <c r="C81">
        <v>9.5782031700000001</v>
      </c>
      <c r="E81" s="29">
        <f t="shared" si="1"/>
        <v>5.4601106299999991</v>
      </c>
      <c r="F81" s="30">
        <v>42738</v>
      </c>
    </row>
    <row r="82" spans="1:6" x14ac:dyDescent="0.3">
      <c r="A82" s="29" t="s">
        <v>500</v>
      </c>
      <c r="B82">
        <v>14.825081000000001</v>
      </c>
      <c r="C82">
        <v>6.3438602399999997</v>
      </c>
      <c r="E82" s="29">
        <f t="shared" si="1"/>
        <v>8.4812207600000011</v>
      </c>
      <c r="F82" s="30">
        <v>42739</v>
      </c>
    </row>
    <row r="83" spans="1:6" x14ac:dyDescent="0.3">
      <c r="A83" s="29" t="s">
        <v>501</v>
      </c>
      <c r="B83">
        <v>13.759828000000001</v>
      </c>
      <c r="C83">
        <v>6.6076463600000004</v>
      </c>
      <c r="E83" s="29">
        <f t="shared" si="1"/>
        <v>7.1521816400000002</v>
      </c>
      <c r="F83" s="30">
        <v>42740</v>
      </c>
    </row>
    <row r="84" spans="1:6" x14ac:dyDescent="0.3">
      <c r="A84" s="29" t="s">
        <v>502</v>
      </c>
      <c r="B84">
        <v>13.135683200000001</v>
      </c>
      <c r="C84">
        <v>7.8433987800000002</v>
      </c>
      <c r="E84" s="29">
        <f t="shared" si="1"/>
        <v>5.2922844200000005</v>
      </c>
      <c r="F84" s="30">
        <v>42741</v>
      </c>
    </row>
    <row r="85" spans="1:6" x14ac:dyDescent="0.3">
      <c r="A85" s="29" t="s">
        <v>503</v>
      </c>
      <c r="B85">
        <v>10.7950134</v>
      </c>
      <c r="C85">
        <v>8.9791050400000003</v>
      </c>
      <c r="E85" s="29">
        <f t="shared" si="1"/>
        <v>1.8159083599999999</v>
      </c>
      <c r="F85" s="30">
        <v>42742</v>
      </c>
    </row>
    <row r="86" spans="1:6" x14ac:dyDescent="0.3">
      <c r="A86" s="29" t="s">
        <v>504</v>
      </c>
      <c r="B86">
        <v>10.492198699999999</v>
      </c>
      <c r="C86">
        <v>8.7708537799999995</v>
      </c>
      <c r="E86" s="29">
        <f t="shared" si="1"/>
        <v>1.7213449199999999</v>
      </c>
      <c r="F86" s="30">
        <v>42743</v>
      </c>
    </row>
    <row r="87" spans="1:6" x14ac:dyDescent="0.3">
      <c r="A87" s="29" t="s">
        <v>505</v>
      </c>
      <c r="B87">
        <v>11.908439599999999</v>
      </c>
      <c r="C87">
        <v>6.9431901600000003</v>
      </c>
      <c r="E87" s="29">
        <f t="shared" si="1"/>
        <v>4.9652494399999991</v>
      </c>
      <c r="F87" s="30">
        <v>42744</v>
      </c>
    </row>
    <row r="88" spans="1:6" x14ac:dyDescent="0.3">
      <c r="A88" s="29" t="s">
        <v>506</v>
      </c>
      <c r="B88">
        <v>12.497408699999999</v>
      </c>
      <c r="C88">
        <v>7.0941210699999999</v>
      </c>
      <c r="E88" s="29">
        <f t="shared" si="1"/>
        <v>5.4032876299999995</v>
      </c>
      <c r="F88" s="30">
        <v>42745</v>
      </c>
    </row>
    <row r="89" spans="1:6" x14ac:dyDescent="0.3">
      <c r="A89" s="29" t="s">
        <v>507</v>
      </c>
      <c r="B89">
        <v>12.760729899999999</v>
      </c>
      <c r="C89">
        <v>7.0197077600000002</v>
      </c>
      <c r="E89" s="29">
        <f t="shared" si="1"/>
        <v>5.7410221399999992</v>
      </c>
      <c r="F89" s="30">
        <v>42746</v>
      </c>
    </row>
    <row r="90" spans="1:6" x14ac:dyDescent="0.3">
      <c r="A90" s="29" t="s">
        <v>508</v>
      </c>
      <c r="B90">
        <v>11.838469999999999</v>
      </c>
      <c r="C90">
        <v>5.3745792400000001</v>
      </c>
      <c r="E90" s="29">
        <f t="shared" si="1"/>
        <v>6.4638907599999991</v>
      </c>
      <c r="F90" s="30">
        <v>42747</v>
      </c>
    </row>
    <row r="91" spans="1:6" x14ac:dyDescent="0.3">
      <c r="A91" s="29" t="s">
        <v>509</v>
      </c>
      <c r="B91">
        <v>12.383536899999999</v>
      </c>
      <c r="C91">
        <v>5.5869179200000003</v>
      </c>
      <c r="E91" s="29">
        <f t="shared" si="1"/>
        <v>6.796618979999999</v>
      </c>
      <c r="F91" s="30">
        <v>42748</v>
      </c>
    </row>
    <row r="92" spans="1:6" x14ac:dyDescent="0.3">
      <c r="A92" s="29" t="s">
        <v>510</v>
      </c>
      <c r="B92">
        <v>13.919570800000001</v>
      </c>
      <c r="C92">
        <v>5.3222118700000003</v>
      </c>
      <c r="E92" s="29">
        <f t="shared" si="1"/>
        <v>8.5973589300000004</v>
      </c>
      <c r="F92" s="30">
        <v>42749</v>
      </c>
    </row>
    <row r="93" spans="1:6" x14ac:dyDescent="0.3">
      <c r="A93" s="29" t="s">
        <v>511</v>
      </c>
      <c r="B93">
        <v>14.3250984</v>
      </c>
      <c r="C93">
        <v>6.1239859299999999</v>
      </c>
      <c r="E93" s="29">
        <f t="shared" si="1"/>
        <v>8.20111247</v>
      </c>
      <c r="F93" s="30">
        <v>42750</v>
      </c>
    </row>
    <row r="94" spans="1:6" x14ac:dyDescent="0.3">
      <c r="A94" s="29" t="s">
        <v>512</v>
      </c>
      <c r="B94">
        <v>14.749294799999999</v>
      </c>
      <c r="C94">
        <v>6.2883568299999997</v>
      </c>
      <c r="E94" s="29">
        <f t="shared" si="1"/>
        <v>8.4609379699999998</v>
      </c>
      <c r="F94" s="30">
        <v>42751</v>
      </c>
    </row>
    <row r="95" spans="1:6" x14ac:dyDescent="0.3">
      <c r="A95" s="29" t="s">
        <v>513</v>
      </c>
      <c r="B95">
        <v>15.450846200000001</v>
      </c>
      <c r="C95">
        <v>6.3594994900000001</v>
      </c>
      <c r="E95" s="29">
        <f t="shared" si="1"/>
        <v>9.0913467099999998</v>
      </c>
      <c r="F95" s="30">
        <v>42752</v>
      </c>
    </row>
    <row r="96" spans="1:6" x14ac:dyDescent="0.3">
      <c r="A96" s="29" t="s">
        <v>514</v>
      </c>
      <c r="B96">
        <v>14.5122044</v>
      </c>
      <c r="C96">
        <v>7.6523069599999998</v>
      </c>
      <c r="E96" s="29">
        <f t="shared" si="1"/>
        <v>6.8598974400000001</v>
      </c>
      <c r="F96" s="30">
        <v>42753</v>
      </c>
    </row>
    <row r="97" spans="1:6" x14ac:dyDescent="0.3">
      <c r="A97" s="29" t="s">
        <v>515</v>
      </c>
      <c r="B97">
        <v>16.649372400000001</v>
      </c>
      <c r="C97">
        <v>7.7864776500000001</v>
      </c>
      <c r="E97" s="29">
        <f t="shared" si="1"/>
        <v>8.8628947500000006</v>
      </c>
      <c r="F97" s="30">
        <v>42754</v>
      </c>
    </row>
    <row r="98" spans="1:6" x14ac:dyDescent="0.3">
      <c r="A98" s="29" t="s">
        <v>516</v>
      </c>
      <c r="B98">
        <v>16.9751911</v>
      </c>
      <c r="C98">
        <v>8.0774871299999997</v>
      </c>
      <c r="E98" s="29">
        <f t="shared" si="1"/>
        <v>8.8977039700000002</v>
      </c>
      <c r="F98" s="30">
        <v>42755</v>
      </c>
    </row>
    <row r="99" spans="1:6" x14ac:dyDescent="0.3">
      <c r="A99" s="29" t="s">
        <v>517</v>
      </c>
      <c r="B99">
        <v>18.7428928</v>
      </c>
      <c r="C99">
        <v>7.4703389099999997</v>
      </c>
      <c r="E99" s="29">
        <f t="shared" si="1"/>
        <v>11.272553890000001</v>
      </c>
      <c r="F99" s="30">
        <v>42756</v>
      </c>
    </row>
    <row r="100" spans="1:6" x14ac:dyDescent="0.3">
      <c r="A100" s="29" t="s">
        <v>518</v>
      </c>
      <c r="B100">
        <v>18.3221676</v>
      </c>
      <c r="C100">
        <v>6.8094068999999999</v>
      </c>
      <c r="E100" s="29">
        <f t="shared" si="1"/>
        <v>11.512760700000001</v>
      </c>
      <c r="F100" s="30">
        <v>42757</v>
      </c>
    </row>
    <row r="101" spans="1:6" x14ac:dyDescent="0.3">
      <c r="A101" s="29" t="s">
        <v>519</v>
      </c>
      <c r="B101">
        <v>19.531612800000001</v>
      </c>
      <c r="C101">
        <v>9.2957211399999995</v>
      </c>
      <c r="E101" s="29">
        <f t="shared" si="1"/>
        <v>10.235891660000002</v>
      </c>
      <c r="F101" s="30">
        <v>42758</v>
      </c>
    </row>
    <row r="102" spans="1:6" x14ac:dyDescent="0.3">
      <c r="A102" s="29" t="s">
        <v>520</v>
      </c>
      <c r="B102">
        <v>20.9011532</v>
      </c>
      <c r="C102">
        <v>8.7294137000000003</v>
      </c>
      <c r="E102" s="29">
        <f t="shared" si="1"/>
        <v>12.171739499999999</v>
      </c>
      <c r="F102" s="30">
        <v>42759</v>
      </c>
    </row>
    <row r="103" spans="1:6" x14ac:dyDescent="0.3">
      <c r="A103" s="29" t="s">
        <v>521</v>
      </c>
      <c r="B103">
        <v>20.068184599999999</v>
      </c>
      <c r="C103">
        <v>8.9850312399999996</v>
      </c>
      <c r="E103" s="29">
        <f t="shared" si="1"/>
        <v>11.083153359999999</v>
      </c>
      <c r="F103" s="30">
        <v>42760</v>
      </c>
    </row>
    <row r="104" spans="1:6" x14ac:dyDescent="0.3">
      <c r="A104" s="29" t="s">
        <v>522</v>
      </c>
      <c r="B104">
        <v>17.357337999999999</v>
      </c>
      <c r="C104">
        <v>8.1247000099999998</v>
      </c>
      <c r="E104" s="29">
        <f t="shared" si="1"/>
        <v>9.2326379899999989</v>
      </c>
      <c r="F104" s="30">
        <v>42761</v>
      </c>
    </row>
    <row r="105" spans="1:6" x14ac:dyDescent="0.3">
      <c r="A105" s="29" t="s">
        <v>523</v>
      </c>
      <c r="B105">
        <v>16.377987900000001</v>
      </c>
      <c r="C105">
        <v>7.8921867199999998</v>
      </c>
      <c r="E105" s="29">
        <f t="shared" si="1"/>
        <v>8.4858011800000011</v>
      </c>
      <c r="F105" s="30">
        <v>42762</v>
      </c>
    </row>
    <row r="106" spans="1:6" x14ac:dyDescent="0.3">
      <c r="A106" s="29" t="s">
        <v>524</v>
      </c>
      <c r="B106">
        <v>17.0621847</v>
      </c>
      <c r="C106">
        <v>7.7877762300000004</v>
      </c>
      <c r="E106" s="29">
        <f t="shared" si="1"/>
        <v>9.2744084699999991</v>
      </c>
      <c r="F106" s="30">
        <v>42763</v>
      </c>
    </row>
    <row r="107" spans="1:6" x14ac:dyDescent="0.3">
      <c r="A107" s="29" t="s">
        <v>525</v>
      </c>
      <c r="B107">
        <v>16.505065800000001</v>
      </c>
      <c r="C107">
        <v>7.7165934700000003</v>
      </c>
      <c r="E107" s="29">
        <f t="shared" si="1"/>
        <v>8.7884723300000012</v>
      </c>
      <c r="F107" s="30">
        <v>42764</v>
      </c>
    </row>
    <row r="108" spans="1:6" x14ac:dyDescent="0.3">
      <c r="A108" s="29" t="s">
        <v>526</v>
      </c>
      <c r="B108">
        <v>15.021911599999999</v>
      </c>
      <c r="C108">
        <v>7.7226176600000001</v>
      </c>
      <c r="E108" s="29">
        <f t="shared" si="1"/>
        <v>7.2992939399999992</v>
      </c>
      <c r="F108" s="30">
        <v>42765</v>
      </c>
    </row>
    <row r="109" spans="1:6" x14ac:dyDescent="0.3">
      <c r="A109" s="29" t="s">
        <v>527</v>
      </c>
      <c r="B109">
        <v>14.671569399999999</v>
      </c>
      <c r="C109">
        <v>6.2917008299999999</v>
      </c>
      <c r="E109" s="29">
        <f t="shared" si="1"/>
        <v>8.3798685699999993</v>
      </c>
      <c r="F109" s="30">
        <v>42766</v>
      </c>
    </row>
    <row r="110" spans="1:6" x14ac:dyDescent="0.3">
      <c r="A110" s="29" t="s">
        <v>528</v>
      </c>
      <c r="B110">
        <v>14.544462100000001</v>
      </c>
      <c r="C110">
        <v>5.7978778499999999</v>
      </c>
      <c r="E110" s="29">
        <f t="shared" si="1"/>
        <v>8.7465842500000015</v>
      </c>
      <c r="F110" s="30">
        <v>42767</v>
      </c>
    </row>
    <row r="111" spans="1:6" x14ac:dyDescent="0.3">
      <c r="A111" s="29" t="s">
        <v>529</v>
      </c>
      <c r="B111">
        <v>15.0357287</v>
      </c>
      <c r="C111">
        <v>6.3557180400000002</v>
      </c>
      <c r="E111" s="29">
        <f t="shared" si="1"/>
        <v>8.6800106600000007</v>
      </c>
      <c r="F111" s="30">
        <v>42768</v>
      </c>
    </row>
    <row r="112" spans="1:6" x14ac:dyDescent="0.3">
      <c r="A112" s="29" t="s">
        <v>530</v>
      </c>
      <c r="B112">
        <v>15.697316199999999</v>
      </c>
      <c r="C112">
        <v>6.9195530700000001</v>
      </c>
      <c r="E112" s="29">
        <f t="shared" si="1"/>
        <v>8.7777631300000003</v>
      </c>
      <c r="F112" s="30">
        <v>42769</v>
      </c>
    </row>
    <row r="113" spans="1:6" x14ac:dyDescent="0.3">
      <c r="A113" s="29" t="s">
        <v>531</v>
      </c>
      <c r="B113">
        <v>16.519864699999999</v>
      </c>
      <c r="C113">
        <v>7.6654199900000002</v>
      </c>
      <c r="E113" s="29">
        <f t="shared" si="1"/>
        <v>8.8544447099999992</v>
      </c>
      <c r="F113" s="30">
        <v>42770</v>
      </c>
    </row>
    <row r="114" spans="1:6" x14ac:dyDescent="0.3">
      <c r="A114" s="29" t="s">
        <v>532</v>
      </c>
      <c r="B114">
        <v>16.890563100000001</v>
      </c>
      <c r="C114">
        <v>9.2085598300000004</v>
      </c>
      <c r="E114" s="29">
        <f t="shared" si="1"/>
        <v>7.6820032700000009</v>
      </c>
      <c r="F114" s="30">
        <v>42771</v>
      </c>
    </row>
    <row r="115" spans="1:6" x14ac:dyDescent="0.3">
      <c r="A115" s="29" t="s">
        <v>533</v>
      </c>
      <c r="B115">
        <v>16.432631000000001</v>
      </c>
      <c r="C115">
        <v>9.6605570299999997</v>
      </c>
      <c r="E115" s="29">
        <f t="shared" si="1"/>
        <v>6.772073970000001</v>
      </c>
      <c r="F115" s="30">
        <v>42772</v>
      </c>
    </row>
    <row r="116" spans="1:6" x14ac:dyDescent="0.3">
      <c r="A116" s="29" t="s">
        <v>534</v>
      </c>
      <c r="B116">
        <v>15.9937691</v>
      </c>
      <c r="C116">
        <v>7.5192155400000003</v>
      </c>
      <c r="E116" s="29">
        <f t="shared" si="1"/>
        <v>8.4745535600000004</v>
      </c>
      <c r="F116" s="30">
        <v>42773</v>
      </c>
    </row>
    <row r="117" spans="1:6" x14ac:dyDescent="0.3">
      <c r="A117" s="29" t="s">
        <v>535</v>
      </c>
      <c r="B117">
        <v>14.966392900000001</v>
      </c>
      <c r="C117">
        <v>7.7403312199999998</v>
      </c>
      <c r="E117" s="29">
        <f t="shared" si="1"/>
        <v>7.2260616800000008</v>
      </c>
      <c r="F117" s="30">
        <v>42774</v>
      </c>
    </row>
    <row r="118" spans="1:6" x14ac:dyDescent="0.3">
      <c r="A118" s="29" t="s">
        <v>536</v>
      </c>
      <c r="B118">
        <v>13.7641618</v>
      </c>
      <c r="C118">
        <v>7.4540868800000002</v>
      </c>
      <c r="E118" s="29">
        <f t="shared" si="1"/>
        <v>6.3100749199999999</v>
      </c>
      <c r="F118" s="30">
        <v>42775</v>
      </c>
    </row>
    <row r="119" spans="1:6" x14ac:dyDescent="0.3">
      <c r="A119" s="29" t="s">
        <v>537</v>
      </c>
      <c r="B119">
        <v>12.099576900000001</v>
      </c>
      <c r="C119">
        <v>7.4190630300000002</v>
      </c>
      <c r="E119" s="29">
        <f t="shared" si="1"/>
        <v>4.6805138700000004</v>
      </c>
      <c r="F119" s="30">
        <v>42776</v>
      </c>
    </row>
    <row r="120" spans="1:6" x14ac:dyDescent="0.3">
      <c r="A120" s="29" t="s">
        <v>538</v>
      </c>
      <c r="B120">
        <v>9.7535459000000007</v>
      </c>
      <c r="C120">
        <v>7.6246101700000004</v>
      </c>
      <c r="E120" s="29">
        <f t="shared" si="1"/>
        <v>2.1289357300000002</v>
      </c>
      <c r="F120" s="30">
        <v>42777</v>
      </c>
    </row>
    <row r="121" spans="1:6" x14ac:dyDescent="0.3">
      <c r="A121" s="29" t="s">
        <v>539</v>
      </c>
      <c r="B121">
        <v>9.0491206000000002</v>
      </c>
      <c r="C121">
        <v>7.0079175500000002</v>
      </c>
      <c r="E121" s="29">
        <f t="shared" si="1"/>
        <v>2.04120305</v>
      </c>
      <c r="F121" s="30">
        <v>42778</v>
      </c>
    </row>
    <row r="122" spans="1:6" x14ac:dyDescent="0.3">
      <c r="A122" s="29" t="s">
        <v>540</v>
      </c>
      <c r="B122">
        <v>8.6098151000000005</v>
      </c>
      <c r="C122">
        <v>8.5657814900000009</v>
      </c>
      <c r="E122" s="29">
        <f t="shared" si="1"/>
        <v>4.4033609999999612E-2</v>
      </c>
      <c r="F122" s="30">
        <v>42779</v>
      </c>
    </row>
    <row r="123" spans="1:6" x14ac:dyDescent="0.3">
      <c r="A123" s="29" t="s">
        <v>541</v>
      </c>
      <c r="B123">
        <v>9.5388187999999996</v>
      </c>
      <c r="C123">
        <v>8.2339016199999993</v>
      </c>
      <c r="E123" s="29">
        <f t="shared" si="1"/>
        <v>1.3049171800000003</v>
      </c>
      <c r="F123" s="30">
        <v>42780</v>
      </c>
    </row>
    <row r="124" spans="1:6" x14ac:dyDescent="0.3">
      <c r="A124" s="29" t="s">
        <v>542</v>
      </c>
      <c r="B124">
        <v>9.6401287</v>
      </c>
      <c r="C124">
        <v>6.7319424200000002</v>
      </c>
      <c r="E124" s="29">
        <f t="shared" si="1"/>
        <v>2.9081862799999998</v>
      </c>
      <c r="F124" s="30">
        <v>42781</v>
      </c>
    </row>
    <row r="125" spans="1:6" x14ac:dyDescent="0.3">
      <c r="A125" s="29" t="s">
        <v>543</v>
      </c>
      <c r="B125">
        <v>8.5122973999999996</v>
      </c>
      <c r="C125">
        <v>5.4364935799999996</v>
      </c>
      <c r="E125" s="29">
        <f t="shared" si="1"/>
        <v>3.07580382</v>
      </c>
      <c r="F125" s="30">
        <v>42782</v>
      </c>
    </row>
    <row r="126" spans="1:6" x14ac:dyDescent="0.3">
      <c r="A126" s="29" t="s">
        <v>544</v>
      </c>
      <c r="B126">
        <v>8.4970306999999998</v>
      </c>
      <c r="C126">
        <v>4.77040533</v>
      </c>
      <c r="E126" s="29">
        <f t="shared" si="1"/>
        <v>3.7266253699999998</v>
      </c>
      <c r="F126" s="30">
        <v>42783</v>
      </c>
    </row>
    <row r="127" spans="1:6" x14ac:dyDescent="0.3">
      <c r="A127" s="29" t="s">
        <v>545</v>
      </c>
      <c r="B127">
        <v>8.6148208000000004</v>
      </c>
      <c r="C127">
        <v>3.7544655800000002</v>
      </c>
      <c r="E127" s="29">
        <f t="shared" si="1"/>
        <v>4.8603552200000006</v>
      </c>
      <c r="F127" s="30">
        <v>42784</v>
      </c>
    </row>
    <row r="128" spans="1:6" x14ac:dyDescent="0.3">
      <c r="A128" s="29" t="s">
        <v>546</v>
      </c>
      <c r="B128">
        <v>7.8670239999999998</v>
      </c>
      <c r="C128">
        <v>3.47952248</v>
      </c>
      <c r="E128" s="29">
        <f t="shared" si="1"/>
        <v>4.3875015199999998</v>
      </c>
      <c r="F128" s="30">
        <v>42785</v>
      </c>
    </row>
    <row r="129" spans="1:6" x14ac:dyDescent="0.3">
      <c r="A129" s="29" t="s">
        <v>547</v>
      </c>
      <c r="B129">
        <v>5.6832016000000003</v>
      </c>
      <c r="C129">
        <v>3.45345579</v>
      </c>
      <c r="E129" s="29">
        <f t="shared" si="1"/>
        <v>2.2297458100000003</v>
      </c>
      <c r="F129" s="30">
        <v>42786</v>
      </c>
    </row>
    <row r="130" spans="1:6" x14ac:dyDescent="0.3">
      <c r="A130" s="29" t="s">
        <v>548</v>
      </c>
      <c r="B130">
        <v>6.3989231999999996</v>
      </c>
      <c r="C130">
        <v>3.2656858799999999</v>
      </c>
      <c r="E130" s="29">
        <f t="shared" si="1"/>
        <v>3.1332373199999997</v>
      </c>
      <c r="F130" s="30">
        <v>42787</v>
      </c>
    </row>
    <row r="131" spans="1:6" x14ac:dyDescent="0.3">
      <c r="A131" s="29" t="s">
        <v>549</v>
      </c>
      <c r="B131">
        <v>6.8448997</v>
      </c>
      <c r="C131">
        <v>3.36705846</v>
      </c>
      <c r="E131" s="29">
        <f t="shared" ref="E131:E194" si="2">B131-C131</f>
        <v>3.4778412400000001</v>
      </c>
      <c r="F131" s="30">
        <v>42788</v>
      </c>
    </row>
    <row r="132" spans="1:6" x14ac:dyDescent="0.3">
      <c r="A132" s="29" t="s">
        <v>550</v>
      </c>
      <c r="B132">
        <v>7.3858056999999997</v>
      </c>
      <c r="C132">
        <v>4.3356751100000004</v>
      </c>
      <c r="E132" s="29">
        <f t="shared" si="2"/>
        <v>3.0501305899999993</v>
      </c>
      <c r="F132" s="30">
        <v>42789</v>
      </c>
    </row>
    <row r="133" spans="1:6" x14ac:dyDescent="0.3">
      <c r="A133" s="29" t="s">
        <v>551</v>
      </c>
      <c r="B133">
        <v>7.6816551000000004</v>
      </c>
      <c r="C133">
        <v>4.16411569</v>
      </c>
      <c r="E133" s="29">
        <f t="shared" si="2"/>
        <v>3.5175394100000004</v>
      </c>
      <c r="F133" s="30">
        <v>42790</v>
      </c>
    </row>
    <row r="134" spans="1:6" x14ac:dyDescent="0.3">
      <c r="A134" s="29" t="s">
        <v>552</v>
      </c>
      <c r="B134">
        <v>6.7699427999999999</v>
      </c>
      <c r="C134">
        <v>3.64416283</v>
      </c>
      <c r="E134" s="29">
        <f t="shared" si="2"/>
        <v>3.12577997</v>
      </c>
      <c r="F134" s="30">
        <v>42791</v>
      </c>
    </row>
    <row r="135" spans="1:6" x14ac:dyDescent="0.3">
      <c r="A135" s="29" t="s">
        <v>553</v>
      </c>
      <c r="B135">
        <v>6.6613002000000003</v>
      </c>
      <c r="C135">
        <v>3.88643954</v>
      </c>
      <c r="E135" s="29">
        <f t="shared" si="2"/>
        <v>2.7748606600000003</v>
      </c>
      <c r="F135" s="30">
        <v>42792</v>
      </c>
    </row>
    <row r="136" spans="1:6" x14ac:dyDescent="0.3">
      <c r="A136" s="29" t="s">
        <v>554</v>
      </c>
      <c r="B136">
        <v>8.2036478000000006</v>
      </c>
      <c r="C136">
        <v>3.2602345499999998</v>
      </c>
      <c r="E136" s="29">
        <f t="shared" si="2"/>
        <v>4.9434132500000008</v>
      </c>
      <c r="F136" s="30">
        <v>42793</v>
      </c>
    </row>
    <row r="137" spans="1:6" x14ac:dyDescent="0.3">
      <c r="A137" s="29" t="s">
        <v>555</v>
      </c>
      <c r="B137">
        <v>7.7383652999999999</v>
      </c>
      <c r="C137">
        <v>2.28204348</v>
      </c>
      <c r="E137" s="29">
        <f t="shared" si="2"/>
        <v>5.4563218199999994</v>
      </c>
      <c r="F137" s="30">
        <v>42794</v>
      </c>
    </row>
    <row r="138" spans="1:6" x14ac:dyDescent="0.3">
      <c r="A138" s="29" t="s">
        <v>556</v>
      </c>
      <c r="B138">
        <v>8.7707219999999992</v>
      </c>
      <c r="C138">
        <v>0.87405155000000001</v>
      </c>
      <c r="E138" s="29">
        <f t="shared" si="2"/>
        <v>7.8966704499999993</v>
      </c>
      <c r="F138" s="30">
        <v>42795</v>
      </c>
    </row>
    <row r="139" spans="1:6" x14ac:dyDescent="0.3">
      <c r="A139" s="29" t="s">
        <v>557</v>
      </c>
      <c r="B139">
        <v>8.1162940999999993</v>
      </c>
      <c r="C139">
        <v>0.38686853999999998</v>
      </c>
      <c r="E139" s="29">
        <f t="shared" si="2"/>
        <v>7.7294255599999993</v>
      </c>
      <c r="F139" s="30">
        <v>42796</v>
      </c>
    </row>
    <row r="140" spans="1:6" x14ac:dyDescent="0.3">
      <c r="A140" s="29" t="s">
        <v>558</v>
      </c>
      <c r="B140">
        <v>7.7811317999999998</v>
      </c>
      <c r="C140">
        <v>7.6775699999999999E-3</v>
      </c>
      <c r="E140" s="29">
        <f t="shared" si="2"/>
        <v>7.7734542299999996</v>
      </c>
      <c r="F140" s="30">
        <v>42797</v>
      </c>
    </row>
    <row r="141" spans="1:6" x14ac:dyDescent="0.3">
      <c r="A141" s="29" t="s">
        <v>559</v>
      </c>
      <c r="B141">
        <v>8.1431541000000003</v>
      </c>
      <c r="C141">
        <v>-3.5625919999999998E-2</v>
      </c>
      <c r="E141" s="29">
        <f t="shared" si="2"/>
        <v>8.1787800199999996</v>
      </c>
      <c r="F141" s="30">
        <v>42798</v>
      </c>
    </row>
    <row r="142" spans="1:6" x14ac:dyDescent="0.3">
      <c r="A142" s="29" t="s">
        <v>560</v>
      </c>
      <c r="B142">
        <v>8.4416154999999993</v>
      </c>
      <c r="C142">
        <v>0.43470790999999998</v>
      </c>
      <c r="E142" s="29">
        <f t="shared" si="2"/>
        <v>8.0069075899999991</v>
      </c>
      <c r="F142" s="30">
        <v>42799</v>
      </c>
    </row>
    <row r="143" spans="1:6" x14ac:dyDescent="0.3">
      <c r="A143" s="29" t="s">
        <v>561</v>
      </c>
      <c r="B143">
        <v>9.9873852000000003</v>
      </c>
      <c r="C143">
        <v>-0.16183634</v>
      </c>
      <c r="E143" s="29">
        <f t="shared" si="2"/>
        <v>10.149221540000001</v>
      </c>
      <c r="F143" s="30">
        <v>42800</v>
      </c>
    </row>
    <row r="144" spans="1:6" x14ac:dyDescent="0.3">
      <c r="A144" s="29" t="s">
        <v>562</v>
      </c>
      <c r="B144">
        <v>7.8967181000000002</v>
      </c>
      <c r="C144">
        <v>0.82886472</v>
      </c>
      <c r="E144" s="29">
        <f t="shared" si="2"/>
        <v>7.0678533799999999</v>
      </c>
      <c r="F144" s="30">
        <v>42801</v>
      </c>
    </row>
    <row r="145" spans="1:6" x14ac:dyDescent="0.3">
      <c r="A145" s="29" t="s">
        <v>563</v>
      </c>
      <c r="B145">
        <v>9.0385560999999992</v>
      </c>
      <c r="C145">
        <v>0.36819271999999997</v>
      </c>
      <c r="E145" s="29">
        <f t="shared" si="2"/>
        <v>8.6703633799999995</v>
      </c>
      <c r="F145" s="30">
        <v>42802</v>
      </c>
    </row>
    <row r="146" spans="1:6" x14ac:dyDescent="0.3">
      <c r="A146" s="29" t="s">
        <v>564</v>
      </c>
      <c r="B146">
        <v>9.3643554000000009</v>
      </c>
      <c r="C146">
        <v>-0.22865677000000001</v>
      </c>
      <c r="E146" s="29">
        <f t="shared" si="2"/>
        <v>9.5930121700000015</v>
      </c>
      <c r="F146" s="30">
        <v>42803</v>
      </c>
    </row>
    <row r="147" spans="1:6" x14ac:dyDescent="0.3">
      <c r="A147" s="29" t="s">
        <v>565</v>
      </c>
      <c r="B147">
        <v>7.9354244999999999</v>
      </c>
      <c r="C147">
        <v>-1.56783798</v>
      </c>
      <c r="E147" s="29">
        <f t="shared" si="2"/>
        <v>9.5032624800000001</v>
      </c>
      <c r="F147" s="30">
        <v>42804</v>
      </c>
    </row>
    <row r="148" spans="1:6" x14ac:dyDescent="0.3">
      <c r="A148" s="29" t="s">
        <v>566</v>
      </c>
      <c r="B148">
        <v>7.6688681000000001</v>
      </c>
      <c r="C148">
        <v>-1.8056186599999999</v>
      </c>
      <c r="E148" s="29">
        <f t="shared" si="2"/>
        <v>9.4744867599999996</v>
      </c>
      <c r="F148" s="30">
        <v>42805</v>
      </c>
    </row>
    <row r="149" spans="1:6" x14ac:dyDescent="0.3">
      <c r="A149" s="29" t="s">
        <v>567</v>
      </c>
      <c r="B149">
        <v>7.7624835000000001</v>
      </c>
      <c r="C149">
        <v>-0.94770416000000002</v>
      </c>
      <c r="E149" s="29">
        <f t="shared" si="2"/>
        <v>8.7101876600000008</v>
      </c>
      <c r="F149" s="30">
        <v>42806</v>
      </c>
    </row>
    <row r="150" spans="1:6" x14ac:dyDescent="0.3">
      <c r="A150" s="29" t="s">
        <v>568</v>
      </c>
      <c r="B150">
        <v>6.5065634000000001</v>
      </c>
      <c r="C150">
        <v>-1.41903146</v>
      </c>
      <c r="E150" s="29">
        <f t="shared" si="2"/>
        <v>7.9255948600000004</v>
      </c>
      <c r="F150" s="30">
        <v>42807</v>
      </c>
    </row>
    <row r="151" spans="1:6" x14ac:dyDescent="0.3">
      <c r="A151" s="29" t="s">
        <v>569</v>
      </c>
      <c r="B151">
        <v>6.9456768999999996</v>
      </c>
      <c r="C151">
        <v>-0.98113855999999999</v>
      </c>
      <c r="E151" s="29">
        <f t="shared" si="2"/>
        <v>7.9268154599999994</v>
      </c>
      <c r="F151" s="30">
        <v>42808</v>
      </c>
    </row>
    <row r="152" spans="1:6" x14ac:dyDescent="0.3">
      <c r="A152" s="29" t="s">
        <v>570</v>
      </c>
      <c r="B152">
        <v>7.7447289000000001</v>
      </c>
      <c r="C152">
        <v>-1.488229</v>
      </c>
      <c r="E152" s="29">
        <f t="shared" si="2"/>
        <v>9.2329579000000006</v>
      </c>
      <c r="F152" s="30">
        <v>42809</v>
      </c>
    </row>
    <row r="153" spans="1:6" x14ac:dyDescent="0.3">
      <c r="A153" s="29" t="s">
        <v>571</v>
      </c>
      <c r="B153">
        <v>6.9582101999999999</v>
      </c>
      <c r="C153">
        <v>-0.92818173999999998</v>
      </c>
      <c r="E153" s="29">
        <f t="shared" si="2"/>
        <v>7.8863919400000002</v>
      </c>
      <c r="F153" s="30">
        <v>42810</v>
      </c>
    </row>
    <row r="154" spans="1:6" x14ac:dyDescent="0.3">
      <c r="A154" s="29" t="s">
        <v>572</v>
      </c>
      <c r="B154">
        <v>7.8263553000000003</v>
      </c>
      <c r="C154">
        <v>-1.6383257</v>
      </c>
      <c r="E154" s="29">
        <f t="shared" si="2"/>
        <v>9.4646810000000006</v>
      </c>
      <c r="F154" s="30">
        <v>42811</v>
      </c>
    </row>
    <row r="155" spans="1:6" x14ac:dyDescent="0.3">
      <c r="A155" s="29" t="s">
        <v>573</v>
      </c>
      <c r="B155">
        <v>6.8223140000000004</v>
      </c>
      <c r="C155">
        <v>-0.95270449000000001</v>
      </c>
      <c r="E155" s="29">
        <f t="shared" si="2"/>
        <v>7.7750184900000008</v>
      </c>
      <c r="F155" s="30">
        <v>42812</v>
      </c>
    </row>
    <row r="156" spans="1:6" x14ac:dyDescent="0.3">
      <c r="A156" s="29" t="s">
        <v>574</v>
      </c>
      <c r="B156">
        <v>7.2253151999999998</v>
      </c>
      <c r="C156">
        <v>-0.36761432999999999</v>
      </c>
      <c r="E156" s="29">
        <f t="shared" si="2"/>
        <v>7.5929295300000001</v>
      </c>
      <c r="F156" s="30">
        <v>42813</v>
      </c>
    </row>
    <row r="157" spans="1:6" x14ac:dyDescent="0.3">
      <c r="A157" s="29" t="s">
        <v>575</v>
      </c>
      <c r="B157">
        <v>6.7052053000000003</v>
      </c>
      <c r="C157">
        <v>1.13584705</v>
      </c>
      <c r="E157" s="29">
        <f t="shared" si="2"/>
        <v>5.5693582500000005</v>
      </c>
      <c r="F157" s="30">
        <v>42814</v>
      </c>
    </row>
    <row r="158" spans="1:6" x14ac:dyDescent="0.3">
      <c r="A158" s="29" t="s">
        <v>576</v>
      </c>
      <c r="B158">
        <v>5.8862801999999999</v>
      </c>
      <c r="C158">
        <v>2.37967525</v>
      </c>
      <c r="E158" s="29">
        <f t="shared" si="2"/>
        <v>3.5066049499999998</v>
      </c>
      <c r="F158" s="30">
        <v>42815</v>
      </c>
    </row>
    <row r="159" spans="1:6" x14ac:dyDescent="0.3">
      <c r="A159" s="29" t="s">
        <v>577</v>
      </c>
      <c r="B159">
        <v>7.3934730000000002</v>
      </c>
      <c r="C159">
        <v>2.5068844600000002</v>
      </c>
      <c r="E159" s="29">
        <f t="shared" si="2"/>
        <v>4.88658854</v>
      </c>
      <c r="F159" s="30">
        <v>42816</v>
      </c>
    </row>
    <row r="160" spans="1:6" x14ac:dyDescent="0.3">
      <c r="A160" s="29" t="s">
        <v>578</v>
      </c>
      <c r="B160">
        <v>6.6917011000000004</v>
      </c>
      <c r="C160">
        <v>5.7018595400000001</v>
      </c>
      <c r="E160" s="29">
        <f t="shared" si="2"/>
        <v>0.98984156000000034</v>
      </c>
      <c r="F160" s="30">
        <v>42817</v>
      </c>
    </row>
    <row r="161" spans="1:6" x14ac:dyDescent="0.3">
      <c r="A161" s="29" t="s">
        <v>579</v>
      </c>
      <c r="B161">
        <v>6.0343944</v>
      </c>
      <c r="C161">
        <v>6.6128912700000004</v>
      </c>
      <c r="E161" s="29">
        <f t="shared" si="2"/>
        <v>-0.57849687000000038</v>
      </c>
      <c r="F161" s="30">
        <v>42818</v>
      </c>
    </row>
    <row r="162" spans="1:6" x14ac:dyDescent="0.3">
      <c r="A162" s="29" t="s">
        <v>580</v>
      </c>
      <c r="B162">
        <v>7.2680137</v>
      </c>
      <c r="C162">
        <v>9.3009484899999997</v>
      </c>
      <c r="E162" s="29">
        <f t="shared" si="2"/>
        <v>-2.0329347899999997</v>
      </c>
      <c r="F162" s="30">
        <v>42819</v>
      </c>
    </row>
    <row r="163" spans="1:6" x14ac:dyDescent="0.3">
      <c r="A163" s="29" t="s">
        <v>581</v>
      </c>
      <c r="B163">
        <v>6.5463060999999998</v>
      </c>
      <c r="C163">
        <v>9.6841894499999999</v>
      </c>
      <c r="E163" s="29">
        <f t="shared" si="2"/>
        <v>-3.1378833500000001</v>
      </c>
      <c r="F163" s="30">
        <v>42820</v>
      </c>
    </row>
    <row r="164" spans="1:6" x14ac:dyDescent="0.3">
      <c r="A164" s="29" t="s">
        <v>582</v>
      </c>
      <c r="B164">
        <v>6.5859155999999999</v>
      </c>
      <c r="C164">
        <v>7.20891883</v>
      </c>
      <c r="E164" s="29">
        <f t="shared" si="2"/>
        <v>-0.62300323000000013</v>
      </c>
      <c r="F164" s="30">
        <v>42821</v>
      </c>
    </row>
    <row r="165" spans="1:6" x14ac:dyDescent="0.3">
      <c r="A165" s="29" t="s">
        <v>583</v>
      </c>
      <c r="B165">
        <v>6.2693984</v>
      </c>
      <c r="C165">
        <v>6.3755674000000004</v>
      </c>
      <c r="E165" s="29">
        <f t="shared" si="2"/>
        <v>-0.1061690000000004</v>
      </c>
      <c r="F165" s="30">
        <v>42822</v>
      </c>
    </row>
    <row r="166" spans="1:6" x14ac:dyDescent="0.3">
      <c r="A166" s="29" t="s">
        <v>584</v>
      </c>
      <c r="B166">
        <v>7.0614089</v>
      </c>
      <c r="C166">
        <v>7.4831387300000003</v>
      </c>
      <c r="E166" s="29">
        <f t="shared" si="2"/>
        <v>-0.42172983000000031</v>
      </c>
      <c r="F166" s="30">
        <v>42823</v>
      </c>
    </row>
    <row r="167" spans="1:6" x14ac:dyDescent="0.3">
      <c r="A167" s="29" t="s">
        <v>585</v>
      </c>
      <c r="B167">
        <v>7.2729419000000002</v>
      </c>
      <c r="C167">
        <v>7.8027383600000002</v>
      </c>
      <c r="E167" s="29">
        <f t="shared" si="2"/>
        <v>-0.52979646000000002</v>
      </c>
      <c r="F167" s="30">
        <v>42824</v>
      </c>
    </row>
    <row r="168" spans="1:6" x14ac:dyDescent="0.3">
      <c r="A168" s="29" t="s">
        <v>586</v>
      </c>
      <c r="B168">
        <v>6.2812013999999996</v>
      </c>
      <c r="C168">
        <v>6.9373340399999996</v>
      </c>
      <c r="E168" s="29">
        <f t="shared" si="2"/>
        <v>-0.65613264000000004</v>
      </c>
      <c r="F168" s="30">
        <v>42825</v>
      </c>
    </row>
    <row r="169" spans="1:6" x14ac:dyDescent="0.3">
      <c r="A169" s="29" t="s">
        <v>587</v>
      </c>
      <c r="B169">
        <v>6.9830705999999996</v>
      </c>
      <c r="C169">
        <v>6.4233262499999997</v>
      </c>
      <c r="E169" s="29">
        <f t="shared" si="2"/>
        <v>0.55974434999999989</v>
      </c>
      <c r="F169" s="30">
        <v>42826</v>
      </c>
    </row>
    <row r="170" spans="1:6" x14ac:dyDescent="0.3">
      <c r="A170" s="29" t="s">
        <v>588</v>
      </c>
      <c r="B170">
        <v>7.2604398000000003</v>
      </c>
      <c r="C170">
        <v>6.8955251300000002</v>
      </c>
      <c r="E170" s="29">
        <f t="shared" si="2"/>
        <v>0.36491467000000011</v>
      </c>
      <c r="F170" s="30">
        <v>42827</v>
      </c>
    </row>
    <row r="171" spans="1:6" x14ac:dyDescent="0.3">
      <c r="A171" s="29" t="s">
        <v>589</v>
      </c>
      <c r="B171">
        <v>7.4208334000000002</v>
      </c>
      <c r="C171">
        <v>7.6573450799999998</v>
      </c>
      <c r="E171" s="29">
        <f t="shared" si="2"/>
        <v>-0.23651167999999956</v>
      </c>
      <c r="F171" s="30">
        <v>42828</v>
      </c>
    </row>
    <row r="172" spans="1:6" x14ac:dyDescent="0.3">
      <c r="A172" s="29" t="s">
        <v>590</v>
      </c>
      <c r="B172">
        <v>6.4468027000000001</v>
      </c>
      <c r="C172">
        <v>9.0187155600000004</v>
      </c>
      <c r="E172" s="29">
        <f t="shared" si="2"/>
        <v>-2.5719128600000003</v>
      </c>
      <c r="F172" s="30">
        <v>42829</v>
      </c>
    </row>
    <row r="173" spans="1:6" x14ac:dyDescent="0.3">
      <c r="A173" s="29" t="s">
        <v>591</v>
      </c>
      <c r="B173">
        <v>6.1520149999999996</v>
      </c>
      <c r="C173">
        <v>8.3790088800000007</v>
      </c>
      <c r="E173" s="29">
        <f t="shared" si="2"/>
        <v>-2.2269938800000011</v>
      </c>
      <c r="F173" s="30">
        <v>42830</v>
      </c>
    </row>
    <row r="174" spans="1:6" x14ac:dyDescent="0.3">
      <c r="A174" s="29" t="s">
        <v>592</v>
      </c>
      <c r="B174">
        <v>6.1569631999999999</v>
      </c>
      <c r="C174">
        <v>7.8295163299999997</v>
      </c>
      <c r="E174" s="29">
        <f t="shared" si="2"/>
        <v>-1.6725531299999998</v>
      </c>
      <c r="F174" s="30">
        <v>42831</v>
      </c>
    </row>
    <row r="175" spans="1:6" x14ac:dyDescent="0.3">
      <c r="A175" s="29" t="s">
        <v>593</v>
      </c>
      <c r="B175">
        <v>4.4784204000000001</v>
      </c>
      <c r="C175">
        <v>8.5500681099999998</v>
      </c>
      <c r="E175" s="29">
        <f t="shared" si="2"/>
        <v>-4.0716477099999997</v>
      </c>
      <c r="F175" s="30">
        <v>42832</v>
      </c>
    </row>
    <row r="176" spans="1:6" x14ac:dyDescent="0.3">
      <c r="A176" s="29" t="s">
        <v>594</v>
      </c>
      <c r="B176">
        <v>4.2121259999999996</v>
      </c>
      <c r="C176">
        <v>7.9729914900000001</v>
      </c>
      <c r="E176" s="29">
        <f t="shared" si="2"/>
        <v>-3.7608654900000005</v>
      </c>
      <c r="F176" s="30">
        <v>42833</v>
      </c>
    </row>
    <row r="177" spans="1:6" x14ac:dyDescent="0.3">
      <c r="A177" s="29" t="s">
        <v>595</v>
      </c>
      <c r="B177">
        <v>4.7049529000000003</v>
      </c>
      <c r="C177">
        <v>8.6814159199999992</v>
      </c>
      <c r="E177" s="29">
        <f t="shared" si="2"/>
        <v>-3.9764630199999988</v>
      </c>
      <c r="F177" s="30">
        <v>42834</v>
      </c>
    </row>
    <row r="178" spans="1:6" x14ac:dyDescent="0.3">
      <c r="A178" s="29" t="s">
        <v>596</v>
      </c>
      <c r="B178">
        <v>5.8103910000000001</v>
      </c>
      <c r="C178">
        <v>8.4558967700000007</v>
      </c>
      <c r="E178" s="29">
        <f t="shared" si="2"/>
        <v>-2.6455057700000006</v>
      </c>
      <c r="F178" s="30">
        <v>42835</v>
      </c>
    </row>
    <row r="179" spans="1:6" x14ac:dyDescent="0.3">
      <c r="A179" s="29" t="s">
        <v>597</v>
      </c>
      <c r="B179">
        <v>6.5990947000000002</v>
      </c>
      <c r="C179">
        <v>7.3849864800000002</v>
      </c>
      <c r="E179" s="29">
        <f t="shared" si="2"/>
        <v>-0.78589178000000004</v>
      </c>
      <c r="F179" s="30">
        <v>42836</v>
      </c>
    </row>
    <row r="180" spans="1:6" x14ac:dyDescent="0.3">
      <c r="A180" s="29" t="s">
        <v>598</v>
      </c>
      <c r="B180">
        <v>7.7461079000000002</v>
      </c>
      <c r="C180">
        <v>5.07694724</v>
      </c>
      <c r="E180" s="29">
        <f t="shared" si="2"/>
        <v>2.6691606600000002</v>
      </c>
      <c r="F180" s="30">
        <v>42837</v>
      </c>
    </row>
    <row r="181" spans="1:6" x14ac:dyDescent="0.3">
      <c r="A181" s="29" t="s">
        <v>599</v>
      </c>
      <c r="B181">
        <v>9.6857529000000007</v>
      </c>
      <c r="C181">
        <v>4.19256575</v>
      </c>
      <c r="E181" s="29">
        <f t="shared" si="2"/>
        <v>5.4931871500000007</v>
      </c>
      <c r="F181" s="30">
        <v>42838</v>
      </c>
    </row>
    <row r="182" spans="1:6" x14ac:dyDescent="0.3">
      <c r="A182" s="29" t="s">
        <v>600</v>
      </c>
      <c r="B182">
        <v>8.6971746000000003</v>
      </c>
      <c r="C182">
        <v>3.5482548600000001</v>
      </c>
      <c r="E182" s="29">
        <f t="shared" si="2"/>
        <v>5.1489197400000002</v>
      </c>
      <c r="F182" s="30">
        <v>42839</v>
      </c>
    </row>
    <row r="183" spans="1:6" x14ac:dyDescent="0.3">
      <c r="A183" s="29" t="s">
        <v>601</v>
      </c>
      <c r="B183">
        <v>9.6780282999999994</v>
      </c>
      <c r="C183">
        <v>2.7554282400000001</v>
      </c>
      <c r="E183" s="29">
        <f t="shared" si="2"/>
        <v>6.9226000599999988</v>
      </c>
      <c r="F183" s="30">
        <v>42840</v>
      </c>
    </row>
    <row r="184" spans="1:6" x14ac:dyDescent="0.3">
      <c r="A184" s="29" t="s">
        <v>602</v>
      </c>
      <c r="B184">
        <v>10.2433724</v>
      </c>
      <c r="C184">
        <v>1.1634951</v>
      </c>
      <c r="E184" s="29">
        <f t="shared" si="2"/>
        <v>9.0798772999999997</v>
      </c>
      <c r="F184" s="30">
        <v>42841</v>
      </c>
    </row>
    <row r="185" spans="1:6" x14ac:dyDescent="0.3">
      <c r="A185" s="29" t="s">
        <v>603</v>
      </c>
      <c r="B185">
        <v>11.095191399999999</v>
      </c>
      <c r="C185">
        <v>0.72576832000000002</v>
      </c>
      <c r="E185" s="29">
        <f t="shared" si="2"/>
        <v>10.369423079999999</v>
      </c>
      <c r="F185" s="30">
        <v>42842</v>
      </c>
    </row>
    <row r="186" spans="1:6" x14ac:dyDescent="0.3">
      <c r="A186" s="29" t="s">
        <v>604</v>
      </c>
      <c r="B186">
        <v>11.1677345</v>
      </c>
      <c r="C186">
        <v>1.65310695</v>
      </c>
      <c r="E186" s="29">
        <f t="shared" si="2"/>
        <v>9.5146275500000002</v>
      </c>
      <c r="F186" s="30">
        <v>42843</v>
      </c>
    </row>
    <row r="187" spans="1:6" x14ac:dyDescent="0.3">
      <c r="A187" s="29" t="s">
        <v>605</v>
      </c>
      <c r="B187">
        <v>11.3220262</v>
      </c>
      <c r="C187">
        <v>2.0403099899999999</v>
      </c>
      <c r="E187" s="29">
        <f t="shared" si="2"/>
        <v>9.281716209999999</v>
      </c>
      <c r="F187" s="30">
        <v>42844</v>
      </c>
    </row>
    <row r="188" spans="1:6" x14ac:dyDescent="0.3">
      <c r="A188" s="29" t="s">
        <v>606</v>
      </c>
      <c r="B188">
        <v>13.236990499999999</v>
      </c>
      <c r="C188">
        <v>-0.31013781000000001</v>
      </c>
      <c r="E188" s="29">
        <f t="shared" si="2"/>
        <v>13.54712831</v>
      </c>
      <c r="F188" s="30">
        <v>42845</v>
      </c>
    </row>
    <row r="189" spans="1:6" x14ac:dyDescent="0.3">
      <c r="A189" s="29" t="s">
        <v>607</v>
      </c>
      <c r="B189">
        <v>14.4424729</v>
      </c>
      <c r="C189">
        <v>-1.12243084</v>
      </c>
      <c r="E189" s="29">
        <f t="shared" si="2"/>
        <v>15.56490374</v>
      </c>
      <c r="F189" s="30">
        <v>42846</v>
      </c>
    </row>
    <row r="190" spans="1:6" x14ac:dyDescent="0.3">
      <c r="A190" s="29" t="s">
        <v>608</v>
      </c>
      <c r="B190">
        <v>13.1558238</v>
      </c>
      <c r="C190">
        <v>-1.2224052999999999</v>
      </c>
      <c r="E190" s="29">
        <f t="shared" si="2"/>
        <v>14.3782291</v>
      </c>
      <c r="F190" s="30">
        <v>42847</v>
      </c>
    </row>
    <row r="191" spans="1:6" x14ac:dyDescent="0.3">
      <c r="A191" s="29" t="s">
        <v>609</v>
      </c>
      <c r="B191">
        <v>13.887656099999999</v>
      </c>
      <c r="C191">
        <v>-1.08793015</v>
      </c>
      <c r="E191" s="29">
        <f t="shared" si="2"/>
        <v>14.975586249999999</v>
      </c>
      <c r="F191" s="30">
        <v>42848</v>
      </c>
    </row>
    <row r="192" spans="1:6" x14ac:dyDescent="0.3">
      <c r="A192" s="29" t="s">
        <v>610</v>
      </c>
      <c r="B192">
        <v>12.1755578</v>
      </c>
      <c r="C192">
        <v>-0.96965356000000003</v>
      </c>
      <c r="E192" s="29">
        <f t="shared" si="2"/>
        <v>13.145211359999999</v>
      </c>
      <c r="F192" s="30">
        <v>42849</v>
      </c>
    </row>
    <row r="193" spans="1:6" x14ac:dyDescent="0.3">
      <c r="A193" s="29" t="s">
        <v>611</v>
      </c>
      <c r="B193">
        <v>11.1624626</v>
      </c>
      <c r="C193">
        <v>0.98278840000000001</v>
      </c>
      <c r="E193" s="29">
        <f t="shared" si="2"/>
        <v>10.179674199999999</v>
      </c>
      <c r="F193" s="30">
        <v>42850</v>
      </c>
    </row>
    <row r="194" spans="1:6" x14ac:dyDescent="0.3">
      <c r="A194" s="29" t="s">
        <v>612</v>
      </c>
      <c r="B194">
        <v>11.451414099999999</v>
      </c>
      <c r="C194">
        <v>1.4517425399999999</v>
      </c>
      <c r="E194" s="29">
        <f t="shared" si="2"/>
        <v>9.9996715599999995</v>
      </c>
      <c r="F194" s="30">
        <v>42851</v>
      </c>
    </row>
    <row r="195" spans="1:6" x14ac:dyDescent="0.3">
      <c r="A195" s="29" t="s">
        <v>613</v>
      </c>
      <c r="B195">
        <v>11.145589899999999</v>
      </c>
      <c r="C195">
        <v>2.5134689699999999</v>
      </c>
      <c r="E195" s="29">
        <f t="shared" ref="E195:E258" si="3">B195-C195</f>
        <v>8.6321209299999992</v>
      </c>
      <c r="F195" s="30">
        <v>42852</v>
      </c>
    </row>
    <row r="196" spans="1:6" x14ac:dyDescent="0.3">
      <c r="A196" s="29" t="s">
        <v>614</v>
      </c>
      <c r="B196">
        <v>11.598411</v>
      </c>
      <c r="C196">
        <v>2.2808391399999999</v>
      </c>
      <c r="E196" s="29">
        <f t="shared" si="3"/>
        <v>9.317571860000001</v>
      </c>
      <c r="F196" s="30">
        <v>42853</v>
      </c>
    </row>
    <row r="197" spans="1:6" x14ac:dyDescent="0.3">
      <c r="A197" s="29" t="s">
        <v>615</v>
      </c>
      <c r="B197">
        <v>10.872109500000001</v>
      </c>
      <c r="C197">
        <v>2.06251607</v>
      </c>
      <c r="E197" s="29">
        <f t="shared" si="3"/>
        <v>8.8095934299999996</v>
      </c>
      <c r="F197" s="30">
        <v>42854</v>
      </c>
    </row>
    <row r="198" spans="1:6" x14ac:dyDescent="0.3">
      <c r="A198" s="29" t="s">
        <v>616</v>
      </c>
      <c r="B198">
        <v>11.073275199999999</v>
      </c>
      <c r="C198">
        <v>3.5946419600000001</v>
      </c>
      <c r="E198" s="29">
        <f t="shared" si="3"/>
        <v>7.4786332399999988</v>
      </c>
      <c r="F198" s="30">
        <v>42855</v>
      </c>
    </row>
    <row r="199" spans="1:6" x14ac:dyDescent="0.3">
      <c r="A199" s="29" t="s">
        <v>617</v>
      </c>
      <c r="B199">
        <v>11.3606075</v>
      </c>
      <c r="C199">
        <v>4.13823775</v>
      </c>
      <c r="E199" s="29">
        <f t="shared" si="3"/>
        <v>7.2223697500000004</v>
      </c>
      <c r="F199" s="30">
        <v>42856</v>
      </c>
    </row>
    <row r="200" spans="1:6" x14ac:dyDescent="0.3">
      <c r="A200" s="29" t="s">
        <v>618</v>
      </c>
      <c r="B200">
        <v>13.9743002</v>
      </c>
      <c r="C200">
        <v>5.71235844</v>
      </c>
      <c r="E200" s="29">
        <f t="shared" si="3"/>
        <v>8.2619417599999991</v>
      </c>
      <c r="F200" s="30">
        <v>42857</v>
      </c>
    </row>
    <row r="201" spans="1:6" x14ac:dyDescent="0.3">
      <c r="A201" s="29" t="s">
        <v>619</v>
      </c>
      <c r="B201">
        <v>12.757978700000001</v>
      </c>
      <c r="C201">
        <v>5.6864811599999996</v>
      </c>
      <c r="E201" s="29">
        <f t="shared" si="3"/>
        <v>7.0714975400000011</v>
      </c>
      <c r="F201" s="30">
        <v>42858</v>
      </c>
    </row>
    <row r="202" spans="1:6" x14ac:dyDescent="0.3">
      <c r="A202" s="29" t="s">
        <v>620</v>
      </c>
      <c r="B202">
        <v>12.00342</v>
      </c>
      <c r="C202">
        <v>6.6658865299999999</v>
      </c>
      <c r="E202" s="29">
        <f t="shared" si="3"/>
        <v>5.3375334700000003</v>
      </c>
      <c r="F202" s="30">
        <v>42859</v>
      </c>
    </row>
    <row r="203" spans="1:6" x14ac:dyDescent="0.3">
      <c r="A203" s="29" t="s">
        <v>621</v>
      </c>
      <c r="B203">
        <v>14.1668319</v>
      </c>
      <c r="C203">
        <v>6.32153586</v>
      </c>
      <c r="E203" s="29">
        <f t="shared" si="3"/>
        <v>7.84529604</v>
      </c>
      <c r="F203" s="30">
        <v>42860</v>
      </c>
    </row>
    <row r="204" spans="1:6" x14ac:dyDescent="0.3">
      <c r="A204" s="29" t="s">
        <v>622</v>
      </c>
      <c r="B204">
        <v>14.669555799999999</v>
      </c>
      <c r="C204">
        <v>5.7765088899999997</v>
      </c>
      <c r="E204" s="29">
        <f t="shared" si="3"/>
        <v>8.8930469099999989</v>
      </c>
      <c r="F204" s="30">
        <v>42861</v>
      </c>
    </row>
    <row r="205" spans="1:6" x14ac:dyDescent="0.3">
      <c r="A205" s="29" t="s">
        <v>623</v>
      </c>
      <c r="B205">
        <v>15.0170127</v>
      </c>
      <c r="C205">
        <v>6.6599497999999997</v>
      </c>
      <c r="E205" s="29">
        <f t="shared" si="3"/>
        <v>8.3570629000000007</v>
      </c>
      <c r="F205" s="30">
        <v>42862</v>
      </c>
    </row>
    <row r="206" spans="1:6" x14ac:dyDescent="0.3">
      <c r="A206" s="29" t="s">
        <v>624</v>
      </c>
      <c r="B206">
        <v>15.458386900000001</v>
      </c>
      <c r="C206">
        <v>6.2287522900000001</v>
      </c>
      <c r="E206" s="29">
        <f t="shared" si="3"/>
        <v>9.2296346100000015</v>
      </c>
      <c r="F206" s="30">
        <v>42863</v>
      </c>
    </row>
    <row r="207" spans="1:6" x14ac:dyDescent="0.3">
      <c r="A207" s="29" t="s">
        <v>625</v>
      </c>
      <c r="B207">
        <v>15.1826001</v>
      </c>
      <c r="C207">
        <v>6.5983354199999997</v>
      </c>
      <c r="E207" s="29">
        <f t="shared" si="3"/>
        <v>8.5842646800000004</v>
      </c>
      <c r="F207" s="30">
        <v>42864</v>
      </c>
    </row>
    <row r="208" spans="1:6" x14ac:dyDescent="0.3">
      <c r="A208" s="29" t="s">
        <v>626</v>
      </c>
      <c r="B208">
        <v>15.5954459</v>
      </c>
      <c r="C208">
        <v>6.0366601500000003</v>
      </c>
      <c r="E208" s="29">
        <f t="shared" si="3"/>
        <v>9.5587857499999984</v>
      </c>
      <c r="F208" s="30">
        <v>42865</v>
      </c>
    </row>
    <row r="209" spans="1:6" x14ac:dyDescent="0.3">
      <c r="A209" s="29" t="s">
        <v>627</v>
      </c>
      <c r="B209">
        <v>15.886259900000001</v>
      </c>
      <c r="C209">
        <v>6.6303721700000002</v>
      </c>
      <c r="E209" s="29">
        <f t="shared" si="3"/>
        <v>9.2558877300000013</v>
      </c>
      <c r="F209" s="30">
        <v>42866</v>
      </c>
    </row>
    <row r="210" spans="1:6" x14ac:dyDescent="0.3">
      <c r="A210" s="29" t="s">
        <v>628</v>
      </c>
      <c r="B210">
        <v>15.6703198</v>
      </c>
      <c r="C210">
        <v>7.9540472500000003</v>
      </c>
      <c r="E210" s="29">
        <f t="shared" si="3"/>
        <v>7.7162725499999993</v>
      </c>
      <c r="F210" s="30">
        <v>42867</v>
      </c>
    </row>
    <row r="211" spans="1:6" x14ac:dyDescent="0.3">
      <c r="A211" s="29" t="s">
        <v>629</v>
      </c>
      <c r="B211">
        <v>17.294260600000001</v>
      </c>
      <c r="C211">
        <v>8.1966488799999997</v>
      </c>
      <c r="E211" s="29">
        <f t="shared" si="3"/>
        <v>9.0976117200000015</v>
      </c>
      <c r="F211" s="30">
        <v>42868</v>
      </c>
    </row>
    <row r="212" spans="1:6" x14ac:dyDescent="0.3">
      <c r="A212" s="29" t="s">
        <v>630</v>
      </c>
      <c r="B212">
        <v>16.7606003</v>
      </c>
      <c r="C212">
        <v>8.9602591799999995</v>
      </c>
      <c r="E212" s="29">
        <f t="shared" si="3"/>
        <v>7.8003411200000006</v>
      </c>
      <c r="F212" s="30">
        <v>42869</v>
      </c>
    </row>
    <row r="213" spans="1:6" x14ac:dyDescent="0.3">
      <c r="A213" s="29" t="s">
        <v>631</v>
      </c>
      <c r="B213">
        <v>17.511651799999999</v>
      </c>
      <c r="C213">
        <v>8.4879809399999999</v>
      </c>
      <c r="E213" s="29">
        <f t="shared" si="3"/>
        <v>9.0236708599999993</v>
      </c>
      <c r="F213" s="30">
        <v>42870</v>
      </c>
    </row>
    <row r="214" spans="1:6" x14ac:dyDescent="0.3">
      <c r="A214" s="29" t="s">
        <v>632</v>
      </c>
      <c r="B214">
        <v>17.285001300000001</v>
      </c>
      <c r="C214">
        <v>8.3160944000000008</v>
      </c>
      <c r="E214" s="29">
        <f t="shared" si="3"/>
        <v>8.9689069000000003</v>
      </c>
      <c r="F214" s="30">
        <v>42871</v>
      </c>
    </row>
    <row r="215" spans="1:6" x14ac:dyDescent="0.3">
      <c r="A215" s="29" t="s">
        <v>633</v>
      </c>
      <c r="B215">
        <v>18.007459000000001</v>
      </c>
      <c r="C215">
        <v>7.6524654200000004</v>
      </c>
      <c r="E215" s="29">
        <f t="shared" si="3"/>
        <v>10.35499358</v>
      </c>
      <c r="F215" s="30">
        <v>42872</v>
      </c>
    </row>
    <row r="216" spans="1:6" x14ac:dyDescent="0.3">
      <c r="A216" s="29" t="s">
        <v>634</v>
      </c>
      <c r="B216">
        <v>19.819565000000001</v>
      </c>
      <c r="C216">
        <v>8.5931545600000003</v>
      </c>
      <c r="E216" s="29">
        <f t="shared" si="3"/>
        <v>11.22641044</v>
      </c>
      <c r="F216" s="30">
        <v>42873</v>
      </c>
    </row>
    <row r="217" spans="1:6" x14ac:dyDescent="0.3">
      <c r="A217" s="29" t="s">
        <v>635</v>
      </c>
      <c r="B217">
        <v>18.508662900000001</v>
      </c>
      <c r="C217">
        <v>10.34244326</v>
      </c>
      <c r="E217" s="29">
        <f t="shared" si="3"/>
        <v>8.1662196400000013</v>
      </c>
      <c r="F217" s="30">
        <v>42874</v>
      </c>
    </row>
    <row r="218" spans="1:6" x14ac:dyDescent="0.3">
      <c r="A218" s="29" t="s">
        <v>636</v>
      </c>
      <c r="B218">
        <v>19.118160400000001</v>
      </c>
      <c r="C218">
        <v>11.676197439999999</v>
      </c>
      <c r="E218" s="29">
        <f t="shared" si="3"/>
        <v>7.4419629600000015</v>
      </c>
      <c r="F218" s="30">
        <v>42875</v>
      </c>
    </row>
    <row r="219" spans="1:6" x14ac:dyDescent="0.3">
      <c r="A219" s="29" t="s">
        <v>637</v>
      </c>
      <c r="B219">
        <v>17.7176437</v>
      </c>
      <c r="C219">
        <v>10.955759049999999</v>
      </c>
      <c r="E219" s="29">
        <f t="shared" si="3"/>
        <v>6.7618846500000007</v>
      </c>
      <c r="F219" s="30">
        <v>42876</v>
      </c>
    </row>
    <row r="220" spans="1:6" x14ac:dyDescent="0.3">
      <c r="A220" s="29" t="s">
        <v>638</v>
      </c>
      <c r="B220">
        <v>18.693172199999999</v>
      </c>
      <c r="C220">
        <v>11.311798359999999</v>
      </c>
      <c r="E220" s="29">
        <f t="shared" si="3"/>
        <v>7.3813738400000002</v>
      </c>
      <c r="F220" s="30">
        <v>42877</v>
      </c>
    </row>
    <row r="221" spans="1:6" x14ac:dyDescent="0.3">
      <c r="A221" s="29" t="s">
        <v>639</v>
      </c>
      <c r="B221">
        <v>18.3279174</v>
      </c>
      <c r="C221">
        <v>12.45050477</v>
      </c>
      <c r="E221" s="29">
        <f t="shared" si="3"/>
        <v>5.8774126300000002</v>
      </c>
      <c r="F221" s="30">
        <v>42878</v>
      </c>
    </row>
    <row r="222" spans="1:6" x14ac:dyDescent="0.3">
      <c r="A222" s="29" t="s">
        <v>640</v>
      </c>
      <c r="B222">
        <v>19.3488741</v>
      </c>
      <c r="C222">
        <v>13.83359315</v>
      </c>
      <c r="E222" s="29">
        <f t="shared" si="3"/>
        <v>5.5152809499999993</v>
      </c>
      <c r="F222" s="30">
        <v>42879</v>
      </c>
    </row>
    <row r="223" spans="1:6" x14ac:dyDescent="0.3">
      <c r="A223" s="29" t="s">
        <v>641</v>
      </c>
      <c r="B223">
        <v>20.0709272</v>
      </c>
      <c r="C223">
        <v>15.086940240000001</v>
      </c>
      <c r="E223" s="29">
        <f t="shared" si="3"/>
        <v>4.9839869599999993</v>
      </c>
      <c r="F223" s="30">
        <v>42880</v>
      </c>
    </row>
    <row r="224" spans="1:6" x14ac:dyDescent="0.3">
      <c r="A224" s="29" t="s">
        <v>642</v>
      </c>
      <c r="B224">
        <v>18.671990999999998</v>
      </c>
      <c r="C224">
        <v>14.494110210000001</v>
      </c>
      <c r="E224" s="29">
        <f t="shared" si="3"/>
        <v>4.1778807899999979</v>
      </c>
      <c r="F224" s="30">
        <v>42881</v>
      </c>
    </row>
    <row r="225" spans="1:6" x14ac:dyDescent="0.3">
      <c r="A225" s="29" t="s">
        <v>643</v>
      </c>
      <c r="B225">
        <v>18.835580799999999</v>
      </c>
      <c r="C225">
        <v>15.027292920000001</v>
      </c>
      <c r="E225" s="29">
        <f t="shared" si="3"/>
        <v>3.8082878799999982</v>
      </c>
      <c r="F225" s="30">
        <v>42882</v>
      </c>
    </row>
    <row r="226" spans="1:6" x14ac:dyDescent="0.3">
      <c r="A226" s="29" t="s">
        <v>644</v>
      </c>
      <c r="B226">
        <v>19.1922113</v>
      </c>
      <c r="C226">
        <v>15.39061014</v>
      </c>
      <c r="E226" s="29">
        <f t="shared" si="3"/>
        <v>3.8016011600000006</v>
      </c>
      <c r="F226" s="30">
        <v>42883</v>
      </c>
    </row>
    <row r="227" spans="1:6" x14ac:dyDescent="0.3">
      <c r="A227" s="29" t="s">
        <v>645</v>
      </c>
      <c r="B227">
        <v>18.701764399999998</v>
      </c>
      <c r="C227">
        <v>15.26455131</v>
      </c>
      <c r="E227" s="29">
        <f t="shared" si="3"/>
        <v>3.4372130899999984</v>
      </c>
      <c r="F227" s="30">
        <v>42884</v>
      </c>
    </row>
    <row r="228" spans="1:6" x14ac:dyDescent="0.3">
      <c r="A228" s="29" t="s">
        <v>646</v>
      </c>
      <c r="B228">
        <v>16.129221999999999</v>
      </c>
      <c r="C228">
        <v>14.965485279999999</v>
      </c>
      <c r="E228" s="29">
        <f t="shared" si="3"/>
        <v>1.1637367199999993</v>
      </c>
      <c r="F228" s="30">
        <v>42885</v>
      </c>
    </row>
    <row r="229" spans="1:6" x14ac:dyDescent="0.3">
      <c r="A229" s="29" t="s">
        <v>647</v>
      </c>
      <c r="B229">
        <v>14.747949800000001</v>
      </c>
      <c r="C229">
        <v>14.69723114</v>
      </c>
      <c r="E229" s="29">
        <f t="shared" si="3"/>
        <v>5.0718660000001137E-2</v>
      </c>
      <c r="F229" s="30">
        <v>42886</v>
      </c>
    </row>
    <row r="230" spans="1:6" x14ac:dyDescent="0.3">
      <c r="A230" s="29" t="s">
        <v>648</v>
      </c>
      <c r="B230">
        <v>13.2273604</v>
      </c>
      <c r="C230">
        <v>13.17827801</v>
      </c>
      <c r="E230" s="29">
        <f t="shared" si="3"/>
        <v>4.9082390000000586E-2</v>
      </c>
      <c r="F230" s="30">
        <v>42887</v>
      </c>
    </row>
    <row r="231" spans="1:6" x14ac:dyDescent="0.3">
      <c r="A231" s="29" t="s">
        <v>649</v>
      </c>
      <c r="B231">
        <v>15.045508</v>
      </c>
      <c r="C231">
        <v>14.720920039999999</v>
      </c>
      <c r="E231" s="29">
        <f t="shared" si="3"/>
        <v>0.32458796000000056</v>
      </c>
      <c r="F231" s="30">
        <v>42888</v>
      </c>
    </row>
    <row r="232" spans="1:6" x14ac:dyDescent="0.3">
      <c r="A232" s="29" t="s">
        <v>650</v>
      </c>
      <c r="B232">
        <v>14.9495749</v>
      </c>
      <c r="C232">
        <v>14.3949757</v>
      </c>
      <c r="E232" s="29">
        <f t="shared" si="3"/>
        <v>0.55459920000000018</v>
      </c>
      <c r="F232" s="30">
        <v>42889</v>
      </c>
    </row>
    <row r="233" spans="1:6" x14ac:dyDescent="0.3">
      <c r="A233" s="29" t="s">
        <v>651</v>
      </c>
      <c r="B233">
        <v>15.1131248</v>
      </c>
      <c r="C233">
        <v>15.45034119</v>
      </c>
      <c r="E233" s="29">
        <f t="shared" si="3"/>
        <v>-0.33721639000000003</v>
      </c>
      <c r="F233" s="30">
        <v>42890</v>
      </c>
    </row>
    <row r="234" spans="1:6" x14ac:dyDescent="0.3">
      <c r="A234" s="29" t="s">
        <v>652</v>
      </c>
      <c r="B234">
        <v>14.693200900000001</v>
      </c>
      <c r="C234">
        <v>16.138112620000001</v>
      </c>
      <c r="E234" s="29">
        <f t="shared" si="3"/>
        <v>-1.4449117200000003</v>
      </c>
      <c r="F234" s="30">
        <v>42891</v>
      </c>
    </row>
    <row r="235" spans="1:6" x14ac:dyDescent="0.3">
      <c r="A235" s="29" t="s">
        <v>653</v>
      </c>
      <c r="B235">
        <v>14.2033015</v>
      </c>
      <c r="C235">
        <v>16.253936199999998</v>
      </c>
      <c r="E235" s="29">
        <f t="shared" si="3"/>
        <v>-2.050634699999998</v>
      </c>
      <c r="F235" s="30">
        <v>42892</v>
      </c>
    </row>
    <row r="236" spans="1:6" x14ac:dyDescent="0.3">
      <c r="A236" s="29" t="s">
        <v>654</v>
      </c>
      <c r="B236">
        <v>14.709565100000001</v>
      </c>
      <c r="C236">
        <v>17.783356999999999</v>
      </c>
      <c r="E236" s="29">
        <f t="shared" si="3"/>
        <v>-3.073791899999998</v>
      </c>
      <c r="F236" s="30">
        <v>42893</v>
      </c>
    </row>
    <row r="237" spans="1:6" x14ac:dyDescent="0.3">
      <c r="A237" s="29" t="s">
        <v>655</v>
      </c>
      <c r="B237">
        <v>15.268251899999999</v>
      </c>
      <c r="C237">
        <v>18.18304049</v>
      </c>
      <c r="E237" s="29">
        <f t="shared" si="3"/>
        <v>-2.9147885900000006</v>
      </c>
      <c r="F237" s="30">
        <v>42894</v>
      </c>
    </row>
    <row r="238" spans="1:6" x14ac:dyDescent="0.3">
      <c r="A238" s="29" t="s">
        <v>656</v>
      </c>
      <c r="B238">
        <v>14.5918793</v>
      </c>
      <c r="C238">
        <v>18.38948207</v>
      </c>
      <c r="E238" s="29">
        <f t="shared" si="3"/>
        <v>-3.7976027699999992</v>
      </c>
      <c r="F238" s="30">
        <v>42895</v>
      </c>
    </row>
    <row r="239" spans="1:6" x14ac:dyDescent="0.3">
      <c r="A239" s="29" t="s">
        <v>657</v>
      </c>
      <c r="B239">
        <v>14.8555419</v>
      </c>
      <c r="C239">
        <v>15.209353569999999</v>
      </c>
      <c r="E239" s="29">
        <f t="shared" si="3"/>
        <v>-0.35381166999999891</v>
      </c>
      <c r="F239" s="30">
        <v>42896</v>
      </c>
    </row>
    <row r="240" spans="1:6" x14ac:dyDescent="0.3">
      <c r="A240" s="29" t="s">
        <v>658</v>
      </c>
      <c r="B240">
        <v>14.566281099999999</v>
      </c>
      <c r="C240">
        <v>15.745016550000001</v>
      </c>
      <c r="E240" s="29">
        <f t="shared" si="3"/>
        <v>-1.1787354500000014</v>
      </c>
      <c r="F240" s="30">
        <v>42897</v>
      </c>
    </row>
    <row r="241" spans="1:6" x14ac:dyDescent="0.3">
      <c r="A241" s="29" t="s">
        <v>659</v>
      </c>
      <c r="B241">
        <v>14.9439545</v>
      </c>
      <c r="C241">
        <v>15.78141568</v>
      </c>
      <c r="E241" s="29">
        <f t="shared" si="3"/>
        <v>-0.83746118000000003</v>
      </c>
      <c r="F241" s="30">
        <v>42898</v>
      </c>
    </row>
    <row r="242" spans="1:6" x14ac:dyDescent="0.3">
      <c r="A242" s="29" t="s">
        <v>660</v>
      </c>
      <c r="B242">
        <v>13.999515499999999</v>
      </c>
      <c r="C242">
        <v>14.934277760000001</v>
      </c>
      <c r="E242" s="29">
        <f t="shared" si="3"/>
        <v>-0.93476226000000118</v>
      </c>
      <c r="F242" s="30">
        <v>42899</v>
      </c>
    </row>
    <row r="243" spans="1:6" x14ac:dyDescent="0.3">
      <c r="A243" s="29" t="s">
        <v>661</v>
      </c>
      <c r="B243">
        <v>15.0046471</v>
      </c>
      <c r="C243">
        <v>15.6419447</v>
      </c>
      <c r="E243" s="29">
        <f t="shared" si="3"/>
        <v>-0.63729760000000013</v>
      </c>
      <c r="F243" s="30">
        <v>42900</v>
      </c>
    </row>
    <row r="244" spans="1:6" x14ac:dyDescent="0.3">
      <c r="A244" s="29" t="s">
        <v>662</v>
      </c>
      <c r="B244">
        <v>14.0227393</v>
      </c>
      <c r="C244">
        <v>16.14237151</v>
      </c>
      <c r="E244" s="29">
        <f t="shared" si="3"/>
        <v>-2.1196322100000007</v>
      </c>
      <c r="F244" s="30">
        <v>42901</v>
      </c>
    </row>
    <row r="245" spans="1:6" x14ac:dyDescent="0.3">
      <c r="A245" s="29" t="s">
        <v>663</v>
      </c>
      <c r="B245">
        <v>14.3370677</v>
      </c>
      <c r="C245">
        <v>16.387637940000001</v>
      </c>
      <c r="E245" s="29">
        <f t="shared" si="3"/>
        <v>-2.0505702400000008</v>
      </c>
      <c r="F245" s="30">
        <v>42902</v>
      </c>
    </row>
    <row r="246" spans="1:6" x14ac:dyDescent="0.3">
      <c r="A246" s="29" t="s">
        <v>664</v>
      </c>
      <c r="B246">
        <v>12.6108551</v>
      </c>
      <c r="C246">
        <v>15.05641743</v>
      </c>
      <c r="E246" s="29">
        <f t="shared" si="3"/>
        <v>-2.4455623299999996</v>
      </c>
      <c r="F246" s="30">
        <v>42903</v>
      </c>
    </row>
    <row r="247" spans="1:6" x14ac:dyDescent="0.3">
      <c r="A247" s="29" t="s">
        <v>665</v>
      </c>
      <c r="B247">
        <v>13.930301200000001</v>
      </c>
      <c r="C247">
        <v>16.321971000000001</v>
      </c>
      <c r="E247" s="29">
        <f t="shared" si="3"/>
        <v>-2.3916698000000007</v>
      </c>
      <c r="F247" s="30">
        <v>42904</v>
      </c>
    </row>
    <row r="248" spans="1:6" x14ac:dyDescent="0.3">
      <c r="A248" s="29" t="s">
        <v>666</v>
      </c>
      <c r="B248">
        <v>14.194642200000001</v>
      </c>
      <c r="C248">
        <v>16.62238623</v>
      </c>
      <c r="E248" s="29">
        <f t="shared" si="3"/>
        <v>-2.4277440299999995</v>
      </c>
      <c r="F248" s="30">
        <v>42905</v>
      </c>
    </row>
    <row r="249" spans="1:6" x14ac:dyDescent="0.3">
      <c r="A249" s="29" t="s">
        <v>667</v>
      </c>
      <c r="B249">
        <v>14.279745</v>
      </c>
      <c r="C249">
        <v>15.90933538</v>
      </c>
      <c r="E249" s="29">
        <f t="shared" si="3"/>
        <v>-1.6295903799999998</v>
      </c>
      <c r="F249" s="30">
        <v>42906</v>
      </c>
    </row>
    <row r="250" spans="1:6" x14ac:dyDescent="0.3">
      <c r="A250" s="29" t="s">
        <v>668</v>
      </c>
      <c r="B250">
        <v>15.5332819</v>
      </c>
      <c r="C250">
        <v>14.66168186</v>
      </c>
      <c r="E250" s="29">
        <f t="shared" si="3"/>
        <v>0.87160004000000058</v>
      </c>
      <c r="F250" s="30">
        <v>42907</v>
      </c>
    </row>
    <row r="251" spans="1:6" x14ac:dyDescent="0.3">
      <c r="A251" s="29" t="s">
        <v>669</v>
      </c>
      <c r="B251">
        <v>17.765804599999999</v>
      </c>
      <c r="C251">
        <v>15.76477826</v>
      </c>
      <c r="E251" s="29">
        <f t="shared" si="3"/>
        <v>2.0010263399999992</v>
      </c>
      <c r="F251" s="30">
        <v>42908</v>
      </c>
    </row>
    <row r="252" spans="1:6" x14ac:dyDescent="0.3">
      <c r="A252" s="29" t="s">
        <v>670</v>
      </c>
      <c r="B252">
        <v>18.588041799999999</v>
      </c>
      <c r="C252">
        <v>17.279519520000001</v>
      </c>
      <c r="E252" s="29">
        <f t="shared" si="3"/>
        <v>1.3085222799999983</v>
      </c>
      <c r="F252" s="30">
        <v>42909</v>
      </c>
    </row>
    <row r="253" spans="1:6" x14ac:dyDescent="0.3">
      <c r="A253" s="29" t="s">
        <v>671</v>
      </c>
      <c r="B253">
        <v>19.0553369</v>
      </c>
      <c r="C253">
        <v>16.586878209999998</v>
      </c>
      <c r="E253" s="29">
        <f t="shared" si="3"/>
        <v>2.4684586900000021</v>
      </c>
      <c r="F253" s="30">
        <v>42910</v>
      </c>
    </row>
    <row r="254" spans="1:6" x14ac:dyDescent="0.3">
      <c r="A254" s="29" t="s">
        <v>672</v>
      </c>
      <c r="B254">
        <v>19.499476000000001</v>
      </c>
      <c r="C254">
        <v>16.07368859</v>
      </c>
      <c r="E254" s="29">
        <f t="shared" si="3"/>
        <v>3.4257874100000016</v>
      </c>
      <c r="F254" s="30">
        <v>42911</v>
      </c>
    </row>
    <row r="255" spans="1:6" x14ac:dyDescent="0.3">
      <c r="A255" s="29" t="s">
        <v>673</v>
      </c>
      <c r="B255">
        <v>19.6506294</v>
      </c>
      <c r="C255">
        <v>18.143039989999998</v>
      </c>
      <c r="E255" s="29">
        <f t="shared" si="3"/>
        <v>1.5075894100000014</v>
      </c>
      <c r="F255" s="30">
        <v>42912</v>
      </c>
    </row>
    <row r="256" spans="1:6" x14ac:dyDescent="0.3">
      <c r="A256" s="29" t="s">
        <v>674</v>
      </c>
      <c r="B256">
        <v>20.867045900000001</v>
      </c>
      <c r="C256">
        <v>18.167227709999999</v>
      </c>
      <c r="E256" s="29">
        <f t="shared" si="3"/>
        <v>2.699818190000002</v>
      </c>
      <c r="F256" s="30">
        <v>42913</v>
      </c>
    </row>
    <row r="257" spans="1:6" x14ac:dyDescent="0.3">
      <c r="A257" s="29" t="s">
        <v>675</v>
      </c>
      <c r="B257">
        <v>20.791075800000002</v>
      </c>
      <c r="C257">
        <v>17.47876278</v>
      </c>
      <c r="E257" s="29">
        <f t="shared" si="3"/>
        <v>3.3123130200000013</v>
      </c>
      <c r="F257" s="30">
        <v>42914</v>
      </c>
    </row>
    <row r="258" spans="1:6" x14ac:dyDescent="0.3">
      <c r="A258" s="29" t="s">
        <v>676</v>
      </c>
      <c r="B258">
        <v>20.770547499999999</v>
      </c>
      <c r="C258">
        <v>15.8388948</v>
      </c>
      <c r="E258" s="29">
        <f t="shared" si="3"/>
        <v>4.931652699999999</v>
      </c>
      <c r="F258" s="30">
        <v>42915</v>
      </c>
    </row>
    <row r="259" spans="1:6" x14ac:dyDescent="0.3">
      <c r="A259" s="29" t="s">
        <v>677</v>
      </c>
      <c r="B259">
        <v>20.493868299999999</v>
      </c>
      <c r="C259">
        <v>14.23943098</v>
      </c>
      <c r="E259" s="29">
        <f t="shared" ref="E259:E315" si="4">B259-C259</f>
        <v>6.2544373199999992</v>
      </c>
      <c r="F259" s="30">
        <v>42916</v>
      </c>
    </row>
    <row r="260" spans="1:6" x14ac:dyDescent="0.3">
      <c r="A260" s="29" t="s">
        <v>678</v>
      </c>
      <c r="B260">
        <v>22.5242726</v>
      </c>
      <c r="C260">
        <v>14.92002682</v>
      </c>
      <c r="E260" s="29">
        <f t="shared" si="4"/>
        <v>7.6042457799999994</v>
      </c>
      <c r="F260" s="30">
        <v>42917</v>
      </c>
    </row>
    <row r="261" spans="1:6" x14ac:dyDescent="0.3">
      <c r="A261" s="29" t="s">
        <v>679</v>
      </c>
      <c r="B261">
        <v>24.401577499999998</v>
      </c>
      <c r="C261">
        <v>14.122154119999999</v>
      </c>
      <c r="E261" s="29">
        <f t="shared" si="4"/>
        <v>10.279423379999999</v>
      </c>
      <c r="F261" s="30">
        <v>42918</v>
      </c>
    </row>
    <row r="262" spans="1:6" x14ac:dyDescent="0.3">
      <c r="A262" s="29" t="s">
        <v>680</v>
      </c>
      <c r="B262">
        <v>25.103930600000002</v>
      </c>
      <c r="C262">
        <v>16.937831849999998</v>
      </c>
      <c r="E262" s="29">
        <f t="shared" si="4"/>
        <v>8.1660987500000033</v>
      </c>
      <c r="F262" s="30">
        <v>42919</v>
      </c>
    </row>
    <row r="263" spans="1:6" x14ac:dyDescent="0.3">
      <c r="A263" s="29" t="s">
        <v>681</v>
      </c>
      <c r="B263">
        <v>26.3967758</v>
      </c>
      <c r="C263">
        <v>17.911033639999999</v>
      </c>
      <c r="E263" s="29">
        <f t="shared" si="4"/>
        <v>8.4857421600000009</v>
      </c>
      <c r="F263" s="30">
        <v>42920</v>
      </c>
    </row>
    <row r="264" spans="1:6" x14ac:dyDescent="0.3">
      <c r="A264" s="29" t="s">
        <v>682</v>
      </c>
      <c r="B264">
        <v>26.056535799999999</v>
      </c>
      <c r="C264">
        <v>16.659664169999999</v>
      </c>
      <c r="E264" s="29">
        <f t="shared" si="4"/>
        <v>9.3968716299999997</v>
      </c>
      <c r="F264" s="30">
        <v>42921</v>
      </c>
    </row>
    <row r="265" spans="1:6" x14ac:dyDescent="0.3">
      <c r="A265" s="29" t="s">
        <v>683</v>
      </c>
      <c r="B265">
        <v>27.010589299999999</v>
      </c>
      <c r="C265">
        <v>17.21171125</v>
      </c>
      <c r="E265" s="29">
        <f t="shared" si="4"/>
        <v>9.798878049999999</v>
      </c>
      <c r="F265" s="30">
        <v>42922</v>
      </c>
    </row>
    <row r="266" spans="1:6" x14ac:dyDescent="0.3">
      <c r="A266" s="29" t="s">
        <v>684</v>
      </c>
      <c r="B266">
        <v>26.226567299999999</v>
      </c>
      <c r="C266">
        <v>16.138625380000001</v>
      </c>
      <c r="E266" s="29">
        <f t="shared" si="4"/>
        <v>10.087941919999999</v>
      </c>
      <c r="F266" s="30">
        <v>42923</v>
      </c>
    </row>
    <row r="267" spans="1:6" x14ac:dyDescent="0.3">
      <c r="A267" s="29" t="s">
        <v>685</v>
      </c>
      <c r="B267">
        <v>26.629063500000001</v>
      </c>
      <c r="C267">
        <v>16.501143190000001</v>
      </c>
      <c r="E267" s="29">
        <f t="shared" si="4"/>
        <v>10.12792031</v>
      </c>
      <c r="F267" s="30">
        <v>42924</v>
      </c>
    </row>
    <row r="268" spans="1:6" x14ac:dyDescent="0.3">
      <c r="A268" s="29" t="s">
        <v>686</v>
      </c>
      <c r="B268">
        <v>27.092353899999999</v>
      </c>
      <c r="C268">
        <v>15.91465326</v>
      </c>
      <c r="E268" s="29">
        <f t="shared" si="4"/>
        <v>11.177700639999999</v>
      </c>
      <c r="F268" s="30">
        <v>42925</v>
      </c>
    </row>
    <row r="269" spans="1:6" x14ac:dyDescent="0.3">
      <c r="A269" s="29" t="s">
        <v>687</v>
      </c>
      <c r="B269">
        <v>26.414380600000001</v>
      </c>
      <c r="C269">
        <v>15.7549925</v>
      </c>
      <c r="E269" s="29">
        <f t="shared" si="4"/>
        <v>10.659388100000001</v>
      </c>
      <c r="F269" s="30">
        <v>42926</v>
      </c>
    </row>
    <row r="270" spans="1:6" x14ac:dyDescent="0.3">
      <c r="A270" s="29" t="s">
        <v>688</v>
      </c>
      <c r="B270">
        <v>28.818400400000002</v>
      </c>
      <c r="C270">
        <v>15.273289739999999</v>
      </c>
      <c r="E270" s="29">
        <f t="shared" si="4"/>
        <v>13.545110660000002</v>
      </c>
      <c r="F270" s="30">
        <v>42927</v>
      </c>
    </row>
    <row r="271" spans="1:6" x14ac:dyDescent="0.3">
      <c r="A271" s="29" t="s">
        <v>689</v>
      </c>
      <c r="B271">
        <v>28.7201813</v>
      </c>
      <c r="C271">
        <v>14.58045429</v>
      </c>
      <c r="E271" s="29">
        <f t="shared" si="4"/>
        <v>14.13972701</v>
      </c>
      <c r="F271" s="30">
        <v>42928</v>
      </c>
    </row>
    <row r="272" spans="1:6" x14ac:dyDescent="0.3">
      <c r="A272" s="29" t="s">
        <v>690</v>
      </c>
      <c r="B272">
        <v>27.012437200000001</v>
      </c>
      <c r="C272">
        <v>14.77018631</v>
      </c>
      <c r="E272" s="29">
        <f t="shared" si="4"/>
        <v>12.242250890000001</v>
      </c>
      <c r="F272" s="30">
        <v>42929</v>
      </c>
    </row>
    <row r="273" spans="1:6" x14ac:dyDescent="0.3">
      <c r="A273" s="29" t="s">
        <v>691</v>
      </c>
      <c r="B273">
        <v>27.404705700000001</v>
      </c>
      <c r="C273">
        <v>14.94810124</v>
      </c>
      <c r="E273" s="29">
        <f t="shared" si="4"/>
        <v>12.456604460000001</v>
      </c>
      <c r="F273" s="30">
        <v>42930</v>
      </c>
    </row>
    <row r="274" spans="1:6" x14ac:dyDescent="0.3">
      <c r="A274" s="29" t="s">
        <v>692</v>
      </c>
      <c r="B274">
        <v>27.107912800000001</v>
      </c>
      <c r="C274">
        <v>16.919284439999998</v>
      </c>
      <c r="E274" s="29">
        <f t="shared" si="4"/>
        <v>10.188628360000003</v>
      </c>
      <c r="F274" s="30">
        <v>42931</v>
      </c>
    </row>
    <row r="275" spans="1:6" x14ac:dyDescent="0.3">
      <c r="A275" s="29" t="s">
        <v>693</v>
      </c>
      <c r="B275">
        <v>28.392663899999999</v>
      </c>
      <c r="C275">
        <v>16.425768179999999</v>
      </c>
      <c r="E275" s="29">
        <f t="shared" si="4"/>
        <v>11.96689572</v>
      </c>
      <c r="F275" s="30">
        <v>42932</v>
      </c>
    </row>
    <row r="276" spans="1:6" x14ac:dyDescent="0.3">
      <c r="A276" s="29" t="s">
        <v>694</v>
      </c>
      <c r="B276">
        <v>25.988038599999999</v>
      </c>
      <c r="C276">
        <v>14.957167249999999</v>
      </c>
      <c r="E276" s="29">
        <f t="shared" si="4"/>
        <v>11.03087135</v>
      </c>
      <c r="F276" s="30">
        <v>42933</v>
      </c>
    </row>
    <row r="277" spans="1:6" x14ac:dyDescent="0.3">
      <c r="A277" s="29" t="s">
        <v>695</v>
      </c>
      <c r="B277">
        <v>28.129447200000001</v>
      </c>
      <c r="C277">
        <v>14.29470517</v>
      </c>
      <c r="E277" s="29">
        <f t="shared" si="4"/>
        <v>13.834742030000001</v>
      </c>
      <c r="F277" s="30">
        <v>42934</v>
      </c>
    </row>
    <row r="278" spans="1:6" x14ac:dyDescent="0.3">
      <c r="A278" s="29" t="s">
        <v>696</v>
      </c>
      <c r="B278">
        <v>29.154746400000001</v>
      </c>
      <c r="C278">
        <v>15.56275005</v>
      </c>
      <c r="E278" s="29">
        <f t="shared" si="4"/>
        <v>13.591996350000001</v>
      </c>
      <c r="F278" s="30">
        <v>42935</v>
      </c>
    </row>
    <row r="279" spans="1:6" x14ac:dyDescent="0.3">
      <c r="A279" s="29" t="s">
        <v>697</v>
      </c>
      <c r="B279">
        <v>29.562753699999998</v>
      </c>
      <c r="C279">
        <v>16.520165689999999</v>
      </c>
      <c r="E279" s="29">
        <f t="shared" si="4"/>
        <v>13.042588009999999</v>
      </c>
      <c r="F279" s="30">
        <v>42936</v>
      </c>
    </row>
    <row r="280" spans="1:6" x14ac:dyDescent="0.3">
      <c r="A280" s="29" t="s">
        <v>698</v>
      </c>
      <c r="B280">
        <v>30.383108400000001</v>
      </c>
      <c r="C280">
        <v>17.106444209999999</v>
      </c>
      <c r="E280" s="29">
        <f t="shared" si="4"/>
        <v>13.276664190000002</v>
      </c>
      <c r="F280" s="30">
        <v>42937</v>
      </c>
    </row>
    <row r="281" spans="1:6" x14ac:dyDescent="0.3">
      <c r="A281" s="29" t="s">
        <v>699</v>
      </c>
      <c r="B281">
        <v>31.484491299999998</v>
      </c>
      <c r="C281">
        <v>16.71413802</v>
      </c>
      <c r="E281" s="29">
        <f t="shared" si="4"/>
        <v>14.770353279999998</v>
      </c>
      <c r="F281" s="30">
        <v>42938</v>
      </c>
    </row>
    <row r="282" spans="1:6" x14ac:dyDescent="0.3">
      <c r="A282" s="29" t="s">
        <v>700</v>
      </c>
      <c r="B282">
        <v>31.294224499999999</v>
      </c>
      <c r="C282">
        <v>16.977897840000001</v>
      </c>
      <c r="E282" s="29">
        <f t="shared" si="4"/>
        <v>14.316326659999998</v>
      </c>
      <c r="F282" s="30">
        <v>42939</v>
      </c>
    </row>
    <row r="283" spans="1:6" x14ac:dyDescent="0.3">
      <c r="A283" s="29" t="s">
        <v>701</v>
      </c>
      <c r="B283">
        <v>32.397774699999999</v>
      </c>
      <c r="C283">
        <v>17.583929099999999</v>
      </c>
      <c r="E283" s="29">
        <f t="shared" si="4"/>
        <v>14.813845600000001</v>
      </c>
      <c r="F283" s="30">
        <v>42940</v>
      </c>
    </row>
    <row r="284" spans="1:6" x14ac:dyDescent="0.3">
      <c r="A284" s="29" t="s">
        <v>702</v>
      </c>
      <c r="B284">
        <v>33.070366</v>
      </c>
      <c r="C284">
        <v>17.132833460000001</v>
      </c>
      <c r="E284" s="29">
        <f t="shared" si="4"/>
        <v>15.937532539999999</v>
      </c>
      <c r="F284" s="30">
        <v>42941</v>
      </c>
    </row>
    <row r="285" spans="1:6" x14ac:dyDescent="0.3">
      <c r="A285" s="29" t="s">
        <v>703</v>
      </c>
      <c r="B285">
        <v>31.6838142</v>
      </c>
      <c r="C285">
        <v>17.57656171</v>
      </c>
      <c r="E285" s="29">
        <f t="shared" si="4"/>
        <v>14.10725249</v>
      </c>
      <c r="F285" s="30">
        <v>42942</v>
      </c>
    </row>
    <row r="286" spans="1:6" x14ac:dyDescent="0.3">
      <c r="A286" s="29" t="s">
        <v>704</v>
      </c>
      <c r="B286">
        <v>32.661429699999999</v>
      </c>
      <c r="C286">
        <v>19.696832400000002</v>
      </c>
      <c r="E286" s="29">
        <f t="shared" si="4"/>
        <v>12.964597299999998</v>
      </c>
      <c r="F286" s="30">
        <v>42943</v>
      </c>
    </row>
    <row r="287" spans="1:6" x14ac:dyDescent="0.3">
      <c r="A287" s="29" t="s">
        <v>705</v>
      </c>
      <c r="B287">
        <v>34.306206000000003</v>
      </c>
      <c r="C287">
        <v>19.398428249999998</v>
      </c>
      <c r="E287" s="29">
        <f t="shared" si="4"/>
        <v>14.907777750000005</v>
      </c>
      <c r="F287" s="30">
        <v>42944</v>
      </c>
    </row>
    <row r="288" spans="1:6" x14ac:dyDescent="0.3">
      <c r="A288" s="29" t="s">
        <v>706</v>
      </c>
      <c r="B288">
        <v>34.502775</v>
      </c>
      <c r="C288">
        <v>19.39896779</v>
      </c>
      <c r="E288" s="29">
        <f t="shared" si="4"/>
        <v>15.103807209999999</v>
      </c>
      <c r="F288" s="30">
        <v>42945</v>
      </c>
    </row>
    <row r="289" spans="1:6" x14ac:dyDescent="0.3">
      <c r="A289" s="29" t="s">
        <v>707</v>
      </c>
      <c r="B289">
        <v>35.235598699999997</v>
      </c>
      <c r="C289">
        <v>20.81129327</v>
      </c>
      <c r="E289" s="29">
        <f t="shared" si="4"/>
        <v>14.424305429999997</v>
      </c>
      <c r="F289" s="30">
        <v>42946</v>
      </c>
    </row>
    <row r="290" spans="1:6" x14ac:dyDescent="0.3">
      <c r="A290" s="29" t="s">
        <v>708</v>
      </c>
      <c r="B290">
        <v>35.052008200000003</v>
      </c>
      <c r="C290">
        <v>21.248937789999999</v>
      </c>
      <c r="E290" s="29">
        <f t="shared" si="4"/>
        <v>13.803070410000004</v>
      </c>
      <c r="F290" s="30">
        <v>42947</v>
      </c>
    </row>
    <row r="291" spans="1:6" x14ac:dyDescent="0.3">
      <c r="A291" s="29" t="s">
        <v>709</v>
      </c>
      <c r="B291">
        <v>32.518099200000002</v>
      </c>
      <c r="C291">
        <v>22.61180049</v>
      </c>
      <c r="E291" s="29">
        <f t="shared" si="4"/>
        <v>9.9062987100000015</v>
      </c>
      <c r="F291" s="30">
        <v>42948</v>
      </c>
    </row>
    <row r="292" spans="1:6" x14ac:dyDescent="0.3">
      <c r="A292" s="29" t="s">
        <v>710</v>
      </c>
      <c r="B292">
        <v>32.367420600000003</v>
      </c>
      <c r="C292">
        <v>23.544915029999999</v>
      </c>
      <c r="E292" s="29">
        <f t="shared" si="4"/>
        <v>8.8225055700000041</v>
      </c>
      <c r="F292" s="30">
        <v>42949</v>
      </c>
    </row>
    <row r="293" spans="1:6" x14ac:dyDescent="0.3">
      <c r="A293" s="29" t="s">
        <v>711</v>
      </c>
      <c r="B293">
        <v>32.723253399999997</v>
      </c>
      <c r="C293">
        <v>21.72543349</v>
      </c>
      <c r="E293" s="29">
        <f t="shared" si="4"/>
        <v>10.997819909999997</v>
      </c>
      <c r="F293" s="30">
        <v>42950</v>
      </c>
    </row>
    <row r="294" spans="1:6" x14ac:dyDescent="0.3">
      <c r="A294" s="29" t="s">
        <v>712</v>
      </c>
      <c r="B294">
        <v>33.4749415</v>
      </c>
      <c r="C294">
        <v>20.922140779999999</v>
      </c>
      <c r="E294" s="29">
        <f t="shared" si="4"/>
        <v>12.55280072</v>
      </c>
      <c r="F294" s="30">
        <v>42951</v>
      </c>
    </row>
    <row r="295" spans="1:6" x14ac:dyDescent="0.3">
      <c r="A295" s="29" t="s">
        <v>713</v>
      </c>
      <c r="B295">
        <v>32.193611799999999</v>
      </c>
      <c r="C295">
        <v>20.819355640000001</v>
      </c>
      <c r="E295" s="29">
        <f t="shared" si="4"/>
        <v>11.374256159999998</v>
      </c>
      <c r="F295" s="30">
        <v>42952</v>
      </c>
    </row>
    <row r="296" spans="1:6" x14ac:dyDescent="0.3">
      <c r="A296" s="29" t="s">
        <v>714</v>
      </c>
      <c r="B296">
        <v>30.997175500000001</v>
      </c>
      <c r="C296">
        <v>20.20426556</v>
      </c>
      <c r="E296" s="29">
        <f t="shared" si="4"/>
        <v>10.792909940000001</v>
      </c>
      <c r="F296" s="30">
        <v>42953</v>
      </c>
    </row>
    <row r="297" spans="1:6" x14ac:dyDescent="0.3">
      <c r="A297" s="29" t="s">
        <v>715</v>
      </c>
      <c r="B297">
        <v>30.6058153</v>
      </c>
      <c r="C297">
        <v>21.939780620000001</v>
      </c>
      <c r="E297" s="29">
        <f t="shared" si="4"/>
        <v>8.6660346799999992</v>
      </c>
      <c r="F297" s="30">
        <v>42954</v>
      </c>
    </row>
    <row r="298" spans="1:6" x14ac:dyDescent="0.3">
      <c r="A298" s="29" t="s">
        <v>716</v>
      </c>
      <c r="B298">
        <v>28.8599766</v>
      </c>
      <c r="C298">
        <v>21.307709580000001</v>
      </c>
      <c r="E298" s="29">
        <f t="shared" si="4"/>
        <v>7.5522670199999986</v>
      </c>
      <c r="F298" s="30">
        <v>42955</v>
      </c>
    </row>
    <row r="299" spans="1:6" x14ac:dyDescent="0.3">
      <c r="A299" s="29" t="s">
        <v>717</v>
      </c>
      <c r="B299">
        <v>28.974406399999999</v>
      </c>
      <c r="C299">
        <v>19.964526360000001</v>
      </c>
      <c r="E299" s="29">
        <f t="shared" si="4"/>
        <v>9.0098800399999988</v>
      </c>
      <c r="F299" s="30">
        <v>42956</v>
      </c>
    </row>
    <row r="300" spans="1:6" x14ac:dyDescent="0.3">
      <c r="A300" s="29" t="s">
        <v>718</v>
      </c>
      <c r="B300">
        <v>29.373684799999999</v>
      </c>
      <c r="C300">
        <v>21.458548870000001</v>
      </c>
      <c r="E300" s="29">
        <f t="shared" si="4"/>
        <v>7.9151359299999982</v>
      </c>
      <c r="F300" s="30">
        <v>42957</v>
      </c>
    </row>
    <row r="301" spans="1:6" x14ac:dyDescent="0.3">
      <c r="A301" s="29" t="s">
        <v>719</v>
      </c>
      <c r="B301">
        <v>30.305443400000001</v>
      </c>
      <c r="C301">
        <v>22.041096679999999</v>
      </c>
      <c r="E301" s="29">
        <f t="shared" si="4"/>
        <v>8.2643467200000025</v>
      </c>
      <c r="F301" s="30">
        <v>42958</v>
      </c>
    </row>
    <row r="302" spans="1:6" x14ac:dyDescent="0.3">
      <c r="A302" s="29" t="s">
        <v>720</v>
      </c>
      <c r="B302">
        <v>31.806911499999998</v>
      </c>
      <c r="C302">
        <v>22.870941640000002</v>
      </c>
      <c r="E302" s="29">
        <f t="shared" si="4"/>
        <v>8.9359698599999966</v>
      </c>
      <c r="F302" s="30">
        <v>42959</v>
      </c>
    </row>
    <row r="303" spans="1:6" x14ac:dyDescent="0.3">
      <c r="A303" s="29" t="s">
        <v>721</v>
      </c>
      <c r="B303">
        <v>30.995361599999999</v>
      </c>
      <c r="C303">
        <v>24.441930939999999</v>
      </c>
      <c r="E303" s="29">
        <f t="shared" si="4"/>
        <v>6.5534306600000001</v>
      </c>
      <c r="F303" s="30">
        <v>42960</v>
      </c>
    </row>
    <row r="304" spans="1:6" x14ac:dyDescent="0.3">
      <c r="A304" s="29" t="s">
        <v>722</v>
      </c>
      <c r="B304">
        <v>31.8177436</v>
      </c>
      <c r="C304">
        <v>24.783953109999999</v>
      </c>
      <c r="E304" s="29">
        <f t="shared" si="4"/>
        <v>7.0337904900000012</v>
      </c>
      <c r="F304" s="30">
        <v>42961</v>
      </c>
    </row>
    <row r="305" spans="1:6" x14ac:dyDescent="0.3">
      <c r="A305" s="29" t="s">
        <v>723</v>
      </c>
      <c r="B305">
        <v>30.6556903</v>
      </c>
      <c r="C305">
        <v>24.280384049999999</v>
      </c>
      <c r="E305" s="29">
        <f t="shared" si="4"/>
        <v>6.3753062500000013</v>
      </c>
      <c r="F305" s="30">
        <v>42962</v>
      </c>
    </row>
    <row r="306" spans="1:6" x14ac:dyDescent="0.3">
      <c r="A306" s="29" t="s">
        <v>724</v>
      </c>
      <c r="B306">
        <v>31.776146300000001</v>
      </c>
      <c r="C306">
        <v>25.534453150000001</v>
      </c>
      <c r="E306" s="29">
        <f t="shared" si="4"/>
        <v>6.2416931499999997</v>
      </c>
      <c r="F306" s="30">
        <v>42963</v>
      </c>
    </row>
    <row r="307" spans="1:6" x14ac:dyDescent="0.3">
      <c r="A307" s="29" t="s">
        <v>725</v>
      </c>
      <c r="B307">
        <v>32.770821499999997</v>
      </c>
      <c r="C307">
        <v>24.632284389999999</v>
      </c>
      <c r="E307" s="29">
        <f t="shared" si="4"/>
        <v>8.1385371099999979</v>
      </c>
      <c r="F307" s="30">
        <v>42964</v>
      </c>
    </row>
    <row r="308" spans="1:6" x14ac:dyDescent="0.3">
      <c r="A308" s="29" t="s">
        <v>726</v>
      </c>
      <c r="B308">
        <v>32.039999100000003</v>
      </c>
      <c r="C308">
        <v>25.169693880000001</v>
      </c>
      <c r="E308" s="29">
        <f t="shared" si="4"/>
        <v>6.8703052200000023</v>
      </c>
      <c r="F308" s="30">
        <v>42965</v>
      </c>
    </row>
    <row r="309" spans="1:6" x14ac:dyDescent="0.3">
      <c r="A309" s="29" t="s">
        <v>727</v>
      </c>
      <c r="B309">
        <v>32.836145799999997</v>
      </c>
      <c r="C309">
        <v>25.534890820000001</v>
      </c>
      <c r="E309" s="29">
        <f t="shared" si="4"/>
        <v>7.301254979999996</v>
      </c>
      <c r="F309" s="30">
        <v>42966</v>
      </c>
    </row>
    <row r="310" spans="1:6" x14ac:dyDescent="0.3">
      <c r="A310" s="29" t="s">
        <v>728</v>
      </c>
      <c r="B310">
        <v>31.0304815</v>
      </c>
      <c r="C310">
        <v>24.84098277</v>
      </c>
      <c r="E310" s="29">
        <f t="shared" si="4"/>
        <v>6.1894987300000004</v>
      </c>
      <c r="F310" s="30">
        <v>42967</v>
      </c>
    </row>
    <row r="311" spans="1:6" x14ac:dyDescent="0.3">
      <c r="A311" s="29" t="s">
        <v>729</v>
      </c>
      <c r="B311">
        <v>31.784267799999999</v>
      </c>
      <c r="C311">
        <v>24.899821729999999</v>
      </c>
      <c r="E311" s="29">
        <f t="shared" si="4"/>
        <v>6.8844460699999992</v>
      </c>
      <c r="F311" s="30">
        <v>42968</v>
      </c>
    </row>
    <row r="312" spans="1:6" x14ac:dyDescent="0.3">
      <c r="A312" s="29" t="s">
        <v>730</v>
      </c>
      <c r="B312">
        <v>33.474497300000003</v>
      </c>
      <c r="C312">
        <v>26.246289010000002</v>
      </c>
      <c r="E312" s="29">
        <f t="shared" si="4"/>
        <v>7.2282082900000013</v>
      </c>
      <c r="F312" s="30">
        <v>42969</v>
      </c>
    </row>
    <row r="313" spans="1:6" x14ac:dyDescent="0.3">
      <c r="A313" s="29" t="s">
        <v>731</v>
      </c>
      <c r="B313">
        <v>32.821564199999997</v>
      </c>
      <c r="C313">
        <v>27.463311600000001</v>
      </c>
      <c r="E313" s="29">
        <f t="shared" si="4"/>
        <v>5.3582525999999966</v>
      </c>
      <c r="F313" s="30">
        <v>42970</v>
      </c>
    </row>
    <row r="314" spans="1:6" x14ac:dyDescent="0.3">
      <c r="A314" s="29" t="s">
        <v>732</v>
      </c>
      <c r="B314">
        <v>32.245335799999999</v>
      </c>
      <c r="C314">
        <v>28.11955386</v>
      </c>
      <c r="E314" s="29">
        <f t="shared" si="4"/>
        <v>4.1257819399999995</v>
      </c>
      <c r="F314" s="30">
        <v>42971</v>
      </c>
    </row>
    <row r="315" spans="1:6" x14ac:dyDescent="0.3">
      <c r="A315" s="29" t="s">
        <v>733</v>
      </c>
      <c r="B315">
        <v>31.0643213</v>
      </c>
      <c r="C315">
        <v>26.861938210000002</v>
      </c>
      <c r="E315" s="29">
        <f t="shared" si="4"/>
        <v>4.2023830899999979</v>
      </c>
      <c r="F315" s="30">
        <v>42972</v>
      </c>
    </row>
    <row r="316" spans="1:6" x14ac:dyDescent="0.3">
      <c r="A316" s="29" t="s">
        <v>734</v>
      </c>
      <c r="F316" s="30"/>
    </row>
    <row r="317" spans="1:6" x14ac:dyDescent="0.3">
      <c r="A317" s="29" t="s">
        <v>735</v>
      </c>
      <c r="F317" s="30"/>
    </row>
    <row r="318" spans="1:6" x14ac:dyDescent="0.3">
      <c r="A318" s="29" t="s">
        <v>736</v>
      </c>
      <c r="F318" s="30"/>
    </row>
    <row r="319" spans="1:6" x14ac:dyDescent="0.3">
      <c r="A319" s="29" t="s">
        <v>737</v>
      </c>
      <c r="F319" s="30"/>
    </row>
    <row r="320" spans="1:6" x14ac:dyDescent="0.3">
      <c r="A320" s="29" t="s">
        <v>738</v>
      </c>
      <c r="F320" s="30"/>
    </row>
    <row r="321" spans="1:6" x14ac:dyDescent="0.3">
      <c r="A321" s="29" t="s">
        <v>739</v>
      </c>
      <c r="F321" s="30"/>
    </row>
    <row r="322" spans="1:6" x14ac:dyDescent="0.3">
      <c r="A322" s="29" t="s">
        <v>740</v>
      </c>
      <c r="F322" s="30"/>
    </row>
    <row r="323" spans="1:6" x14ac:dyDescent="0.3">
      <c r="A323" s="29" t="s">
        <v>741</v>
      </c>
      <c r="F323" s="30"/>
    </row>
    <row r="324" spans="1:6" x14ac:dyDescent="0.3">
      <c r="A324" s="29" t="s">
        <v>742</v>
      </c>
      <c r="F324" s="30"/>
    </row>
    <row r="325" spans="1:6" x14ac:dyDescent="0.3">
      <c r="A325" s="29" t="s">
        <v>743</v>
      </c>
      <c r="F325" s="30"/>
    </row>
    <row r="326" spans="1:6" x14ac:dyDescent="0.3">
      <c r="A326" s="29" t="s">
        <v>744</v>
      </c>
      <c r="F326" s="30"/>
    </row>
    <row r="327" spans="1:6" x14ac:dyDescent="0.3">
      <c r="A327" s="29" t="s">
        <v>745</v>
      </c>
      <c r="F327" s="30"/>
    </row>
    <row r="328" spans="1:6" x14ac:dyDescent="0.3">
      <c r="A328" s="29" t="s">
        <v>746</v>
      </c>
      <c r="F328" s="30"/>
    </row>
    <row r="329" spans="1:6" x14ac:dyDescent="0.3">
      <c r="A329" s="29" t="s">
        <v>747</v>
      </c>
      <c r="F329" s="30"/>
    </row>
    <row r="330" spans="1:6" x14ac:dyDescent="0.3">
      <c r="A330" s="29" t="s">
        <v>748</v>
      </c>
      <c r="F330" s="30"/>
    </row>
    <row r="331" spans="1:6" x14ac:dyDescent="0.3">
      <c r="A331" s="29" t="s">
        <v>749</v>
      </c>
      <c r="F331" s="30"/>
    </row>
    <row r="332" spans="1:6" x14ac:dyDescent="0.3">
      <c r="A332" s="29" t="s">
        <v>750</v>
      </c>
      <c r="F332" s="30"/>
    </row>
    <row r="333" spans="1:6" x14ac:dyDescent="0.3">
      <c r="A333" s="29" t="s">
        <v>751</v>
      </c>
      <c r="F333" s="30"/>
    </row>
    <row r="334" spans="1:6" x14ac:dyDescent="0.3">
      <c r="A334" s="29" t="s">
        <v>752</v>
      </c>
      <c r="F334" s="30"/>
    </row>
    <row r="335" spans="1:6" x14ac:dyDescent="0.3">
      <c r="A335" s="29" t="s">
        <v>753</v>
      </c>
      <c r="F335" s="30"/>
    </row>
    <row r="336" spans="1:6" x14ac:dyDescent="0.3">
      <c r="A336" s="29" t="s">
        <v>754</v>
      </c>
      <c r="F336" s="30"/>
    </row>
    <row r="337" spans="1:6" x14ac:dyDescent="0.3">
      <c r="A337" s="29" t="s">
        <v>755</v>
      </c>
      <c r="F337" s="30"/>
    </row>
    <row r="338" spans="1:6" x14ac:dyDescent="0.3">
      <c r="A338" s="29" t="s">
        <v>756</v>
      </c>
      <c r="F338" s="30"/>
    </row>
    <row r="339" spans="1:6" x14ac:dyDescent="0.3">
      <c r="A339" s="29" t="s">
        <v>757</v>
      </c>
      <c r="F339" s="30"/>
    </row>
    <row r="340" spans="1:6" x14ac:dyDescent="0.3">
      <c r="A340" s="29" t="s">
        <v>758</v>
      </c>
      <c r="F340" s="30"/>
    </row>
    <row r="341" spans="1:6" x14ac:dyDescent="0.3">
      <c r="A341" s="29" t="s">
        <v>759</v>
      </c>
      <c r="F341" s="30"/>
    </row>
    <row r="342" spans="1:6" x14ac:dyDescent="0.3">
      <c r="A342" s="29" t="s">
        <v>760</v>
      </c>
      <c r="F342" s="30"/>
    </row>
    <row r="343" spans="1:6" x14ac:dyDescent="0.3">
      <c r="A343" s="29" t="s">
        <v>761</v>
      </c>
      <c r="F343" s="30"/>
    </row>
    <row r="344" spans="1:6" x14ac:dyDescent="0.3">
      <c r="A344" s="29" t="s">
        <v>762</v>
      </c>
      <c r="F344" s="30"/>
    </row>
    <row r="345" spans="1:6" x14ac:dyDescent="0.3">
      <c r="A345" s="29" t="s">
        <v>763</v>
      </c>
      <c r="F345" s="30"/>
    </row>
    <row r="346" spans="1:6" x14ac:dyDescent="0.3">
      <c r="A346" s="29" t="s">
        <v>764</v>
      </c>
      <c r="F346" s="30"/>
    </row>
    <row r="347" spans="1:6" x14ac:dyDescent="0.3">
      <c r="A347" s="29" t="s">
        <v>765</v>
      </c>
      <c r="F347" s="30"/>
    </row>
    <row r="348" spans="1:6" x14ac:dyDescent="0.3">
      <c r="A348" s="29" t="s">
        <v>766</v>
      </c>
      <c r="F348" s="30"/>
    </row>
    <row r="349" spans="1:6" x14ac:dyDescent="0.3">
      <c r="A349" s="29" t="s">
        <v>767</v>
      </c>
      <c r="F349" s="30"/>
    </row>
    <row r="350" spans="1:6" x14ac:dyDescent="0.3">
      <c r="A350" s="29" t="s">
        <v>768</v>
      </c>
      <c r="F350" s="30"/>
    </row>
    <row r="351" spans="1:6" x14ac:dyDescent="0.3">
      <c r="A351" s="29" t="s">
        <v>769</v>
      </c>
      <c r="F351" s="30"/>
    </row>
    <row r="352" spans="1:6" x14ac:dyDescent="0.3">
      <c r="A352" s="29" t="s">
        <v>770</v>
      </c>
      <c r="F352" s="30"/>
    </row>
    <row r="353" spans="1:6" x14ac:dyDescent="0.3">
      <c r="A353" s="29" t="s">
        <v>771</v>
      </c>
      <c r="F353" s="30"/>
    </row>
    <row r="354" spans="1:6" x14ac:dyDescent="0.3">
      <c r="A354" s="29" t="s">
        <v>772</v>
      </c>
      <c r="F354" s="30"/>
    </row>
    <row r="355" spans="1:6" x14ac:dyDescent="0.3">
      <c r="A355" s="29" t="s">
        <v>773</v>
      </c>
      <c r="F355" s="30"/>
    </row>
    <row r="356" spans="1:6" x14ac:dyDescent="0.3">
      <c r="A356" s="29" t="s">
        <v>774</v>
      </c>
      <c r="F356" s="30"/>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33E507-60A0-41FE-8DF0-46EA64079F17}">
  <sheetPr codeName="Sheet8"/>
  <dimension ref="A1:F356"/>
  <sheetViews>
    <sheetView topLeftCell="F311" workbookViewId="0">
      <selection activeCell="O316" sqref="O316"/>
    </sheetView>
  </sheetViews>
  <sheetFormatPr defaultRowHeight="14.4" x14ac:dyDescent="0.3"/>
  <cols>
    <col min="1" max="1" width="37.21875" style="29" bestFit="1" customWidth="1"/>
    <col min="4" max="5" width="8.88671875" style="29"/>
    <col min="6" max="6" width="9.88671875" style="29" bestFit="1" customWidth="1"/>
    <col min="7" max="16384" width="8.88671875" style="29"/>
  </cols>
  <sheetData>
    <row r="1" spans="1:6" x14ac:dyDescent="0.3">
      <c r="A1" s="32"/>
      <c r="E1" s="29" t="s">
        <v>776</v>
      </c>
      <c r="F1" s="29" t="s">
        <v>775</v>
      </c>
    </row>
    <row r="2" spans="1:6" x14ac:dyDescent="0.3">
      <c r="A2" s="32" t="s">
        <v>451</v>
      </c>
      <c r="B2">
        <v>1.07831733</v>
      </c>
      <c r="C2">
        <v>-2.8438552800000001</v>
      </c>
      <c r="E2" s="29">
        <f>B2-C2</f>
        <v>3.9221726100000001</v>
      </c>
      <c r="F2" s="30">
        <v>42659</v>
      </c>
    </row>
    <row r="3" spans="1:6" x14ac:dyDescent="0.3">
      <c r="A3" s="32" t="s">
        <v>452</v>
      </c>
      <c r="B3">
        <v>2.3301119099999998</v>
      </c>
      <c r="C3">
        <v>-2.0654885200000002</v>
      </c>
      <c r="E3" s="29">
        <f t="shared" ref="E3:E66" si="0">B3-C3</f>
        <v>4.39560043</v>
      </c>
      <c r="F3" s="30">
        <v>42660</v>
      </c>
    </row>
    <row r="4" spans="1:6" x14ac:dyDescent="0.3">
      <c r="A4" s="32" t="s">
        <v>453</v>
      </c>
      <c r="B4">
        <v>1.8081327199999999</v>
      </c>
      <c r="C4">
        <v>-1.90150014</v>
      </c>
      <c r="E4" s="29">
        <f t="shared" si="0"/>
        <v>3.7096328600000001</v>
      </c>
      <c r="F4" s="30">
        <v>42661</v>
      </c>
    </row>
    <row r="5" spans="1:6" x14ac:dyDescent="0.3">
      <c r="A5" s="32" t="s">
        <v>454</v>
      </c>
      <c r="B5">
        <v>1.32965578</v>
      </c>
      <c r="C5">
        <v>-2.5652088900000001</v>
      </c>
      <c r="E5" s="29">
        <f t="shared" si="0"/>
        <v>3.89486467</v>
      </c>
      <c r="F5" s="30">
        <v>42662</v>
      </c>
    </row>
    <row r="6" spans="1:6" x14ac:dyDescent="0.3">
      <c r="A6" s="32" t="s">
        <v>455</v>
      </c>
      <c r="B6">
        <v>1.4116133799999999</v>
      </c>
      <c r="C6">
        <v>-1.6796195</v>
      </c>
      <c r="E6" s="29">
        <f t="shared" si="0"/>
        <v>3.0912328799999997</v>
      </c>
      <c r="F6" s="30">
        <v>42663</v>
      </c>
    </row>
    <row r="7" spans="1:6" x14ac:dyDescent="0.3">
      <c r="A7" s="32" t="s">
        <v>456</v>
      </c>
      <c r="B7">
        <v>1.06817633</v>
      </c>
      <c r="C7">
        <v>-1.28408276</v>
      </c>
      <c r="E7" s="29">
        <f t="shared" si="0"/>
        <v>2.35225909</v>
      </c>
      <c r="F7" s="30">
        <v>42664</v>
      </c>
    </row>
    <row r="8" spans="1:6" x14ac:dyDescent="0.3">
      <c r="A8" s="32" t="s">
        <v>457</v>
      </c>
      <c r="B8">
        <v>2.0147031499999999</v>
      </c>
      <c r="C8">
        <v>0.15466284999999999</v>
      </c>
      <c r="E8" s="29">
        <f t="shared" si="0"/>
        <v>1.8600402999999999</v>
      </c>
      <c r="F8" s="30">
        <v>42665</v>
      </c>
    </row>
    <row r="9" spans="1:6" x14ac:dyDescent="0.3">
      <c r="A9" s="32" t="s">
        <v>777</v>
      </c>
      <c r="B9">
        <v>0.17732071999999999</v>
      </c>
      <c r="C9">
        <v>0.53396387999999995</v>
      </c>
      <c r="E9" s="29">
        <f t="shared" si="0"/>
        <v>-0.35664315999999996</v>
      </c>
      <c r="F9" s="30">
        <v>42666</v>
      </c>
    </row>
    <row r="10" spans="1:6" x14ac:dyDescent="0.3">
      <c r="A10" s="32" t="s">
        <v>778</v>
      </c>
      <c r="B10">
        <v>1.2594046299999999</v>
      </c>
      <c r="C10">
        <v>-0.25215016000000001</v>
      </c>
      <c r="E10" s="29">
        <f t="shared" si="0"/>
        <v>1.5115547899999999</v>
      </c>
      <c r="F10" s="30">
        <v>42667</v>
      </c>
    </row>
    <row r="11" spans="1:6" x14ac:dyDescent="0.3">
      <c r="A11" s="32" t="s">
        <v>779</v>
      </c>
      <c r="B11">
        <v>1.4069483199999999</v>
      </c>
      <c r="C11">
        <v>0.48249893999999999</v>
      </c>
      <c r="E11" s="29">
        <f t="shared" si="0"/>
        <v>0.92444937999999999</v>
      </c>
      <c r="F11" s="30">
        <v>42668</v>
      </c>
    </row>
    <row r="12" spans="1:6" x14ac:dyDescent="0.3">
      <c r="A12" s="32" t="s">
        <v>780</v>
      </c>
      <c r="B12">
        <v>2.5879127999999998</v>
      </c>
      <c r="C12">
        <v>0.70124344000000005</v>
      </c>
      <c r="E12" s="29">
        <f t="shared" si="0"/>
        <v>1.8866693599999997</v>
      </c>
      <c r="F12" s="30">
        <v>42669</v>
      </c>
    </row>
    <row r="13" spans="1:6" x14ac:dyDescent="0.3">
      <c r="A13" s="32" t="s">
        <v>781</v>
      </c>
      <c r="B13">
        <v>2.53252612</v>
      </c>
      <c r="C13">
        <v>0.66835180999999999</v>
      </c>
      <c r="E13" s="29">
        <f t="shared" si="0"/>
        <v>1.8641743100000001</v>
      </c>
      <c r="F13" s="30">
        <v>42670</v>
      </c>
    </row>
    <row r="14" spans="1:6" x14ac:dyDescent="0.3">
      <c r="A14" s="32" t="s">
        <v>782</v>
      </c>
      <c r="B14">
        <v>2.51738252</v>
      </c>
      <c r="C14">
        <v>0.40384228999999999</v>
      </c>
      <c r="E14" s="29">
        <f t="shared" si="0"/>
        <v>2.1135402299999999</v>
      </c>
      <c r="F14" s="30">
        <v>42671</v>
      </c>
    </row>
    <row r="15" spans="1:6" x14ac:dyDescent="0.3">
      <c r="A15" s="32" t="s">
        <v>464</v>
      </c>
      <c r="B15">
        <v>2.4727915399999998</v>
      </c>
      <c r="C15">
        <v>1.13747149</v>
      </c>
      <c r="E15" s="29">
        <f t="shared" si="0"/>
        <v>1.3353200499999998</v>
      </c>
      <c r="F15" s="30">
        <v>42672</v>
      </c>
    </row>
    <row r="16" spans="1:6" x14ac:dyDescent="0.3">
      <c r="A16" s="32" t="s">
        <v>783</v>
      </c>
      <c r="B16">
        <v>4.0703397499999996</v>
      </c>
      <c r="C16">
        <v>0.47244533999999999</v>
      </c>
      <c r="E16" s="29">
        <f t="shared" si="0"/>
        <v>3.5978944099999994</v>
      </c>
      <c r="F16" s="30">
        <v>42673</v>
      </c>
    </row>
    <row r="17" spans="1:6" x14ac:dyDescent="0.3">
      <c r="A17" s="32" t="s">
        <v>784</v>
      </c>
      <c r="B17">
        <v>4.2978630100000004</v>
      </c>
      <c r="C17">
        <v>-8.7848750000000003E-2</v>
      </c>
      <c r="E17" s="29">
        <f t="shared" si="0"/>
        <v>4.3857117600000004</v>
      </c>
      <c r="F17" s="30">
        <v>42674</v>
      </c>
    </row>
    <row r="18" spans="1:6" x14ac:dyDescent="0.3">
      <c r="A18" s="32" t="s">
        <v>785</v>
      </c>
      <c r="B18">
        <v>3.8810696500000001</v>
      </c>
      <c r="C18">
        <v>0.18133946000000001</v>
      </c>
      <c r="E18" s="29">
        <f t="shared" si="0"/>
        <v>3.6997301900000004</v>
      </c>
      <c r="F18" s="30">
        <v>42675</v>
      </c>
    </row>
    <row r="19" spans="1:6" x14ac:dyDescent="0.3">
      <c r="A19" s="32" t="s">
        <v>786</v>
      </c>
      <c r="B19">
        <v>3.3583843999999998</v>
      </c>
      <c r="C19">
        <v>0.19290936</v>
      </c>
      <c r="E19" s="29">
        <f t="shared" si="0"/>
        <v>3.16547504</v>
      </c>
      <c r="F19" s="30">
        <v>42676</v>
      </c>
    </row>
    <row r="20" spans="1:6" x14ac:dyDescent="0.3">
      <c r="A20" s="32" t="s">
        <v>787</v>
      </c>
      <c r="B20">
        <v>4.0706544300000003</v>
      </c>
      <c r="C20">
        <v>-0.29698100999999999</v>
      </c>
      <c r="E20" s="29">
        <f t="shared" si="0"/>
        <v>4.3676354399999999</v>
      </c>
      <c r="F20" s="30">
        <v>42677</v>
      </c>
    </row>
    <row r="21" spans="1:6" x14ac:dyDescent="0.3">
      <c r="A21" s="32" t="s">
        <v>788</v>
      </c>
      <c r="B21">
        <v>4.3441182700000001</v>
      </c>
      <c r="C21">
        <v>0.95670980000000005</v>
      </c>
      <c r="E21" s="29">
        <f t="shared" si="0"/>
        <v>3.38740847</v>
      </c>
      <c r="F21" s="30">
        <v>42678</v>
      </c>
    </row>
    <row r="22" spans="1:6" x14ac:dyDescent="0.3">
      <c r="A22" s="32" t="s">
        <v>789</v>
      </c>
      <c r="B22">
        <v>4.84185642</v>
      </c>
      <c r="C22">
        <v>1.6289604499999999</v>
      </c>
      <c r="E22" s="29">
        <f t="shared" si="0"/>
        <v>3.2128959699999999</v>
      </c>
      <c r="F22" s="30">
        <v>42679</v>
      </c>
    </row>
    <row r="23" spans="1:6" x14ac:dyDescent="0.3">
      <c r="A23" s="32" t="s">
        <v>790</v>
      </c>
      <c r="B23">
        <v>2.9361850199999999</v>
      </c>
      <c r="C23">
        <v>1.7396681000000001</v>
      </c>
      <c r="E23" s="29">
        <f t="shared" si="0"/>
        <v>1.1965169199999999</v>
      </c>
      <c r="F23" s="30">
        <v>42680</v>
      </c>
    </row>
    <row r="24" spans="1:6" x14ac:dyDescent="0.3">
      <c r="A24" s="32" t="s">
        <v>791</v>
      </c>
      <c r="B24">
        <v>2.20335437</v>
      </c>
      <c r="C24">
        <v>1.38556587</v>
      </c>
      <c r="E24" s="29">
        <f t="shared" si="0"/>
        <v>0.81778850000000003</v>
      </c>
      <c r="F24" s="30">
        <v>42681</v>
      </c>
    </row>
    <row r="25" spans="1:6" x14ac:dyDescent="0.3">
      <c r="A25" s="32" t="s">
        <v>792</v>
      </c>
      <c r="B25">
        <v>1.18082146</v>
      </c>
      <c r="C25">
        <v>-0.24940614999999999</v>
      </c>
      <c r="E25" s="29">
        <f t="shared" si="0"/>
        <v>1.43022761</v>
      </c>
      <c r="F25" s="30">
        <v>42682</v>
      </c>
    </row>
    <row r="26" spans="1:6" x14ac:dyDescent="0.3">
      <c r="A26" s="32" t="s">
        <v>475</v>
      </c>
      <c r="B26">
        <v>2.7327404099999999</v>
      </c>
      <c r="C26">
        <v>0.15935481000000001</v>
      </c>
      <c r="E26" s="29">
        <f t="shared" si="0"/>
        <v>2.5733855999999999</v>
      </c>
      <c r="F26" s="30">
        <v>42683</v>
      </c>
    </row>
    <row r="27" spans="1:6" x14ac:dyDescent="0.3">
      <c r="A27" s="32" t="s">
        <v>476</v>
      </c>
      <c r="B27">
        <v>2.29467826</v>
      </c>
      <c r="C27">
        <v>0.60822958000000005</v>
      </c>
      <c r="E27" s="29">
        <f t="shared" si="0"/>
        <v>1.6864486799999998</v>
      </c>
      <c r="F27" s="30">
        <v>42684</v>
      </c>
    </row>
    <row r="28" spans="1:6" x14ac:dyDescent="0.3">
      <c r="A28" s="32" t="s">
        <v>477</v>
      </c>
      <c r="B28">
        <v>2.8707447400000001</v>
      </c>
      <c r="C28">
        <v>0.83931211999999999</v>
      </c>
      <c r="E28" s="29">
        <f t="shared" si="0"/>
        <v>2.0314326200000004</v>
      </c>
      <c r="F28" s="30">
        <v>42685</v>
      </c>
    </row>
    <row r="29" spans="1:6" x14ac:dyDescent="0.3">
      <c r="A29" s="32" t="s">
        <v>478</v>
      </c>
      <c r="B29">
        <v>3.2186363999999998</v>
      </c>
      <c r="C29">
        <v>1.9040865600000001</v>
      </c>
      <c r="E29" s="29">
        <f t="shared" si="0"/>
        <v>1.3145498399999997</v>
      </c>
      <c r="F29" s="30">
        <v>42686</v>
      </c>
    </row>
    <row r="30" spans="1:6" x14ac:dyDescent="0.3">
      <c r="A30" s="32" t="s">
        <v>793</v>
      </c>
      <c r="B30">
        <v>5.3537313400000004</v>
      </c>
      <c r="C30">
        <v>0.80648569000000003</v>
      </c>
      <c r="E30" s="29">
        <f t="shared" si="0"/>
        <v>4.5472456500000007</v>
      </c>
      <c r="F30" s="30">
        <v>42687</v>
      </c>
    </row>
    <row r="31" spans="1:6" x14ac:dyDescent="0.3">
      <c r="A31" s="32" t="s">
        <v>794</v>
      </c>
      <c r="B31">
        <v>6.10631287</v>
      </c>
      <c r="C31">
        <v>-0.90225575999999996</v>
      </c>
      <c r="E31" s="29">
        <f t="shared" si="0"/>
        <v>7.0085686300000001</v>
      </c>
      <c r="F31" s="30">
        <v>42688</v>
      </c>
    </row>
    <row r="32" spans="1:6" x14ac:dyDescent="0.3">
      <c r="A32" s="32" t="s">
        <v>795</v>
      </c>
      <c r="B32">
        <v>5.8467135700000004</v>
      </c>
      <c r="C32">
        <v>-1.2044792099999999</v>
      </c>
      <c r="E32" s="29">
        <f t="shared" si="0"/>
        <v>7.05119278</v>
      </c>
      <c r="F32" s="30">
        <v>42689</v>
      </c>
    </row>
    <row r="33" spans="1:6" x14ac:dyDescent="0.3">
      <c r="A33" s="32" t="s">
        <v>796</v>
      </c>
      <c r="B33">
        <v>4.2527425299999999</v>
      </c>
      <c r="C33">
        <v>-2.5113388300000001</v>
      </c>
      <c r="E33" s="29">
        <f t="shared" si="0"/>
        <v>6.7640813600000005</v>
      </c>
      <c r="F33" s="30">
        <v>42690</v>
      </c>
    </row>
    <row r="34" spans="1:6" x14ac:dyDescent="0.3">
      <c r="A34" s="32" t="s">
        <v>797</v>
      </c>
      <c r="B34">
        <v>3.4136770599999999</v>
      </c>
      <c r="C34">
        <v>-2.1315530200000001</v>
      </c>
      <c r="E34" s="29">
        <f t="shared" si="0"/>
        <v>5.5452300799999996</v>
      </c>
      <c r="F34" s="30">
        <v>42691</v>
      </c>
    </row>
    <row r="35" spans="1:6" x14ac:dyDescent="0.3">
      <c r="A35" s="32" t="s">
        <v>798</v>
      </c>
      <c r="B35">
        <v>4.7125191099999997</v>
      </c>
      <c r="C35">
        <v>-3.0580485199999998</v>
      </c>
      <c r="E35" s="29">
        <f t="shared" si="0"/>
        <v>7.7705676299999995</v>
      </c>
      <c r="F35" s="30">
        <v>42692</v>
      </c>
    </row>
    <row r="36" spans="1:6" x14ac:dyDescent="0.3">
      <c r="A36" s="32" t="s">
        <v>799</v>
      </c>
      <c r="B36">
        <v>5.7484555200000003</v>
      </c>
      <c r="C36">
        <v>-1.43734422</v>
      </c>
      <c r="E36" s="29">
        <f t="shared" si="0"/>
        <v>7.1857997400000002</v>
      </c>
      <c r="F36" s="30">
        <v>42693</v>
      </c>
    </row>
    <row r="37" spans="1:6" x14ac:dyDescent="0.3">
      <c r="A37" s="32" t="s">
        <v>800</v>
      </c>
      <c r="B37">
        <v>6.21968005</v>
      </c>
      <c r="C37">
        <v>-2.2601656999999999</v>
      </c>
      <c r="E37" s="29">
        <f t="shared" si="0"/>
        <v>8.4798457499999991</v>
      </c>
      <c r="F37" s="30">
        <v>42694</v>
      </c>
    </row>
    <row r="38" spans="1:6" x14ac:dyDescent="0.3">
      <c r="A38" s="32" t="s">
        <v>801</v>
      </c>
      <c r="B38">
        <v>5.58521293</v>
      </c>
      <c r="C38">
        <v>-2.2494783900000002</v>
      </c>
      <c r="E38" s="29">
        <f t="shared" si="0"/>
        <v>7.8346913200000001</v>
      </c>
      <c r="F38" s="30">
        <v>42695</v>
      </c>
    </row>
    <row r="39" spans="1:6" x14ac:dyDescent="0.3">
      <c r="A39" s="32" t="s">
        <v>802</v>
      </c>
      <c r="B39">
        <v>4.2766876399999996</v>
      </c>
      <c r="C39">
        <v>-1.7091537000000001</v>
      </c>
      <c r="E39" s="29">
        <f t="shared" si="0"/>
        <v>5.9858413399999995</v>
      </c>
      <c r="F39" s="30">
        <v>42696</v>
      </c>
    </row>
    <row r="40" spans="1:6" x14ac:dyDescent="0.3">
      <c r="A40" s="32" t="s">
        <v>803</v>
      </c>
      <c r="B40">
        <v>2.3905644700000002</v>
      </c>
      <c r="C40">
        <v>-2.0659533799999998</v>
      </c>
      <c r="E40" s="29">
        <f t="shared" si="0"/>
        <v>4.45651785</v>
      </c>
      <c r="F40" s="30">
        <v>42697</v>
      </c>
    </row>
    <row r="41" spans="1:6" x14ac:dyDescent="0.3">
      <c r="A41" s="32" t="s">
        <v>490</v>
      </c>
      <c r="B41">
        <v>2.77106735</v>
      </c>
      <c r="C41">
        <v>-2.3731465200000001</v>
      </c>
      <c r="E41" s="29">
        <f t="shared" si="0"/>
        <v>5.1442138699999997</v>
      </c>
      <c r="F41" s="30">
        <v>42698</v>
      </c>
    </row>
    <row r="42" spans="1:6" x14ac:dyDescent="0.3">
      <c r="A42" s="32" t="s">
        <v>804</v>
      </c>
      <c r="B42">
        <v>3.0693151200000002</v>
      </c>
      <c r="C42">
        <v>-1.9957462399999999</v>
      </c>
      <c r="E42" s="29">
        <f t="shared" si="0"/>
        <v>5.0650613599999996</v>
      </c>
      <c r="F42" s="30">
        <v>42699</v>
      </c>
    </row>
    <row r="43" spans="1:6" x14ac:dyDescent="0.3">
      <c r="A43" s="32" t="s">
        <v>492</v>
      </c>
      <c r="B43">
        <v>3.3966821199999999</v>
      </c>
      <c r="C43">
        <v>-2.6193646400000001</v>
      </c>
      <c r="E43" s="29">
        <f t="shared" si="0"/>
        <v>6.01604676</v>
      </c>
      <c r="F43" s="30">
        <v>42700</v>
      </c>
    </row>
    <row r="44" spans="1:6" x14ac:dyDescent="0.3">
      <c r="A44" s="32" t="s">
        <v>493</v>
      </c>
      <c r="B44">
        <v>4.7955397199999998</v>
      </c>
      <c r="C44">
        <v>-2.42296611</v>
      </c>
      <c r="E44" s="29">
        <f t="shared" si="0"/>
        <v>7.2185058299999998</v>
      </c>
      <c r="F44" s="30">
        <v>42701</v>
      </c>
    </row>
    <row r="45" spans="1:6" x14ac:dyDescent="0.3">
      <c r="A45" s="32" t="s">
        <v>494</v>
      </c>
      <c r="B45">
        <v>4.6302924599999997</v>
      </c>
      <c r="C45">
        <v>-0.54705207</v>
      </c>
      <c r="E45" s="29">
        <f t="shared" si="0"/>
        <v>5.1773445300000001</v>
      </c>
      <c r="F45" s="30">
        <v>42702</v>
      </c>
    </row>
    <row r="46" spans="1:6" x14ac:dyDescent="0.3">
      <c r="A46" s="32" t="s">
        <v>495</v>
      </c>
      <c r="B46">
        <v>6.9249378899999998</v>
      </c>
      <c r="C46">
        <v>0.14545290999999999</v>
      </c>
      <c r="E46" s="29">
        <f t="shared" si="0"/>
        <v>6.7794849799999994</v>
      </c>
      <c r="F46" s="30">
        <v>42703</v>
      </c>
    </row>
    <row r="47" spans="1:6" x14ac:dyDescent="0.3">
      <c r="A47" s="32" t="s">
        <v>496</v>
      </c>
      <c r="B47">
        <v>9.7244829799999994</v>
      </c>
      <c r="C47">
        <v>-0.49591628999999998</v>
      </c>
      <c r="E47" s="29">
        <f t="shared" si="0"/>
        <v>10.22039927</v>
      </c>
      <c r="F47" s="30">
        <v>42704</v>
      </c>
    </row>
    <row r="48" spans="1:6" x14ac:dyDescent="0.3">
      <c r="A48" s="32" t="s">
        <v>497</v>
      </c>
      <c r="B48">
        <v>8.4713606000000006</v>
      </c>
      <c r="C48">
        <v>-1.3768468700000001</v>
      </c>
      <c r="E48" s="29">
        <f t="shared" si="0"/>
        <v>9.8482074700000002</v>
      </c>
      <c r="F48" s="30">
        <v>42705</v>
      </c>
    </row>
    <row r="49" spans="1:6" x14ac:dyDescent="0.3">
      <c r="A49" s="32" t="s">
        <v>498</v>
      </c>
      <c r="B49">
        <v>5.74254145</v>
      </c>
      <c r="C49">
        <v>-1.08402617</v>
      </c>
      <c r="E49" s="29">
        <f t="shared" si="0"/>
        <v>6.8265676200000005</v>
      </c>
      <c r="F49" s="30">
        <v>42706</v>
      </c>
    </row>
    <row r="50" spans="1:6" x14ac:dyDescent="0.3">
      <c r="A50" s="32" t="s">
        <v>499</v>
      </c>
      <c r="B50">
        <v>5.1909140799999998</v>
      </c>
      <c r="C50">
        <v>-1.1522810000000001</v>
      </c>
      <c r="E50" s="29">
        <f t="shared" si="0"/>
        <v>6.3431950800000001</v>
      </c>
      <c r="F50" s="30">
        <v>42707</v>
      </c>
    </row>
    <row r="51" spans="1:6" x14ac:dyDescent="0.3">
      <c r="A51" s="32" t="s">
        <v>500</v>
      </c>
      <c r="B51">
        <v>5.1255121399999997</v>
      </c>
      <c r="C51">
        <v>-0.90650122</v>
      </c>
      <c r="E51" s="29">
        <f t="shared" si="0"/>
        <v>6.0320133599999997</v>
      </c>
      <c r="F51" s="30">
        <v>42708</v>
      </c>
    </row>
    <row r="52" spans="1:6" x14ac:dyDescent="0.3">
      <c r="A52" s="32" t="s">
        <v>501</v>
      </c>
      <c r="B52">
        <v>3.99466549</v>
      </c>
      <c r="C52">
        <v>-2.7798047499999998</v>
      </c>
      <c r="E52" s="29">
        <f t="shared" si="0"/>
        <v>6.7744702399999994</v>
      </c>
      <c r="F52" s="30">
        <v>42709</v>
      </c>
    </row>
    <row r="53" spans="1:6" x14ac:dyDescent="0.3">
      <c r="A53" s="32" t="s">
        <v>502</v>
      </c>
      <c r="B53">
        <v>3.0747003799999999</v>
      </c>
      <c r="C53">
        <v>-2.5443681100000002</v>
      </c>
      <c r="E53" s="29">
        <f t="shared" si="0"/>
        <v>5.6190684900000001</v>
      </c>
      <c r="F53" s="30">
        <v>42710</v>
      </c>
    </row>
    <row r="54" spans="1:6" x14ac:dyDescent="0.3">
      <c r="A54" s="32" t="s">
        <v>503</v>
      </c>
      <c r="B54">
        <v>1.6702509699999999</v>
      </c>
      <c r="C54">
        <v>-1.5416050299999999</v>
      </c>
      <c r="E54" s="29">
        <f t="shared" si="0"/>
        <v>3.211856</v>
      </c>
      <c r="F54" s="30">
        <v>42711</v>
      </c>
    </row>
    <row r="55" spans="1:6" x14ac:dyDescent="0.3">
      <c r="A55" s="32" t="s">
        <v>504</v>
      </c>
      <c r="B55">
        <v>2.3864803700000001</v>
      </c>
      <c r="C55">
        <v>-1.3489007099999999</v>
      </c>
      <c r="E55" s="29">
        <f t="shared" si="0"/>
        <v>3.7353810799999998</v>
      </c>
      <c r="F55" s="30">
        <v>42712</v>
      </c>
    </row>
    <row r="56" spans="1:6" x14ac:dyDescent="0.3">
      <c r="A56" s="32" t="s">
        <v>505</v>
      </c>
      <c r="B56">
        <v>0.63870961999999998</v>
      </c>
      <c r="C56">
        <v>-1.6556535999999999</v>
      </c>
      <c r="E56" s="29">
        <f t="shared" si="0"/>
        <v>2.2943632200000001</v>
      </c>
      <c r="F56" s="30">
        <v>42713</v>
      </c>
    </row>
    <row r="57" spans="1:6" x14ac:dyDescent="0.3">
      <c r="A57" s="32" t="s">
        <v>506</v>
      </c>
      <c r="B57">
        <v>-0.13700082999999999</v>
      </c>
      <c r="C57">
        <v>-1.9675372</v>
      </c>
      <c r="E57" s="29">
        <f t="shared" si="0"/>
        <v>1.8305363699999999</v>
      </c>
      <c r="F57" s="30">
        <v>42714</v>
      </c>
    </row>
    <row r="58" spans="1:6" x14ac:dyDescent="0.3">
      <c r="A58" s="32" t="s">
        <v>507</v>
      </c>
      <c r="B58">
        <v>-1.4855948800000001</v>
      </c>
      <c r="C58">
        <v>-1.7144884499999999</v>
      </c>
      <c r="E58" s="29">
        <f t="shared" si="0"/>
        <v>0.22889356999999988</v>
      </c>
      <c r="F58" s="30">
        <v>42715</v>
      </c>
    </row>
    <row r="59" spans="1:6" x14ac:dyDescent="0.3">
      <c r="A59" s="32" t="s">
        <v>508</v>
      </c>
      <c r="B59">
        <v>-3.3380467500000002</v>
      </c>
      <c r="C59">
        <v>-2.30121171</v>
      </c>
      <c r="E59" s="29">
        <f t="shared" si="0"/>
        <v>-1.0368350400000002</v>
      </c>
      <c r="F59" s="30">
        <v>42716</v>
      </c>
    </row>
    <row r="60" spans="1:6" x14ac:dyDescent="0.3">
      <c r="A60" s="32" t="s">
        <v>509</v>
      </c>
      <c r="B60">
        <v>-4.0758405900000003</v>
      </c>
      <c r="C60">
        <v>-1.43423853</v>
      </c>
      <c r="E60" s="29">
        <f t="shared" si="0"/>
        <v>-2.6416020600000003</v>
      </c>
      <c r="F60" s="30">
        <v>42717</v>
      </c>
    </row>
    <row r="61" spans="1:6" x14ac:dyDescent="0.3">
      <c r="A61" s="32" t="s">
        <v>510</v>
      </c>
      <c r="B61">
        <v>-3.66321619</v>
      </c>
      <c r="C61">
        <v>-1.2348581000000001</v>
      </c>
      <c r="E61" s="29">
        <f t="shared" si="0"/>
        <v>-2.4283580899999997</v>
      </c>
      <c r="F61" s="30">
        <v>42718</v>
      </c>
    </row>
    <row r="62" spans="1:6" x14ac:dyDescent="0.3">
      <c r="A62" s="32" t="s">
        <v>511</v>
      </c>
      <c r="B62">
        <v>-2.4176123600000001</v>
      </c>
      <c r="C62">
        <v>-1.68461492</v>
      </c>
      <c r="E62" s="29">
        <f t="shared" si="0"/>
        <v>-0.73299744000000011</v>
      </c>
      <c r="F62" s="30">
        <v>42719</v>
      </c>
    </row>
    <row r="63" spans="1:6" x14ac:dyDescent="0.3">
      <c r="A63" s="32" t="s">
        <v>512</v>
      </c>
      <c r="B63">
        <v>-4.7147901399999999</v>
      </c>
      <c r="C63">
        <v>-1.5595617500000001</v>
      </c>
      <c r="E63" s="29">
        <f t="shared" si="0"/>
        <v>-3.1552283899999995</v>
      </c>
      <c r="F63" s="30">
        <v>42720</v>
      </c>
    </row>
    <row r="64" spans="1:6" x14ac:dyDescent="0.3">
      <c r="A64" s="32" t="s">
        <v>513</v>
      </c>
      <c r="B64">
        <v>-4.7161797600000002</v>
      </c>
      <c r="C64">
        <v>-2.2470248599999998</v>
      </c>
      <c r="E64" s="29">
        <f t="shared" si="0"/>
        <v>-2.4691549000000004</v>
      </c>
      <c r="F64" s="30">
        <v>42721</v>
      </c>
    </row>
    <row r="65" spans="1:6" x14ac:dyDescent="0.3">
      <c r="A65" s="32" t="s">
        <v>514</v>
      </c>
      <c r="B65">
        <v>-3.2366734799999999</v>
      </c>
      <c r="C65">
        <v>-1.53283992</v>
      </c>
      <c r="E65" s="29">
        <f t="shared" si="0"/>
        <v>-1.7038335599999999</v>
      </c>
      <c r="F65" s="30">
        <v>42722</v>
      </c>
    </row>
    <row r="66" spans="1:6" x14ac:dyDescent="0.3">
      <c r="A66" s="32" t="s">
        <v>515</v>
      </c>
      <c r="B66">
        <v>-2.7291149699999999</v>
      </c>
      <c r="C66">
        <v>-2.61673212</v>
      </c>
      <c r="E66" s="29">
        <f t="shared" si="0"/>
        <v>-0.11238284999999992</v>
      </c>
      <c r="F66" s="30">
        <v>42723</v>
      </c>
    </row>
    <row r="67" spans="1:6" x14ac:dyDescent="0.3">
      <c r="A67" s="32" t="s">
        <v>516</v>
      </c>
      <c r="B67">
        <v>-2.66454345</v>
      </c>
      <c r="C67">
        <v>-1.9853007600000001</v>
      </c>
      <c r="E67" s="29">
        <f t="shared" ref="E67:E130" si="1">B67-C67</f>
        <v>-0.67924268999999993</v>
      </c>
      <c r="F67" s="30">
        <v>42724</v>
      </c>
    </row>
    <row r="68" spans="1:6" x14ac:dyDescent="0.3">
      <c r="A68" s="32" t="s">
        <v>517</v>
      </c>
      <c r="B68">
        <v>-4.4587009899999996</v>
      </c>
      <c r="C68">
        <v>-1.68753668</v>
      </c>
      <c r="E68" s="29">
        <f t="shared" si="1"/>
        <v>-2.7711643099999996</v>
      </c>
      <c r="F68" s="30">
        <v>42725</v>
      </c>
    </row>
    <row r="69" spans="1:6" x14ac:dyDescent="0.3">
      <c r="A69" s="32" t="s">
        <v>518</v>
      </c>
      <c r="B69">
        <v>-4.6541700400000003</v>
      </c>
      <c r="C69">
        <v>-1.7553636100000001</v>
      </c>
      <c r="E69" s="29">
        <f t="shared" si="1"/>
        <v>-2.8988064300000005</v>
      </c>
      <c r="F69" s="30">
        <v>42726</v>
      </c>
    </row>
    <row r="70" spans="1:6" x14ac:dyDescent="0.3">
      <c r="A70" s="32" t="s">
        <v>519</v>
      </c>
      <c r="B70">
        <v>-5.6683182600000004</v>
      </c>
      <c r="C70">
        <v>-0.92842464000000002</v>
      </c>
      <c r="E70" s="29">
        <f t="shared" si="1"/>
        <v>-4.7398936200000001</v>
      </c>
      <c r="F70" s="30">
        <v>42727</v>
      </c>
    </row>
    <row r="71" spans="1:6" x14ac:dyDescent="0.3">
      <c r="A71" s="32" t="s">
        <v>520</v>
      </c>
      <c r="B71">
        <v>-5.4568621200000003</v>
      </c>
      <c r="C71">
        <v>-1.5303394699999999</v>
      </c>
      <c r="E71" s="29">
        <f t="shared" si="1"/>
        <v>-3.9265226500000003</v>
      </c>
      <c r="F71" s="30">
        <v>42728</v>
      </c>
    </row>
    <row r="72" spans="1:6" x14ac:dyDescent="0.3">
      <c r="A72" s="32" t="s">
        <v>521</v>
      </c>
      <c r="B72">
        <v>-5.83508461</v>
      </c>
      <c r="C72">
        <v>-2.9173402300000002</v>
      </c>
      <c r="E72" s="29">
        <f t="shared" si="1"/>
        <v>-2.9177443799999998</v>
      </c>
      <c r="F72" s="30">
        <v>42729</v>
      </c>
    </row>
    <row r="73" spans="1:6" x14ac:dyDescent="0.3">
      <c r="A73" s="32" t="s">
        <v>522</v>
      </c>
      <c r="B73">
        <v>-4.7980842499999996</v>
      </c>
      <c r="C73">
        <v>-3.0512352300000001</v>
      </c>
      <c r="E73" s="29">
        <f t="shared" si="1"/>
        <v>-1.7468490199999995</v>
      </c>
      <c r="F73" s="30">
        <v>42730</v>
      </c>
    </row>
    <row r="74" spans="1:6" x14ac:dyDescent="0.3">
      <c r="A74" s="32" t="s">
        <v>523</v>
      </c>
      <c r="B74">
        <v>-4.6797816599999997</v>
      </c>
      <c r="C74">
        <v>-3.20462202</v>
      </c>
      <c r="E74" s="29">
        <f t="shared" si="1"/>
        <v>-1.4751596399999998</v>
      </c>
      <c r="F74" s="30">
        <v>42731</v>
      </c>
    </row>
    <row r="75" spans="1:6" x14ac:dyDescent="0.3">
      <c r="A75" s="32" t="s">
        <v>524</v>
      </c>
      <c r="B75">
        <v>-5.5195082600000003</v>
      </c>
      <c r="C75">
        <v>-5.0729822899999997</v>
      </c>
      <c r="E75" s="29">
        <f t="shared" si="1"/>
        <v>-0.4465259700000006</v>
      </c>
      <c r="F75" s="30">
        <v>42732</v>
      </c>
    </row>
    <row r="76" spans="1:6" x14ac:dyDescent="0.3">
      <c r="A76" s="32" t="s">
        <v>525</v>
      </c>
      <c r="B76">
        <v>-3.5190796600000001</v>
      </c>
      <c r="C76">
        <v>-2.2666040600000001</v>
      </c>
      <c r="E76" s="29">
        <f t="shared" si="1"/>
        <v>-1.2524755999999999</v>
      </c>
      <c r="F76" s="30">
        <v>42733</v>
      </c>
    </row>
    <row r="77" spans="1:6" x14ac:dyDescent="0.3">
      <c r="A77" s="32" t="s">
        <v>526</v>
      </c>
      <c r="B77">
        <v>-4.4335163399999997</v>
      </c>
      <c r="C77">
        <v>-2.64919058</v>
      </c>
      <c r="E77" s="29">
        <f t="shared" si="1"/>
        <v>-1.7843257599999998</v>
      </c>
      <c r="F77" s="30">
        <v>42734</v>
      </c>
    </row>
    <row r="78" spans="1:6" x14ac:dyDescent="0.3">
      <c r="A78" s="32" t="s">
        <v>527</v>
      </c>
      <c r="B78">
        <v>-4.4746508499999997</v>
      </c>
      <c r="C78">
        <v>-3.62295722</v>
      </c>
      <c r="E78" s="29">
        <f t="shared" si="1"/>
        <v>-0.85169362999999976</v>
      </c>
      <c r="F78" s="30">
        <v>42735</v>
      </c>
    </row>
    <row r="79" spans="1:6" x14ac:dyDescent="0.3">
      <c r="A79" s="32" t="s">
        <v>528</v>
      </c>
      <c r="B79">
        <v>-6.0278691000000002</v>
      </c>
      <c r="C79">
        <v>-3.7050584500000001</v>
      </c>
      <c r="E79" s="29">
        <f t="shared" si="1"/>
        <v>-2.3228106500000001</v>
      </c>
      <c r="F79" s="30">
        <v>42736</v>
      </c>
    </row>
    <row r="80" spans="1:6" x14ac:dyDescent="0.3">
      <c r="A80" s="32" t="s">
        <v>529</v>
      </c>
      <c r="B80">
        <v>-5.6209396600000003</v>
      </c>
      <c r="C80">
        <v>-4.2924643299999996</v>
      </c>
      <c r="E80" s="29">
        <f t="shared" si="1"/>
        <v>-1.3284753300000007</v>
      </c>
      <c r="F80" s="30">
        <v>42737</v>
      </c>
    </row>
    <row r="81" spans="1:6" x14ac:dyDescent="0.3">
      <c r="A81" s="32" t="s">
        <v>530</v>
      </c>
      <c r="B81">
        <v>-6.1274323700000002</v>
      </c>
      <c r="C81">
        <v>-4.3073762000000002</v>
      </c>
      <c r="E81" s="29">
        <f t="shared" si="1"/>
        <v>-1.82005617</v>
      </c>
      <c r="F81" s="30">
        <v>42738</v>
      </c>
    </row>
    <row r="82" spans="1:6" x14ac:dyDescent="0.3">
      <c r="A82" s="32" t="s">
        <v>531</v>
      </c>
      <c r="B82">
        <v>-6.4190133400000002</v>
      </c>
      <c r="C82">
        <v>-4.9336686299999997</v>
      </c>
      <c r="E82" s="29">
        <f t="shared" si="1"/>
        <v>-1.4853447100000006</v>
      </c>
      <c r="F82" s="30">
        <v>42739</v>
      </c>
    </row>
    <row r="83" spans="1:6" x14ac:dyDescent="0.3">
      <c r="A83" s="32" t="s">
        <v>532</v>
      </c>
      <c r="B83">
        <v>-6.1300545399999997</v>
      </c>
      <c r="C83">
        <v>-5.2053642900000003</v>
      </c>
      <c r="E83" s="29">
        <f t="shared" si="1"/>
        <v>-0.92469024999999938</v>
      </c>
      <c r="F83" s="30">
        <v>42740</v>
      </c>
    </row>
    <row r="84" spans="1:6" x14ac:dyDescent="0.3">
      <c r="A84" s="32" t="s">
        <v>533</v>
      </c>
      <c r="B84">
        <v>-6.2283506900000001</v>
      </c>
      <c r="C84">
        <v>-5.5742027900000002</v>
      </c>
      <c r="E84" s="29">
        <f t="shared" si="1"/>
        <v>-0.65414789999999989</v>
      </c>
      <c r="F84" s="30">
        <v>42741</v>
      </c>
    </row>
    <row r="85" spans="1:6" x14ac:dyDescent="0.3">
      <c r="A85" s="32" t="s">
        <v>534</v>
      </c>
      <c r="B85">
        <v>-7.7901749200000001</v>
      </c>
      <c r="C85">
        <v>-4.02381397</v>
      </c>
      <c r="E85" s="29">
        <f t="shared" si="1"/>
        <v>-3.7663609500000002</v>
      </c>
      <c r="F85" s="30">
        <v>42742</v>
      </c>
    </row>
    <row r="86" spans="1:6" x14ac:dyDescent="0.3">
      <c r="A86" s="32" t="s">
        <v>535</v>
      </c>
      <c r="B86">
        <v>-7.0238890300000003</v>
      </c>
      <c r="C86">
        <v>-2.7057959299999998</v>
      </c>
      <c r="E86" s="29">
        <f t="shared" si="1"/>
        <v>-4.3180931000000005</v>
      </c>
      <c r="F86" s="30">
        <v>42743</v>
      </c>
    </row>
    <row r="87" spans="1:6" x14ac:dyDescent="0.3">
      <c r="A87" s="32" t="s">
        <v>536</v>
      </c>
      <c r="B87">
        <v>-6.6341739100000003</v>
      </c>
      <c r="C87">
        <v>-3.8673064400000001</v>
      </c>
      <c r="E87" s="29">
        <f t="shared" si="1"/>
        <v>-2.7668674700000002</v>
      </c>
      <c r="F87" s="30">
        <v>42744</v>
      </c>
    </row>
    <row r="88" spans="1:6" x14ac:dyDescent="0.3">
      <c r="A88" s="32" t="s">
        <v>537</v>
      </c>
      <c r="B88">
        <v>-6.3180473399999997</v>
      </c>
      <c r="C88">
        <v>-2.9325825499999998</v>
      </c>
      <c r="E88" s="29">
        <f t="shared" si="1"/>
        <v>-3.3854647899999999</v>
      </c>
      <c r="F88" s="30">
        <v>42745</v>
      </c>
    </row>
    <row r="89" spans="1:6" x14ac:dyDescent="0.3">
      <c r="A89" s="32" t="s">
        <v>538</v>
      </c>
      <c r="B89">
        <v>-7.577623</v>
      </c>
      <c r="C89">
        <v>-2.9923227699999999</v>
      </c>
      <c r="E89" s="29">
        <f t="shared" si="1"/>
        <v>-4.5853002299999996</v>
      </c>
      <c r="F89" s="30">
        <v>42746</v>
      </c>
    </row>
    <row r="90" spans="1:6" x14ac:dyDescent="0.3">
      <c r="A90" s="32" t="s">
        <v>539</v>
      </c>
      <c r="B90">
        <v>-7.7659269699999998</v>
      </c>
      <c r="C90">
        <v>-2.5113572300000002</v>
      </c>
      <c r="E90" s="29">
        <f t="shared" si="1"/>
        <v>-5.2545697399999991</v>
      </c>
      <c r="F90" s="30">
        <v>42747</v>
      </c>
    </row>
    <row r="91" spans="1:6" x14ac:dyDescent="0.3">
      <c r="A91" s="32" t="s">
        <v>540</v>
      </c>
      <c r="B91">
        <v>-8.2176928999999994</v>
      </c>
      <c r="C91">
        <v>-2.2853923900000002</v>
      </c>
      <c r="E91" s="29">
        <f t="shared" si="1"/>
        <v>-5.9323005099999992</v>
      </c>
      <c r="F91" s="30">
        <v>42748</v>
      </c>
    </row>
    <row r="92" spans="1:6" x14ac:dyDescent="0.3">
      <c r="A92" s="32" t="s">
        <v>541</v>
      </c>
      <c r="B92">
        <v>-7.4980054999999997</v>
      </c>
      <c r="C92">
        <v>-3.84314315</v>
      </c>
      <c r="E92" s="29">
        <f t="shared" si="1"/>
        <v>-3.6548623499999997</v>
      </c>
      <c r="F92" s="30">
        <v>42749</v>
      </c>
    </row>
    <row r="93" spans="1:6" x14ac:dyDescent="0.3">
      <c r="A93" s="32" t="s">
        <v>542</v>
      </c>
      <c r="B93">
        <v>-7.0051593700000003</v>
      </c>
      <c r="C93">
        <v>-2.6928081499999998</v>
      </c>
      <c r="E93" s="29">
        <f t="shared" si="1"/>
        <v>-4.31235122</v>
      </c>
      <c r="F93" s="30">
        <v>42750</v>
      </c>
    </row>
    <row r="94" spans="1:6" x14ac:dyDescent="0.3">
      <c r="A94" s="32" t="s">
        <v>543</v>
      </c>
      <c r="B94">
        <v>-5.9060957299999997</v>
      </c>
      <c r="C94">
        <v>-4.1793172900000002</v>
      </c>
      <c r="E94" s="29">
        <f t="shared" si="1"/>
        <v>-1.7267784399999995</v>
      </c>
      <c r="F94" s="30">
        <v>42751</v>
      </c>
    </row>
    <row r="95" spans="1:6" x14ac:dyDescent="0.3">
      <c r="A95" s="32" t="s">
        <v>544</v>
      </c>
      <c r="B95">
        <v>-6.8567063399999997</v>
      </c>
      <c r="C95">
        <v>-3.5464308400000002</v>
      </c>
      <c r="E95" s="29">
        <f t="shared" si="1"/>
        <v>-3.3102754999999995</v>
      </c>
      <c r="F95" s="30">
        <v>42752</v>
      </c>
    </row>
    <row r="96" spans="1:6" x14ac:dyDescent="0.3">
      <c r="A96" s="32" t="s">
        <v>545</v>
      </c>
      <c r="B96">
        <v>-6.1197389900000001</v>
      </c>
      <c r="C96">
        <v>-2.2211745299999999</v>
      </c>
      <c r="E96" s="29">
        <f t="shared" si="1"/>
        <v>-3.8985644600000002</v>
      </c>
      <c r="F96" s="30">
        <v>42753</v>
      </c>
    </row>
    <row r="97" spans="1:6" x14ac:dyDescent="0.3">
      <c r="A97" s="32" t="s">
        <v>546</v>
      </c>
      <c r="B97">
        <v>-5.4627373800000001</v>
      </c>
      <c r="C97">
        <v>-2.4519679600000002</v>
      </c>
      <c r="E97" s="29">
        <f t="shared" si="1"/>
        <v>-3.0107694199999999</v>
      </c>
      <c r="F97" s="30">
        <v>42754</v>
      </c>
    </row>
    <row r="98" spans="1:6" x14ac:dyDescent="0.3">
      <c r="A98" s="32" t="s">
        <v>547</v>
      </c>
      <c r="B98">
        <v>-7.68325894</v>
      </c>
      <c r="C98">
        <v>-2.3866581299999998</v>
      </c>
      <c r="E98" s="29">
        <f t="shared" si="1"/>
        <v>-5.2966008100000002</v>
      </c>
      <c r="F98" s="30">
        <v>42755</v>
      </c>
    </row>
    <row r="99" spans="1:6" x14ac:dyDescent="0.3">
      <c r="A99" s="32" t="s">
        <v>548</v>
      </c>
      <c r="B99">
        <v>-9.7220600699999995</v>
      </c>
      <c r="C99">
        <v>-1.25951686</v>
      </c>
      <c r="E99" s="29">
        <f t="shared" si="1"/>
        <v>-8.4625432099999998</v>
      </c>
      <c r="F99" s="30">
        <v>42756</v>
      </c>
    </row>
    <row r="100" spans="1:6" x14ac:dyDescent="0.3">
      <c r="A100" s="32" t="s">
        <v>805</v>
      </c>
      <c r="B100">
        <v>-10.02607122</v>
      </c>
      <c r="C100">
        <v>-0.64128845000000001</v>
      </c>
      <c r="E100" s="29">
        <f t="shared" si="1"/>
        <v>-9.3847827700000011</v>
      </c>
      <c r="F100" s="30">
        <v>42757</v>
      </c>
    </row>
    <row r="101" spans="1:6" x14ac:dyDescent="0.3">
      <c r="A101" s="32" t="s">
        <v>550</v>
      </c>
      <c r="B101">
        <v>-9.3423426999999997</v>
      </c>
      <c r="C101">
        <v>-1.87557171</v>
      </c>
      <c r="E101" s="29">
        <f t="shared" si="1"/>
        <v>-7.4667709899999997</v>
      </c>
      <c r="F101" s="30">
        <v>42758</v>
      </c>
    </row>
    <row r="102" spans="1:6" x14ac:dyDescent="0.3">
      <c r="A102" s="32" t="s">
        <v>806</v>
      </c>
      <c r="B102">
        <v>-10.100261769999999</v>
      </c>
      <c r="C102">
        <v>-2.2444073000000002</v>
      </c>
      <c r="E102" s="29">
        <f t="shared" si="1"/>
        <v>-7.8558544699999988</v>
      </c>
      <c r="F102" s="30">
        <v>42759</v>
      </c>
    </row>
    <row r="103" spans="1:6" x14ac:dyDescent="0.3">
      <c r="A103" s="32" t="s">
        <v>807</v>
      </c>
      <c r="B103">
        <v>-11.243489869999999</v>
      </c>
      <c r="C103">
        <v>-2.0611473500000002</v>
      </c>
      <c r="E103" s="29">
        <f t="shared" si="1"/>
        <v>-9.1823425199999988</v>
      </c>
      <c r="F103" s="30">
        <v>42760</v>
      </c>
    </row>
    <row r="104" spans="1:6" x14ac:dyDescent="0.3">
      <c r="A104" s="32" t="s">
        <v>808</v>
      </c>
      <c r="B104">
        <v>-12.718328290000001</v>
      </c>
      <c r="C104">
        <v>-3.2317711400000002</v>
      </c>
      <c r="E104" s="29">
        <f t="shared" si="1"/>
        <v>-9.4865571499999994</v>
      </c>
      <c r="F104" s="30">
        <v>42761</v>
      </c>
    </row>
    <row r="105" spans="1:6" x14ac:dyDescent="0.3">
      <c r="A105" s="32" t="s">
        <v>809</v>
      </c>
      <c r="B105">
        <v>-10.035779460000001</v>
      </c>
      <c r="C105">
        <v>-3.7349010499999999</v>
      </c>
      <c r="E105" s="29">
        <f t="shared" si="1"/>
        <v>-6.300878410000001</v>
      </c>
      <c r="F105" s="30">
        <v>42762</v>
      </c>
    </row>
    <row r="106" spans="1:6" x14ac:dyDescent="0.3">
      <c r="A106" s="32" t="s">
        <v>555</v>
      </c>
      <c r="B106">
        <v>-9.5928304299999994</v>
      </c>
      <c r="C106">
        <v>-3.5867182</v>
      </c>
      <c r="E106" s="29">
        <f t="shared" si="1"/>
        <v>-6.0061122299999994</v>
      </c>
      <c r="F106" s="30">
        <v>42763</v>
      </c>
    </row>
    <row r="107" spans="1:6" x14ac:dyDescent="0.3">
      <c r="A107" s="32" t="s">
        <v>556</v>
      </c>
      <c r="B107">
        <v>-9.9160817399999992</v>
      </c>
      <c r="C107">
        <v>-4.6274641699999997</v>
      </c>
      <c r="E107" s="29">
        <f t="shared" si="1"/>
        <v>-5.2886175699999995</v>
      </c>
      <c r="F107" s="30">
        <v>42764</v>
      </c>
    </row>
    <row r="108" spans="1:6" x14ac:dyDescent="0.3">
      <c r="A108" s="32" t="s">
        <v>557</v>
      </c>
      <c r="B108">
        <v>-8.7977098999999992</v>
      </c>
      <c r="C108">
        <v>-5.61572592</v>
      </c>
      <c r="E108" s="29">
        <f t="shared" si="1"/>
        <v>-3.1819839799999992</v>
      </c>
      <c r="F108" s="30">
        <v>42765</v>
      </c>
    </row>
    <row r="109" spans="1:6" x14ac:dyDescent="0.3">
      <c r="A109" s="32" t="s">
        <v>810</v>
      </c>
      <c r="B109">
        <v>-10.40750631</v>
      </c>
      <c r="C109">
        <v>-5.8038642300000003</v>
      </c>
      <c r="E109" s="29">
        <f t="shared" si="1"/>
        <v>-4.6036420800000002</v>
      </c>
      <c r="F109" s="30">
        <v>42766</v>
      </c>
    </row>
    <row r="110" spans="1:6" x14ac:dyDescent="0.3">
      <c r="A110" s="32" t="s">
        <v>559</v>
      </c>
      <c r="B110">
        <v>-9.9537080600000003</v>
      </c>
      <c r="C110">
        <v>-6.0856597800000003</v>
      </c>
      <c r="E110" s="29">
        <f t="shared" si="1"/>
        <v>-3.86804828</v>
      </c>
      <c r="F110" s="30">
        <v>42767</v>
      </c>
    </row>
    <row r="111" spans="1:6" x14ac:dyDescent="0.3">
      <c r="A111" s="32" t="s">
        <v>560</v>
      </c>
      <c r="B111">
        <v>-8.67553163</v>
      </c>
      <c r="C111">
        <v>-5.5546559899999997</v>
      </c>
      <c r="E111" s="29">
        <f t="shared" si="1"/>
        <v>-3.1208756400000004</v>
      </c>
      <c r="F111" s="30">
        <v>42768</v>
      </c>
    </row>
    <row r="112" spans="1:6" x14ac:dyDescent="0.3">
      <c r="A112" s="32" t="s">
        <v>561</v>
      </c>
      <c r="B112">
        <v>-8.35590528</v>
      </c>
      <c r="C112">
        <v>-5.58358913</v>
      </c>
      <c r="E112" s="29">
        <f t="shared" si="1"/>
        <v>-2.77231615</v>
      </c>
      <c r="F112" s="30">
        <v>42769</v>
      </c>
    </row>
    <row r="113" spans="1:6" x14ac:dyDescent="0.3">
      <c r="A113" s="32" t="s">
        <v>562</v>
      </c>
      <c r="B113">
        <v>-8.5721143099999999</v>
      </c>
      <c r="C113">
        <v>-5.4609240200000002</v>
      </c>
      <c r="E113" s="29">
        <f t="shared" si="1"/>
        <v>-3.1111902899999997</v>
      </c>
      <c r="F113" s="30">
        <v>42770</v>
      </c>
    </row>
    <row r="114" spans="1:6" x14ac:dyDescent="0.3">
      <c r="A114" s="32" t="s">
        <v>563</v>
      </c>
      <c r="B114">
        <v>-8.7659511099999996</v>
      </c>
      <c r="C114">
        <v>-4.91015084</v>
      </c>
      <c r="E114" s="29">
        <f t="shared" si="1"/>
        <v>-3.8558002699999996</v>
      </c>
      <c r="F114" s="30">
        <v>42771</v>
      </c>
    </row>
    <row r="115" spans="1:6" x14ac:dyDescent="0.3">
      <c r="A115" s="32" t="s">
        <v>564</v>
      </c>
      <c r="B115">
        <v>-9.1526995400000004</v>
      </c>
      <c r="C115">
        <v>-5.43580182</v>
      </c>
      <c r="E115" s="29">
        <f t="shared" si="1"/>
        <v>-3.7168977200000004</v>
      </c>
      <c r="F115" s="30">
        <v>42772</v>
      </c>
    </row>
    <row r="116" spans="1:6" x14ac:dyDescent="0.3">
      <c r="A116" s="32" t="s">
        <v>565</v>
      </c>
      <c r="B116">
        <v>-7.5458878</v>
      </c>
      <c r="C116">
        <v>-5.2269692499999998</v>
      </c>
      <c r="E116" s="29">
        <f t="shared" si="1"/>
        <v>-2.3189185500000002</v>
      </c>
      <c r="F116" s="30">
        <v>42773</v>
      </c>
    </row>
    <row r="117" spans="1:6" x14ac:dyDescent="0.3">
      <c r="A117" s="32" t="s">
        <v>811</v>
      </c>
      <c r="B117">
        <v>-5.97645056</v>
      </c>
      <c r="C117">
        <v>-5.87487359</v>
      </c>
      <c r="E117" s="29">
        <f t="shared" si="1"/>
        <v>-0.10157696999999999</v>
      </c>
      <c r="F117" s="30">
        <v>42774</v>
      </c>
    </row>
    <row r="118" spans="1:6" x14ac:dyDescent="0.3">
      <c r="A118" s="32" t="s">
        <v>812</v>
      </c>
      <c r="B118">
        <v>-5.5312996300000004</v>
      </c>
      <c r="C118">
        <v>-5.4471183500000002</v>
      </c>
      <c r="E118" s="29">
        <f t="shared" si="1"/>
        <v>-8.4181280000000136E-2</v>
      </c>
      <c r="F118" s="30">
        <v>42775</v>
      </c>
    </row>
    <row r="119" spans="1:6" x14ac:dyDescent="0.3">
      <c r="A119" s="32" t="s">
        <v>568</v>
      </c>
      <c r="B119">
        <v>-5.59409183</v>
      </c>
      <c r="C119">
        <v>-3.9340837099999999</v>
      </c>
      <c r="E119" s="29">
        <f t="shared" si="1"/>
        <v>-1.6600081200000001</v>
      </c>
      <c r="F119" s="30">
        <v>42776</v>
      </c>
    </row>
    <row r="120" spans="1:6" x14ac:dyDescent="0.3">
      <c r="A120" s="32" t="s">
        <v>813</v>
      </c>
      <c r="B120">
        <v>-6.3511032500000004</v>
      </c>
      <c r="C120">
        <v>-4.1407106499999999</v>
      </c>
      <c r="E120" s="29">
        <f t="shared" si="1"/>
        <v>-2.2103926000000005</v>
      </c>
      <c r="F120" s="30">
        <v>42777</v>
      </c>
    </row>
    <row r="121" spans="1:6" x14ac:dyDescent="0.3">
      <c r="A121" s="32" t="s">
        <v>814</v>
      </c>
      <c r="B121">
        <v>-5.1699897699999999</v>
      </c>
      <c r="C121">
        <v>-4.2958794500000002</v>
      </c>
      <c r="E121" s="29">
        <f t="shared" si="1"/>
        <v>-0.87411031999999977</v>
      </c>
      <c r="F121" s="30">
        <v>42778</v>
      </c>
    </row>
    <row r="122" spans="1:6" x14ac:dyDescent="0.3">
      <c r="A122" s="32" t="s">
        <v>815</v>
      </c>
      <c r="B122">
        <v>-5.1954655000000001</v>
      </c>
      <c r="C122">
        <v>-4.72091745</v>
      </c>
      <c r="E122" s="29">
        <f t="shared" si="1"/>
        <v>-0.47454805000000011</v>
      </c>
      <c r="F122" s="30">
        <v>42779</v>
      </c>
    </row>
    <row r="123" spans="1:6" x14ac:dyDescent="0.3">
      <c r="A123" s="32" t="s">
        <v>572</v>
      </c>
      <c r="B123">
        <v>-6.7102613699999996</v>
      </c>
      <c r="C123">
        <v>-3.4156717099999998</v>
      </c>
      <c r="E123" s="29">
        <f t="shared" si="1"/>
        <v>-3.2945896599999998</v>
      </c>
      <c r="F123" s="30">
        <v>42780</v>
      </c>
    </row>
    <row r="124" spans="1:6" x14ac:dyDescent="0.3">
      <c r="A124" s="32" t="s">
        <v>573</v>
      </c>
      <c r="B124">
        <v>-5.9485056199999997</v>
      </c>
      <c r="C124">
        <v>-3.9208271899999998</v>
      </c>
      <c r="E124" s="29">
        <f t="shared" si="1"/>
        <v>-2.0276784299999999</v>
      </c>
      <c r="F124" s="30">
        <v>42781</v>
      </c>
    </row>
    <row r="125" spans="1:6" x14ac:dyDescent="0.3">
      <c r="A125" s="32" t="s">
        <v>574</v>
      </c>
      <c r="B125">
        <v>-5.7477110600000003</v>
      </c>
      <c r="C125">
        <v>-3.6602209399999999</v>
      </c>
      <c r="E125" s="29">
        <f t="shared" si="1"/>
        <v>-2.0874901200000004</v>
      </c>
      <c r="F125" s="30">
        <v>42782</v>
      </c>
    </row>
    <row r="126" spans="1:6" x14ac:dyDescent="0.3">
      <c r="A126" s="32" t="s">
        <v>575</v>
      </c>
      <c r="B126">
        <v>-6.0087025199999999</v>
      </c>
      <c r="C126">
        <v>-4.24873922</v>
      </c>
      <c r="E126" s="29">
        <f t="shared" si="1"/>
        <v>-1.7599632999999999</v>
      </c>
      <c r="F126" s="30">
        <v>42783</v>
      </c>
    </row>
    <row r="127" spans="1:6" x14ac:dyDescent="0.3">
      <c r="A127" s="32" t="s">
        <v>576</v>
      </c>
      <c r="B127">
        <v>-6.4498533900000004</v>
      </c>
      <c r="C127">
        <v>-3.5146198000000002</v>
      </c>
      <c r="E127" s="29">
        <f t="shared" si="1"/>
        <v>-2.9352335900000002</v>
      </c>
      <c r="F127" s="30">
        <v>42784</v>
      </c>
    </row>
    <row r="128" spans="1:6" x14ac:dyDescent="0.3">
      <c r="A128" s="32" t="s">
        <v>577</v>
      </c>
      <c r="B128">
        <v>-5.40089518</v>
      </c>
      <c r="C128">
        <v>-4.0607332200000004</v>
      </c>
      <c r="E128" s="29">
        <f t="shared" si="1"/>
        <v>-1.3401619599999997</v>
      </c>
      <c r="F128" s="30">
        <v>42785</v>
      </c>
    </row>
    <row r="129" spans="1:6" x14ac:dyDescent="0.3">
      <c r="A129" s="32" t="s">
        <v>578</v>
      </c>
      <c r="B129">
        <v>-5.94568589</v>
      </c>
      <c r="C129">
        <v>-4.9115386299999999</v>
      </c>
      <c r="E129" s="29">
        <f t="shared" si="1"/>
        <v>-1.0341472600000001</v>
      </c>
      <c r="F129" s="30">
        <v>42786</v>
      </c>
    </row>
    <row r="130" spans="1:6" x14ac:dyDescent="0.3">
      <c r="A130" s="32" t="s">
        <v>579</v>
      </c>
      <c r="B130">
        <v>-7.4111098499999999</v>
      </c>
      <c r="C130">
        <v>-6.7050694499999999</v>
      </c>
      <c r="E130" s="29">
        <f t="shared" si="1"/>
        <v>-0.70604040000000001</v>
      </c>
      <c r="F130" s="30">
        <v>42787</v>
      </c>
    </row>
    <row r="131" spans="1:6" x14ac:dyDescent="0.3">
      <c r="A131" s="32" t="s">
        <v>580</v>
      </c>
      <c r="B131">
        <v>-9.3864271000000006</v>
      </c>
      <c r="C131">
        <v>-6.8795610099999998</v>
      </c>
      <c r="E131" s="29">
        <f t="shared" ref="E131:E194" si="2">B131-C131</f>
        <v>-2.5068660900000008</v>
      </c>
      <c r="F131" s="30">
        <v>42788</v>
      </c>
    </row>
    <row r="132" spans="1:6" x14ac:dyDescent="0.3">
      <c r="A132" s="32" t="s">
        <v>581</v>
      </c>
      <c r="B132">
        <v>-8.5264854299999993</v>
      </c>
      <c r="C132">
        <v>-6.46854233</v>
      </c>
      <c r="E132" s="29">
        <f t="shared" si="2"/>
        <v>-2.0579430999999992</v>
      </c>
      <c r="F132" s="30">
        <v>42789</v>
      </c>
    </row>
    <row r="133" spans="1:6" x14ac:dyDescent="0.3">
      <c r="A133" s="32" t="s">
        <v>582</v>
      </c>
      <c r="B133">
        <v>-8.1758581899999996</v>
      </c>
      <c r="C133">
        <v>-7.3120438400000003</v>
      </c>
      <c r="E133" s="29">
        <f t="shared" si="2"/>
        <v>-0.86381434999999929</v>
      </c>
      <c r="F133" s="30">
        <v>42790</v>
      </c>
    </row>
    <row r="134" spans="1:6" x14ac:dyDescent="0.3">
      <c r="A134" s="32" t="s">
        <v>816</v>
      </c>
      <c r="B134">
        <v>-9.1763512299999999</v>
      </c>
      <c r="C134">
        <v>-6.2839575600000002</v>
      </c>
      <c r="E134" s="29">
        <f t="shared" si="2"/>
        <v>-2.8923936699999997</v>
      </c>
      <c r="F134" s="30">
        <v>42791</v>
      </c>
    </row>
    <row r="135" spans="1:6" x14ac:dyDescent="0.3">
      <c r="A135" s="32" t="s">
        <v>817</v>
      </c>
      <c r="B135">
        <v>-8.2030519900000005</v>
      </c>
      <c r="C135">
        <v>-6.1719570099999999</v>
      </c>
      <c r="E135" s="29">
        <f t="shared" si="2"/>
        <v>-2.0310949800000007</v>
      </c>
      <c r="F135" s="30">
        <v>42792</v>
      </c>
    </row>
    <row r="136" spans="1:6" x14ac:dyDescent="0.3">
      <c r="A136" s="32" t="s">
        <v>818</v>
      </c>
      <c r="B136">
        <v>-8.2045839199999993</v>
      </c>
      <c r="C136">
        <v>-4.9993803000000003</v>
      </c>
      <c r="E136" s="29">
        <f t="shared" si="2"/>
        <v>-3.2052036199999989</v>
      </c>
      <c r="F136" s="30">
        <v>42793</v>
      </c>
    </row>
    <row r="137" spans="1:6" x14ac:dyDescent="0.3">
      <c r="A137" s="32" t="s">
        <v>819</v>
      </c>
      <c r="B137">
        <v>-7.8716824599999997</v>
      </c>
      <c r="C137">
        <v>-3.0646755699999999</v>
      </c>
      <c r="E137" s="29">
        <f t="shared" si="2"/>
        <v>-4.8070068900000003</v>
      </c>
      <c r="F137" s="30">
        <v>42794</v>
      </c>
    </row>
    <row r="138" spans="1:6" x14ac:dyDescent="0.3">
      <c r="A138" s="32" t="s">
        <v>820</v>
      </c>
      <c r="B138">
        <v>-7.6338275299999996</v>
      </c>
      <c r="C138">
        <v>-2.4921168200000001</v>
      </c>
      <c r="E138" s="29">
        <f t="shared" si="2"/>
        <v>-5.1417107099999999</v>
      </c>
      <c r="F138" s="30">
        <v>42795</v>
      </c>
    </row>
    <row r="139" spans="1:6" x14ac:dyDescent="0.3">
      <c r="A139" s="32" t="s">
        <v>821</v>
      </c>
      <c r="B139">
        <v>-8.3036100000000008</v>
      </c>
      <c r="C139">
        <v>-1.3325692499999999</v>
      </c>
      <c r="E139" s="29">
        <f t="shared" si="2"/>
        <v>-6.9710407500000011</v>
      </c>
      <c r="F139" s="30">
        <v>42796</v>
      </c>
    </row>
    <row r="140" spans="1:6" x14ac:dyDescent="0.3">
      <c r="A140" s="32" t="s">
        <v>589</v>
      </c>
      <c r="B140">
        <v>-7.4161149999999996</v>
      </c>
      <c r="C140">
        <v>0.14333151</v>
      </c>
      <c r="E140" s="29">
        <f t="shared" si="2"/>
        <v>-7.5594465099999999</v>
      </c>
      <c r="F140" s="30">
        <v>42797</v>
      </c>
    </row>
    <row r="141" spans="1:6" x14ac:dyDescent="0.3">
      <c r="A141" s="32" t="s">
        <v>590</v>
      </c>
      <c r="B141">
        <v>-7.2678011900000001</v>
      </c>
      <c r="C141">
        <v>-0.74855579999999999</v>
      </c>
      <c r="E141" s="29">
        <f t="shared" si="2"/>
        <v>-6.51924539</v>
      </c>
      <c r="F141" s="30">
        <v>42798</v>
      </c>
    </row>
    <row r="142" spans="1:6" x14ac:dyDescent="0.3">
      <c r="A142" s="32" t="s">
        <v>591</v>
      </c>
      <c r="B142">
        <v>-8.0636187400000008</v>
      </c>
      <c r="C142">
        <v>-2.8812520000000001E-2</v>
      </c>
      <c r="E142" s="29">
        <f t="shared" si="2"/>
        <v>-8.0348062200000001</v>
      </c>
      <c r="F142" s="30">
        <v>42799</v>
      </c>
    </row>
    <row r="143" spans="1:6" x14ac:dyDescent="0.3">
      <c r="A143" s="32" t="s">
        <v>592</v>
      </c>
      <c r="B143">
        <v>-7.2437177699999999</v>
      </c>
      <c r="C143">
        <v>0.29561313</v>
      </c>
      <c r="E143" s="29">
        <f t="shared" si="2"/>
        <v>-7.5393308999999995</v>
      </c>
      <c r="F143" s="30">
        <v>42800</v>
      </c>
    </row>
    <row r="144" spans="1:6" x14ac:dyDescent="0.3">
      <c r="A144" s="32" t="s">
        <v>593</v>
      </c>
      <c r="B144">
        <v>-7.2374466999999996</v>
      </c>
      <c r="C144">
        <v>-0.55729158999999995</v>
      </c>
      <c r="E144" s="29">
        <f t="shared" si="2"/>
        <v>-6.6801551099999994</v>
      </c>
      <c r="F144" s="30">
        <v>42801</v>
      </c>
    </row>
    <row r="145" spans="1:6" x14ac:dyDescent="0.3">
      <c r="A145" s="32" t="s">
        <v>594</v>
      </c>
      <c r="B145">
        <v>-6.7197179299999998</v>
      </c>
      <c r="C145">
        <v>1.8995410000000001E-2</v>
      </c>
      <c r="E145" s="29">
        <f t="shared" si="2"/>
        <v>-6.7387133399999994</v>
      </c>
      <c r="F145" s="30">
        <v>42802</v>
      </c>
    </row>
    <row r="146" spans="1:6" x14ac:dyDescent="0.3">
      <c r="A146" s="32" t="s">
        <v>595</v>
      </c>
      <c r="B146">
        <v>-7.3178535599999996</v>
      </c>
      <c r="C146">
        <v>0.90666623000000002</v>
      </c>
      <c r="E146" s="29">
        <f t="shared" si="2"/>
        <v>-8.2245197900000004</v>
      </c>
      <c r="F146" s="30">
        <v>42803</v>
      </c>
    </row>
    <row r="147" spans="1:6" x14ac:dyDescent="0.3">
      <c r="A147" s="32" t="s">
        <v>596</v>
      </c>
      <c r="B147">
        <v>-8.5111865099999999</v>
      </c>
      <c r="C147">
        <v>1.7003539000000001</v>
      </c>
      <c r="E147" s="29">
        <f t="shared" si="2"/>
        <v>-10.21154041</v>
      </c>
      <c r="F147" s="30">
        <v>42804</v>
      </c>
    </row>
    <row r="148" spans="1:6" x14ac:dyDescent="0.3">
      <c r="A148" s="32" t="s">
        <v>597</v>
      </c>
      <c r="B148">
        <v>-8.6156316299999993</v>
      </c>
      <c r="C148">
        <v>2.1819586000000002</v>
      </c>
      <c r="E148" s="29">
        <f t="shared" si="2"/>
        <v>-10.797590229999999</v>
      </c>
      <c r="F148" s="30">
        <v>42805</v>
      </c>
    </row>
    <row r="149" spans="1:6" x14ac:dyDescent="0.3">
      <c r="A149" s="32" t="s">
        <v>598</v>
      </c>
      <c r="B149">
        <v>-8.9314389999999992</v>
      </c>
      <c r="C149">
        <v>2.0738741300000001</v>
      </c>
      <c r="E149" s="29">
        <f t="shared" si="2"/>
        <v>-11.005313129999999</v>
      </c>
      <c r="F149" s="30">
        <v>42806</v>
      </c>
    </row>
    <row r="150" spans="1:6" x14ac:dyDescent="0.3">
      <c r="A150" s="32" t="s">
        <v>822</v>
      </c>
      <c r="B150">
        <v>-10.62191771</v>
      </c>
      <c r="C150">
        <v>2.21610687</v>
      </c>
      <c r="E150" s="29">
        <f t="shared" si="2"/>
        <v>-12.838024579999999</v>
      </c>
      <c r="F150" s="30">
        <v>42807</v>
      </c>
    </row>
    <row r="151" spans="1:6" x14ac:dyDescent="0.3">
      <c r="A151" s="32" t="s">
        <v>823</v>
      </c>
      <c r="B151">
        <v>-11.0077161</v>
      </c>
      <c r="C151">
        <v>1.8439401399999999</v>
      </c>
      <c r="E151" s="29">
        <f t="shared" si="2"/>
        <v>-12.851656240000001</v>
      </c>
      <c r="F151" s="30">
        <v>42808</v>
      </c>
    </row>
    <row r="152" spans="1:6" x14ac:dyDescent="0.3">
      <c r="A152" s="32" t="s">
        <v>824</v>
      </c>
      <c r="B152">
        <v>-10.966227979999999</v>
      </c>
      <c r="C152">
        <v>2.6946891000000002</v>
      </c>
      <c r="E152" s="29">
        <f t="shared" si="2"/>
        <v>-13.660917079999999</v>
      </c>
      <c r="F152" s="30">
        <v>42809</v>
      </c>
    </row>
    <row r="153" spans="1:6" x14ac:dyDescent="0.3">
      <c r="A153" s="32" t="s">
        <v>602</v>
      </c>
      <c r="B153">
        <v>-9.7044903599999994</v>
      </c>
      <c r="C153">
        <v>3.4538201800000001</v>
      </c>
      <c r="E153" s="29">
        <f t="shared" si="2"/>
        <v>-13.158310539999999</v>
      </c>
      <c r="F153" s="30">
        <v>42810</v>
      </c>
    </row>
    <row r="154" spans="1:6" x14ac:dyDescent="0.3">
      <c r="A154" s="32" t="s">
        <v>603</v>
      </c>
      <c r="B154">
        <v>-9.3449551500000005</v>
      </c>
      <c r="C154">
        <v>2.0850159499999998</v>
      </c>
      <c r="E154" s="29">
        <f t="shared" si="2"/>
        <v>-11.429971099999999</v>
      </c>
      <c r="F154" s="30">
        <v>42811</v>
      </c>
    </row>
    <row r="155" spans="1:6" x14ac:dyDescent="0.3">
      <c r="A155" s="32" t="s">
        <v>604</v>
      </c>
      <c r="B155">
        <v>-9.6836275100000009</v>
      </c>
      <c r="C155">
        <v>2.2477813599999998</v>
      </c>
      <c r="E155" s="29">
        <f t="shared" si="2"/>
        <v>-11.93140887</v>
      </c>
      <c r="F155" s="30">
        <v>42812</v>
      </c>
    </row>
    <row r="156" spans="1:6" x14ac:dyDescent="0.3">
      <c r="A156" s="32" t="s">
        <v>605</v>
      </c>
      <c r="B156">
        <v>-8.6022174800000002</v>
      </c>
      <c r="C156">
        <v>1.3887208799999999</v>
      </c>
      <c r="E156" s="29">
        <f t="shared" si="2"/>
        <v>-9.9909383599999995</v>
      </c>
      <c r="F156" s="30">
        <v>42813</v>
      </c>
    </row>
    <row r="157" spans="1:6" x14ac:dyDescent="0.3">
      <c r="A157" s="32" t="s">
        <v>606</v>
      </c>
      <c r="B157">
        <v>-9.8931513399999993</v>
      </c>
      <c r="C157">
        <v>2.7281102700000002</v>
      </c>
      <c r="E157" s="29">
        <f t="shared" si="2"/>
        <v>-12.621261609999999</v>
      </c>
      <c r="F157" s="30">
        <v>42814</v>
      </c>
    </row>
    <row r="158" spans="1:6" x14ac:dyDescent="0.3">
      <c r="A158" s="32" t="s">
        <v>825</v>
      </c>
      <c r="B158">
        <v>-10.66017677</v>
      </c>
      <c r="C158">
        <v>3.2919260499999998</v>
      </c>
      <c r="E158" s="29">
        <f t="shared" si="2"/>
        <v>-13.95210282</v>
      </c>
      <c r="F158" s="30">
        <v>42815</v>
      </c>
    </row>
    <row r="159" spans="1:6" x14ac:dyDescent="0.3">
      <c r="A159" s="32" t="s">
        <v>826</v>
      </c>
      <c r="B159">
        <v>-10.777189740000001</v>
      </c>
      <c r="C159">
        <v>2.9322171699999999</v>
      </c>
      <c r="E159" s="29">
        <f t="shared" si="2"/>
        <v>-13.70940691</v>
      </c>
      <c r="F159" s="30">
        <v>42816</v>
      </c>
    </row>
    <row r="160" spans="1:6" x14ac:dyDescent="0.3">
      <c r="A160" s="32" t="s">
        <v>827</v>
      </c>
      <c r="B160">
        <v>-10.681023079999999</v>
      </c>
      <c r="C160">
        <v>1.95520519</v>
      </c>
      <c r="E160" s="29">
        <f t="shared" si="2"/>
        <v>-12.63622827</v>
      </c>
      <c r="F160" s="30">
        <v>42817</v>
      </c>
    </row>
    <row r="161" spans="1:6" x14ac:dyDescent="0.3">
      <c r="A161" s="32" t="s">
        <v>828</v>
      </c>
      <c r="B161">
        <v>-10.264751759999999</v>
      </c>
      <c r="C161">
        <v>1.03418096</v>
      </c>
      <c r="E161" s="29">
        <f t="shared" si="2"/>
        <v>-11.29893272</v>
      </c>
      <c r="F161" s="30">
        <v>42818</v>
      </c>
    </row>
    <row r="162" spans="1:6" x14ac:dyDescent="0.3">
      <c r="A162" s="32" t="s">
        <v>829</v>
      </c>
      <c r="B162">
        <v>-11.309354040000001</v>
      </c>
      <c r="C162">
        <v>1.7702573500000001</v>
      </c>
      <c r="E162" s="29">
        <f t="shared" si="2"/>
        <v>-13.07961139</v>
      </c>
      <c r="F162" s="30">
        <v>42819</v>
      </c>
    </row>
    <row r="163" spans="1:6" x14ac:dyDescent="0.3">
      <c r="A163" s="32" t="s">
        <v>830</v>
      </c>
      <c r="B163">
        <v>-8.5685093099999996</v>
      </c>
      <c r="C163">
        <v>1.1585390499999999</v>
      </c>
      <c r="E163" s="29">
        <f t="shared" si="2"/>
        <v>-9.7270483599999995</v>
      </c>
      <c r="F163" s="30">
        <v>42820</v>
      </c>
    </row>
    <row r="164" spans="1:6" x14ac:dyDescent="0.3">
      <c r="A164" s="32" t="s">
        <v>613</v>
      </c>
      <c r="B164">
        <v>-9.1199482500000002</v>
      </c>
      <c r="C164">
        <v>1.79647617</v>
      </c>
      <c r="E164" s="29">
        <f t="shared" si="2"/>
        <v>-10.91642442</v>
      </c>
      <c r="F164" s="30">
        <v>42821</v>
      </c>
    </row>
    <row r="165" spans="1:6" x14ac:dyDescent="0.3">
      <c r="A165" s="32" t="s">
        <v>831</v>
      </c>
      <c r="B165">
        <v>-10.152312350000001</v>
      </c>
      <c r="C165">
        <v>1.57554755</v>
      </c>
      <c r="E165" s="29">
        <f t="shared" si="2"/>
        <v>-11.7278599</v>
      </c>
      <c r="F165" s="30">
        <v>42822</v>
      </c>
    </row>
    <row r="166" spans="1:6" x14ac:dyDescent="0.3">
      <c r="A166" s="32" t="s">
        <v>832</v>
      </c>
      <c r="B166">
        <v>-10.328707939999999</v>
      </c>
      <c r="C166">
        <v>2.1001312599999999</v>
      </c>
      <c r="E166" s="29">
        <f t="shared" si="2"/>
        <v>-12.428839199999999</v>
      </c>
      <c r="F166" s="30">
        <v>42823</v>
      </c>
    </row>
    <row r="167" spans="1:6" x14ac:dyDescent="0.3">
      <c r="A167" s="32" t="s">
        <v>616</v>
      </c>
      <c r="B167">
        <v>-9.4188188000000004</v>
      </c>
      <c r="C167">
        <v>2.5766842599999999</v>
      </c>
      <c r="E167" s="29">
        <f t="shared" si="2"/>
        <v>-11.995503060000001</v>
      </c>
      <c r="F167" s="30">
        <v>42824</v>
      </c>
    </row>
    <row r="168" spans="1:6" x14ac:dyDescent="0.3">
      <c r="A168" s="32" t="s">
        <v>833</v>
      </c>
      <c r="B168">
        <v>-11.23501834</v>
      </c>
      <c r="C168">
        <v>3.8491395900000001</v>
      </c>
      <c r="E168" s="29">
        <f t="shared" si="2"/>
        <v>-15.08415793</v>
      </c>
      <c r="F168" s="30">
        <v>42825</v>
      </c>
    </row>
    <row r="169" spans="1:6" x14ac:dyDescent="0.3">
      <c r="A169" s="32" t="s">
        <v>834</v>
      </c>
      <c r="B169">
        <v>-10.9988914</v>
      </c>
      <c r="C169">
        <v>4.6575824600000004</v>
      </c>
      <c r="E169" s="29">
        <f t="shared" si="2"/>
        <v>-15.65647386</v>
      </c>
      <c r="F169" s="30">
        <v>42826</v>
      </c>
    </row>
    <row r="170" spans="1:6" x14ac:dyDescent="0.3">
      <c r="A170" s="32" t="s">
        <v>835</v>
      </c>
      <c r="B170">
        <v>-12.179185349999999</v>
      </c>
      <c r="C170">
        <v>5.8298610599999998</v>
      </c>
      <c r="E170" s="29">
        <f t="shared" si="2"/>
        <v>-18.00904641</v>
      </c>
      <c r="F170" s="30">
        <v>42827</v>
      </c>
    </row>
    <row r="171" spans="1:6" x14ac:dyDescent="0.3">
      <c r="A171" s="32" t="s">
        <v>836</v>
      </c>
      <c r="B171">
        <v>-12.52688552</v>
      </c>
      <c r="C171">
        <v>5.3868759500000003</v>
      </c>
      <c r="E171" s="29">
        <f t="shared" si="2"/>
        <v>-17.913761470000001</v>
      </c>
      <c r="F171" s="30">
        <v>42828</v>
      </c>
    </row>
    <row r="172" spans="1:6" x14ac:dyDescent="0.3">
      <c r="A172" s="32" t="s">
        <v>837</v>
      </c>
      <c r="B172">
        <v>-12.66512045</v>
      </c>
      <c r="C172">
        <v>7.5507467799999999</v>
      </c>
      <c r="E172" s="29">
        <f t="shared" si="2"/>
        <v>-20.215867230000001</v>
      </c>
      <c r="F172" s="30">
        <v>42829</v>
      </c>
    </row>
    <row r="173" spans="1:6" x14ac:dyDescent="0.3">
      <c r="A173" s="32" t="s">
        <v>838</v>
      </c>
      <c r="B173">
        <v>-12.8849096</v>
      </c>
      <c r="C173">
        <v>5.53166913</v>
      </c>
      <c r="E173" s="29">
        <f t="shared" si="2"/>
        <v>-18.416578730000001</v>
      </c>
      <c r="F173" s="30">
        <v>42830</v>
      </c>
    </row>
    <row r="174" spans="1:6" x14ac:dyDescent="0.3">
      <c r="A174" s="32" t="s">
        <v>839</v>
      </c>
      <c r="B174">
        <v>-12.92170177</v>
      </c>
      <c r="C174">
        <v>6.7703021799999998</v>
      </c>
      <c r="E174" s="29">
        <f t="shared" si="2"/>
        <v>-19.69200395</v>
      </c>
      <c r="F174" s="30">
        <v>42831</v>
      </c>
    </row>
    <row r="175" spans="1:6" x14ac:dyDescent="0.3">
      <c r="A175" s="32" t="s">
        <v>840</v>
      </c>
      <c r="B175">
        <v>-12.49352749</v>
      </c>
      <c r="C175">
        <v>5.9531428000000002</v>
      </c>
      <c r="E175" s="29">
        <f t="shared" si="2"/>
        <v>-18.44667029</v>
      </c>
      <c r="F175" s="30">
        <v>42832</v>
      </c>
    </row>
    <row r="176" spans="1:6" x14ac:dyDescent="0.3">
      <c r="A176" s="32" t="s">
        <v>841</v>
      </c>
      <c r="B176">
        <v>-12.75497575</v>
      </c>
      <c r="C176">
        <v>5.4272913799999998</v>
      </c>
      <c r="E176" s="29">
        <f t="shared" si="2"/>
        <v>-18.18226713</v>
      </c>
      <c r="F176" s="30">
        <v>42833</v>
      </c>
    </row>
    <row r="177" spans="1:6" x14ac:dyDescent="0.3">
      <c r="A177" s="32" t="s">
        <v>842</v>
      </c>
      <c r="B177">
        <v>-12.783766050000001</v>
      </c>
      <c r="C177">
        <v>5.6673650000000002</v>
      </c>
      <c r="E177" s="29">
        <f t="shared" si="2"/>
        <v>-18.451131050000001</v>
      </c>
      <c r="F177" s="30">
        <v>42834</v>
      </c>
    </row>
    <row r="178" spans="1:6" x14ac:dyDescent="0.3">
      <c r="A178" s="32" t="s">
        <v>843</v>
      </c>
      <c r="B178">
        <v>-14.36737117</v>
      </c>
      <c r="C178">
        <v>6.17471047</v>
      </c>
      <c r="E178" s="29">
        <f t="shared" si="2"/>
        <v>-20.542081639999999</v>
      </c>
      <c r="F178" s="30">
        <v>42835</v>
      </c>
    </row>
    <row r="179" spans="1:6" x14ac:dyDescent="0.3">
      <c r="A179" s="32" t="s">
        <v>844</v>
      </c>
      <c r="B179">
        <v>-16.9251556</v>
      </c>
      <c r="C179">
        <v>5.6861005499999999</v>
      </c>
      <c r="E179" s="29">
        <f t="shared" si="2"/>
        <v>-22.611256149999999</v>
      </c>
      <c r="F179" s="30">
        <v>42836</v>
      </c>
    </row>
    <row r="180" spans="1:6" x14ac:dyDescent="0.3">
      <c r="A180" s="32" t="s">
        <v>845</v>
      </c>
      <c r="B180">
        <v>-15.57378065</v>
      </c>
      <c r="C180">
        <v>4.54846503</v>
      </c>
      <c r="E180" s="29">
        <f t="shared" si="2"/>
        <v>-20.122245679999999</v>
      </c>
      <c r="F180" s="30">
        <v>42837</v>
      </c>
    </row>
    <row r="181" spans="1:6" x14ac:dyDescent="0.3">
      <c r="A181" s="32" t="s">
        <v>846</v>
      </c>
      <c r="B181">
        <v>-14.96971123</v>
      </c>
      <c r="C181">
        <v>4.2001664400000003</v>
      </c>
      <c r="E181" s="29">
        <f t="shared" si="2"/>
        <v>-19.169877669999998</v>
      </c>
      <c r="F181" s="30">
        <v>42838</v>
      </c>
    </row>
    <row r="182" spans="1:6" x14ac:dyDescent="0.3">
      <c r="A182" s="32" t="s">
        <v>847</v>
      </c>
      <c r="B182">
        <v>-13.86312655</v>
      </c>
      <c r="C182">
        <v>4.1829565100000003</v>
      </c>
      <c r="E182" s="29">
        <f t="shared" si="2"/>
        <v>-18.046083060000001</v>
      </c>
      <c r="F182" s="30">
        <v>42839</v>
      </c>
    </row>
    <row r="183" spans="1:6" x14ac:dyDescent="0.3">
      <c r="A183" s="32" t="s">
        <v>848</v>
      </c>
      <c r="B183">
        <v>-14.707172079999999</v>
      </c>
      <c r="C183">
        <v>3.5178374699999999</v>
      </c>
      <c r="E183" s="29">
        <f t="shared" si="2"/>
        <v>-18.225009549999999</v>
      </c>
      <c r="F183" s="30">
        <v>42840</v>
      </c>
    </row>
    <row r="184" spans="1:6" x14ac:dyDescent="0.3">
      <c r="A184" s="32" t="s">
        <v>849</v>
      </c>
      <c r="B184">
        <v>-14.727954560000001</v>
      </c>
      <c r="C184">
        <v>5.4380224899999998</v>
      </c>
      <c r="E184" s="29">
        <f t="shared" si="2"/>
        <v>-20.165977050000002</v>
      </c>
      <c r="F184" s="30">
        <v>42841</v>
      </c>
    </row>
    <row r="185" spans="1:6" x14ac:dyDescent="0.3">
      <c r="A185" s="32" t="s">
        <v>850</v>
      </c>
      <c r="B185">
        <v>-13.95475755</v>
      </c>
      <c r="C185">
        <v>3.6691305399999998</v>
      </c>
      <c r="E185" s="29">
        <f t="shared" si="2"/>
        <v>-17.623888090000001</v>
      </c>
      <c r="F185" s="30">
        <v>42842</v>
      </c>
    </row>
    <row r="186" spans="1:6" x14ac:dyDescent="0.3">
      <c r="A186" s="32" t="s">
        <v>851</v>
      </c>
      <c r="B186">
        <v>-14.79207832</v>
      </c>
      <c r="C186">
        <v>1.0127065500000001</v>
      </c>
      <c r="E186" s="29">
        <f t="shared" si="2"/>
        <v>-15.804784870000001</v>
      </c>
      <c r="F186" s="30">
        <v>42843</v>
      </c>
    </row>
    <row r="187" spans="1:6" x14ac:dyDescent="0.3">
      <c r="A187" s="32" t="s">
        <v>852</v>
      </c>
      <c r="B187">
        <v>-15.10519994</v>
      </c>
      <c r="C187">
        <v>1.2352741300000001</v>
      </c>
      <c r="E187" s="29">
        <f t="shared" si="2"/>
        <v>-16.340474069999999</v>
      </c>
      <c r="F187" s="30">
        <v>42844</v>
      </c>
    </row>
    <row r="188" spans="1:6" x14ac:dyDescent="0.3">
      <c r="A188" s="32" t="s">
        <v>853</v>
      </c>
      <c r="B188">
        <v>-15.50682376</v>
      </c>
      <c r="C188">
        <v>2.1026755499999998</v>
      </c>
      <c r="E188" s="29">
        <f t="shared" si="2"/>
        <v>-17.60949931</v>
      </c>
      <c r="F188" s="30">
        <v>42845</v>
      </c>
    </row>
    <row r="189" spans="1:6" x14ac:dyDescent="0.3">
      <c r="A189" s="32" t="s">
        <v>854</v>
      </c>
      <c r="B189">
        <v>-14.43328028</v>
      </c>
      <c r="C189">
        <v>2.422161</v>
      </c>
      <c r="E189" s="29">
        <f t="shared" si="2"/>
        <v>-16.855441280000001</v>
      </c>
      <c r="F189" s="30">
        <v>42846</v>
      </c>
    </row>
    <row r="190" spans="1:6" x14ac:dyDescent="0.3">
      <c r="A190" s="32" t="s">
        <v>855</v>
      </c>
      <c r="B190">
        <v>-15.22139507</v>
      </c>
      <c r="C190">
        <v>2.4607571799999999</v>
      </c>
      <c r="E190" s="29">
        <f t="shared" si="2"/>
        <v>-17.682152250000001</v>
      </c>
      <c r="F190" s="30">
        <v>42847</v>
      </c>
    </row>
    <row r="191" spans="1:6" x14ac:dyDescent="0.3">
      <c r="A191" s="32" t="s">
        <v>856</v>
      </c>
      <c r="B191">
        <v>-16.373044950000001</v>
      </c>
      <c r="C191">
        <v>1.88693566</v>
      </c>
      <c r="E191" s="29">
        <f t="shared" si="2"/>
        <v>-18.25998061</v>
      </c>
      <c r="F191" s="30">
        <v>42848</v>
      </c>
    </row>
    <row r="192" spans="1:6" x14ac:dyDescent="0.3">
      <c r="A192" s="32" t="s">
        <v>857</v>
      </c>
      <c r="B192">
        <v>-17.102749620000001</v>
      </c>
      <c r="C192">
        <v>3.6365580799999999</v>
      </c>
      <c r="E192" s="29">
        <f t="shared" si="2"/>
        <v>-20.739307700000001</v>
      </c>
      <c r="F192" s="30">
        <v>42849</v>
      </c>
    </row>
    <row r="193" spans="1:6" x14ac:dyDescent="0.3">
      <c r="A193" s="32" t="s">
        <v>858</v>
      </c>
      <c r="B193">
        <v>-18.46041499</v>
      </c>
      <c r="C193">
        <v>3.3641492899999998</v>
      </c>
      <c r="E193" s="29">
        <f t="shared" si="2"/>
        <v>-21.824564280000001</v>
      </c>
      <c r="F193" s="30">
        <v>42850</v>
      </c>
    </row>
    <row r="194" spans="1:6" x14ac:dyDescent="0.3">
      <c r="A194" s="32" t="s">
        <v>859</v>
      </c>
      <c r="B194">
        <v>-17.00093721</v>
      </c>
      <c r="C194">
        <v>4.2072360800000004</v>
      </c>
      <c r="E194" s="29">
        <f t="shared" si="2"/>
        <v>-21.208173290000001</v>
      </c>
      <c r="F194" s="30">
        <v>42851</v>
      </c>
    </row>
    <row r="195" spans="1:6" x14ac:dyDescent="0.3">
      <c r="A195" s="32" t="s">
        <v>860</v>
      </c>
      <c r="B195">
        <v>-17.776714340000002</v>
      </c>
      <c r="C195">
        <v>4.7249535800000002</v>
      </c>
      <c r="E195" s="29">
        <f t="shared" ref="E195:E258" si="3">B195-C195</f>
        <v>-22.501667920000003</v>
      </c>
      <c r="F195" s="30">
        <v>42852</v>
      </c>
    </row>
    <row r="196" spans="1:6" x14ac:dyDescent="0.3">
      <c r="A196" s="32" t="s">
        <v>861</v>
      </c>
      <c r="B196">
        <v>-16.6011521</v>
      </c>
      <c r="C196">
        <v>4.9238442400000002</v>
      </c>
      <c r="E196" s="29">
        <f t="shared" si="3"/>
        <v>-21.524996340000001</v>
      </c>
      <c r="F196" s="30">
        <v>42853</v>
      </c>
    </row>
    <row r="197" spans="1:6" x14ac:dyDescent="0.3">
      <c r="A197" s="32" t="s">
        <v>862</v>
      </c>
      <c r="B197">
        <v>-17.188317049999998</v>
      </c>
      <c r="C197">
        <v>5.9703190299999997</v>
      </c>
      <c r="E197" s="29">
        <f t="shared" si="3"/>
        <v>-23.158636079999997</v>
      </c>
      <c r="F197" s="30">
        <v>42854</v>
      </c>
    </row>
    <row r="198" spans="1:6" x14ac:dyDescent="0.3">
      <c r="A198" s="32" t="s">
        <v>863</v>
      </c>
      <c r="B198">
        <v>-17.909997969999999</v>
      </c>
      <c r="C198">
        <v>6.83811138</v>
      </c>
      <c r="E198" s="29">
        <f t="shared" si="3"/>
        <v>-24.74810935</v>
      </c>
      <c r="F198" s="30">
        <v>42855</v>
      </c>
    </row>
    <row r="199" spans="1:6" x14ac:dyDescent="0.3">
      <c r="A199" s="32" t="s">
        <v>864</v>
      </c>
      <c r="B199">
        <v>-18.72303153</v>
      </c>
      <c r="C199">
        <v>5.8583421800000002</v>
      </c>
      <c r="E199" s="29">
        <f t="shared" si="3"/>
        <v>-24.581373710000001</v>
      </c>
      <c r="F199" s="30">
        <v>42856</v>
      </c>
    </row>
    <row r="200" spans="1:6" x14ac:dyDescent="0.3">
      <c r="A200" s="32" t="s">
        <v>865</v>
      </c>
      <c r="B200">
        <v>-17.505341210000001</v>
      </c>
      <c r="C200">
        <v>5.8931272999999997</v>
      </c>
      <c r="E200" s="29">
        <f t="shared" si="3"/>
        <v>-23.398468510000001</v>
      </c>
      <c r="F200" s="30">
        <v>42857</v>
      </c>
    </row>
    <row r="201" spans="1:6" x14ac:dyDescent="0.3">
      <c r="A201" s="32" t="s">
        <v>866</v>
      </c>
      <c r="B201">
        <v>-17.55564528</v>
      </c>
      <c r="C201">
        <v>6.2898931300000003</v>
      </c>
      <c r="E201" s="29">
        <f t="shared" si="3"/>
        <v>-23.84553841</v>
      </c>
      <c r="F201" s="30">
        <v>42858</v>
      </c>
    </row>
    <row r="202" spans="1:6" x14ac:dyDescent="0.3">
      <c r="A202" s="32" t="s">
        <v>867</v>
      </c>
      <c r="B202">
        <v>-17.717754580000001</v>
      </c>
      <c r="C202">
        <v>6.4752347600000002</v>
      </c>
      <c r="E202" s="29">
        <f t="shared" si="3"/>
        <v>-24.19298934</v>
      </c>
      <c r="F202" s="30">
        <v>42859</v>
      </c>
    </row>
    <row r="203" spans="1:6" x14ac:dyDescent="0.3">
      <c r="A203" s="32" t="s">
        <v>868</v>
      </c>
      <c r="B203">
        <v>-17.881609000000001</v>
      </c>
      <c r="C203">
        <v>7.1736541999999996</v>
      </c>
      <c r="E203" s="29">
        <f t="shared" si="3"/>
        <v>-25.055263199999999</v>
      </c>
      <c r="F203" s="30">
        <v>42860</v>
      </c>
    </row>
    <row r="204" spans="1:6" x14ac:dyDescent="0.3">
      <c r="A204" s="32" t="s">
        <v>869</v>
      </c>
      <c r="B204">
        <v>-16.465540279999999</v>
      </c>
      <c r="C204">
        <v>7.8294282400000004</v>
      </c>
      <c r="E204" s="29">
        <f t="shared" si="3"/>
        <v>-24.294968519999998</v>
      </c>
      <c r="F204" s="30">
        <v>42861</v>
      </c>
    </row>
    <row r="205" spans="1:6" x14ac:dyDescent="0.3">
      <c r="A205" s="32" t="s">
        <v>870</v>
      </c>
      <c r="B205">
        <v>-15.18821397</v>
      </c>
      <c r="C205">
        <v>6.60365074</v>
      </c>
      <c r="E205" s="29">
        <f t="shared" si="3"/>
        <v>-21.791864709999999</v>
      </c>
      <c r="F205" s="30">
        <v>42862</v>
      </c>
    </row>
    <row r="206" spans="1:6" x14ac:dyDescent="0.3">
      <c r="A206" s="32" t="s">
        <v>871</v>
      </c>
      <c r="B206">
        <v>-16.287715039999998</v>
      </c>
      <c r="C206">
        <v>6.2486352099999998</v>
      </c>
      <c r="E206" s="29">
        <f t="shared" si="3"/>
        <v>-22.536350249999998</v>
      </c>
      <c r="F206" s="30">
        <v>42863</v>
      </c>
    </row>
    <row r="207" spans="1:6" x14ac:dyDescent="0.3">
      <c r="A207" s="32" t="s">
        <v>872</v>
      </c>
      <c r="B207">
        <v>-17.052871419999999</v>
      </c>
      <c r="C207">
        <v>5.49855056</v>
      </c>
      <c r="E207" s="29">
        <f t="shared" si="3"/>
        <v>-22.551421980000001</v>
      </c>
      <c r="F207" s="30">
        <v>42864</v>
      </c>
    </row>
    <row r="208" spans="1:6" x14ac:dyDescent="0.3">
      <c r="A208" s="32" t="s">
        <v>873</v>
      </c>
      <c r="B208">
        <v>-14.871443620000001</v>
      </c>
      <c r="C208">
        <v>3.8579389000000002</v>
      </c>
      <c r="E208" s="29">
        <f t="shared" si="3"/>
        <v>-18.729382520000001</v>
      </c>
      <c r="F208" s="30">
        <v>42865</v>
      </c>
    </row>
    <row r="209" spans="1:6" x14ac:dyDescent="0.3">
      <c r="A209" s="32" t="s">
        <v>874</v>
      </c>
      <c r="B209">
        <v>-14.21498147</v>
      </c>
      <c r="C209">
        <v>2.9727816300000001</v>
      </c>
      <c r="E209" s="29">
        <f t="shared" si="3"/>
        <v>-17.187763099999998</v>
      </c>
      <c r="F209" s="30">
        <v>42866</v>
      </c>
    </row>
    <row r="210" spans="1:6" x14ac:dyDescent="0.3">
      <c r="A210" s="32" t="s">
        <v>875</v>
      </c>
      <c r="B210">
        <v>-13.036567659999999</v>
      </c>
      <c r="C210">
        <v>2.1523624899999998</v>
      </c>
      <c r="E210" s="29">
        <f t="shared" si="3"/>
        <v>-15.188930149999999</v>
      </c>
      <c r="F210" s="30">
        <v>42867</v>
      </c>
    </row>
    <row r="211" spans="1:6" x14ac:dyDescent="0.3">
      <c r="A211" s="32" t="s">
        <v>876</v>
      </c>
      <c r="B211">
        <v>-12.24428135</v>
      </c>
      <c r="C211">
        <v>1.36859796</v>
      </c>
      <c r="E211" s="29">
        <f t="shared" si="3"/>
        <v>-13.61287931</v>
      </c>
      <c r="F211" s="30">
        <v>42868</v>
      </c>
    </row>
    <row r="212" spans="1:6" x14ac:dyDescent="0.3">
      <c r="A212" s="32" t="s">
        <v>877</v>
      </c>
      <c r="B212">
        <v>-14.0367736</v>
      </c>
      <c r="C212">
        <v>1.1814876000000001</v>
      </c>
      <c r="E212" s="29">
        <f t="shared" si="3"/>
        <v>-15.218261200000001</v>
      </c>
      <c r="F212" s="30">
        <v>42869</v>
      </c>
    </row>
    <row r="213" spans="1:6" x14ac:dyDescent="0.3">
      <c r="A213" s="32" t="s">
        <v>878</v>
      </c>
      <c r="B213">
        <v>-12.94795328</v>
      </c>
      <c r="C213">
        <v>2.9617392200000001</v>
      </c>
      <c r="E213" s="29">
        <f t="shared" si="3"/>
        <v>-15.9096925</v>
      </c>
      <c r="F213" s="30">
        <v>42870</v>
      </c>
    </row>
    <row r="214" spans="1:6" x14ac:dyDescent="0.3">
      <c r="A214" s="32" t="s">
        <v>879</v>
      </c>
      <c r="B214">
        <v>-10.740495940000001</v>
      </c>
      <c r="C214">
        <v>3.0065358500000001</v>
      </c>
      <c r="E214" s="29">
        <f t="shared" si="3"/>
        <v>-13.747031790000001</v>
      </c>
      <c r="F214" s="30">
        <v>42871</v>
      </c>
    </row>
    <row r="215" spans="1:6" x14ac:dyDescent="0.3">
      <c r="A215" s="32" t="s">
        <v>880</v>
      </c>
      <c r="B215">
        <v>-10.52364145</v>
      </c>
      <c r="C215">
        <v>3.66634678</v>
      </c>
      <c r="E215" s="29">
        <f t="shared" si="3"/>
        <v>-14.189988229999999</v>
      </c>
      <c r="F215" s="30">
        <v>42872</v>
      </c>
    </row>
    <row r="216" spans="1:6" x14ac:dyDescent="0.3">
      <c r="A216" s="32" t="s">
        <v>665</v>
      </c>
      <c r="B216">
        <v>-9.1164549400000006</v>
      </c>
      <c r="C216">
        <v>2.9522666900000001</v>
      </c>
      <c r="E216" s="29">
        <f t="shared" si="3"/>
        <v>-12.068721630000001</v>
      </c>
      <c r="F216" s="30">
        <v>42873</v>
      </c>
    </row>
    <row r="217" spans="1:6" x14ac:dyDescent="0.3">
      <c r="A217" s="32" t="s">
        <v>881</v>
      </c>
      <c r="B217">
        <v>-8.8136884099999993</v>
      </c>
      <c r="C217">
        <v>4.5718384700000003</v>
      </c>
      <c r="E217" s="29">
        <f t="shared" si="3"/>
        <v>-13.38552688</v>
      </c>
      <c r="F217" s="30">
        <v>42874</v>
      </c>
    </row>
    <row r="218" spans="1:6" x14ac:dyDescent="0.3">
      <c r="A218" s="32" t="s">
        <v>882</v>
      </c>
      <c r="B218">
        <v>-9.5488684199999998</v>
      </c>
      <c r="C218">
        <v>4.45941952</v>
      </c>
      <c r="E218" s="29">
        <f t="shared" si="3"/>
        <v>-14.008287939999999</v>
      </c>
      <c r="F218" s="30">
        <v>42875</v>
      </c>
    </row>
    <row r="219" spans="1:6" x14ac:dyDescent="0.3">
      <c r="A219" s="32" t="s">
        <v>883</v>
      </c>
      <c r="B219">
        <v>-10.052917580000001</v>
      </c>
      <c r="C219">
        <v>4.6120044900000003</v>
      </c>
      <c r="E219" s="29">
        <f t="shared" si="3"/>
        <v>-14.664922070000001</v>
      </c>
      <c r="F219" s="30">
        <v>42876</v>
      </c>
    </row>
    <row r="220" spans="1:6" x14ac:dyDescent="0.3">
      <c r="A220" s="32" t="s">
        <v>884</v>
      </c>
      <c r="B220">
        <v>-8.5788954799999999</v>
      </c>
      <c r="C220">
        <v>5.1191339899999999</v>
      </c>
      <c r="E220" s="29">
        <f t="shared" si="3"/>
        <v>-13.69802947</v>
      </c>
      <c r="F220" s="30">
        <v>42877</v>
      </c>
    </row>
    <row r="221" spans="1:6" x14ac:dyDescent="0.3">
      <c r="A221" s="32" t="s">
        <v>885</v>
      </c>
      <c r="B221">
        <v>-9.3145500999999999</v>
      </c>
      <c r="C221">
        <v>2.9614581699999998</v>
      </c>
      <c r="E221" s="29">
        <f t="shared" si="3"/>
        <v>-12.27600827</v>
      </c>
      <c r="F221" s="30">
        <v>42878</v>
      </c>
    </row>
    <row r="222" spans="1:6" x14ac:dyDescent="0.3">
      <c r="A222" s="32" t="s">
        <v>886</v>
      </c>
      <c r="B222">
        <v>-9.6098627400000005</v>
      </c>
      <c r="C222">
        <v>2.42695098</v>
      </c>
      <c r="E222" s="29">
        <f t="shared" si="3"/>
        <v>-12.036813720000001</v>
      </c>
      <c r="F222" s="30">
        <v>42879</v>
      </c>
    </row>
    <row r="223" spans="1:6" x14ac:dyDescent="0.3">
      <c r="A223" s="32" t="s">
        <v>887</v>
      </c>
      <c r="B223">
        <v>-11.53425618</v>
      </c>
      <c r="C223">
        <v>1.9508643800000001</v>
      </c>
      <c r="E223" s="29">
        <f t="shared" si="3"/>
        <v>-13.48512056</v>
      </c>
      <c r="F223" s="30">
        <v>42880</v>
      </c>
    </row>
    <row r="224" spans="1:6" x14ac:dyDescent="0.3">
      <c r="A224" s="32" t="s">
        <v>888</v>
      </c>
      <c r="B224">
        <v>-11.65234712</v>
      </c>
      <c r="C224">
        <v>-0.11659574</v>
      </c>
      <c r="E224" s="29">
        <f t="shared" si="3"/>
        <v>-11.535751380000001</v>
      </c>
      <c r="F224" s="30">
        <v>42881</v>
      </c>
    </row>
    <row r="225" spans="1:6" x14ac:dyDescent="0.3">
      <c r="A225" s="32" t="s">
        <v>889</v>
      </c>
      <c r="B225">
        <v>-10.09823755</v>
      </c>
      <c r="C225">
        <v>0.38384727000000002</v>
      </c>
      <c r="E225" s="29">
        <f t="shared" si="3"/>
        <v>-10.482084820000001</v>
      </c>
      <c r="F225" s="30">
        <v>42882</v>
      </c>
    </row>
    <row r="226" spans="1:6" x14ac:dyDescent="0.3">
      <c r="A226" s="32" t="s">
        <v>890</v>
      </c>
      <c r="B226">
        <v>-10.16085582</v>
      </c>
      <c r="C226">
        <v>-0.16030269999999999</v>
      </c>
      <c r="E226" s="29">
        <f t="shared" si="3"/>
        <v>-10.000553119999999</v>
      </c>
      <c r="F226" s="30">
        <v>42883</v>
      </c>
    </row>
    <row r="227" spans="1:6" x14ac:dyDescent="0.3">
      <c r="A227" s="32" t="s">
        <v>891</v>
      </c>
      <c r="B227">
        <v>-9.6266918300000004</v>
      </c>
      <c r="C227">
        <v>1.3791083099999999</v>
      </c>
      <c r="E227" s="29">
        <f t="shared" si="3"/>
        <v>-11.00580014</v>
      </c>
      <c r="F227" s="30">
        <v>42884</v>
      </c>
    </row>
    <row r="228" spans="1:6" x14ac:dyDescent="0.3">
      <c r="A228" s="32" t="s">
        <v>677</v>
      </c>
      <c r="B228">
        <v>-8.5410375100000007</v>
      </c>
      <c r="C228">
        <v>1.6262934499999999</v>
      </c>
      <c r="E228" s="29">
        <f t="shared" si="3"/>
        <v>-10.167330960000001</v>
      </c>
      <c r="F228" s="30">
        <v>42885</v>
      </c>
    </row>
    <row r="229" spans="1:6" x14ac:dyDescent="0.3">
      <c r="A229" s="32" t="s">
        <v>678</v>
      </c>
      <c r="B229">
        <v>-7.9616797400000001</v>
      </c>
      <c r="C229">
        <v>2.4793140000000002E-2</v>
      </c>
      <c r="E229" s="29">
        <f t="shared" si="3"/>
        <v>-7.98647288</v>
      </c>
      <c r="F229" s="30">
        <v>42886</v>
      </c>
    </row>
    <row r="230" spans="1:6" x14ac:dyDescent="0.3">
      <c r="A230" s="32" t="s">
        <v>679</v>
      </c>
      <c r="B230">
        <v>-9.3970302599999993</v>
      </c>
      <c r="C230">
        <v>-0.20209937</v>
      </c>
      <c r="E230" s="29">
        <f t="shared" si="3"/>
        <v>-9.1949308899999984</v>
      </c>
      <c r="F230" s="30">
        <v>42887</v>
      </c>
    </row>
    <row r="231" spans="1:6" x14ac:dyDescent="0.3">
      <c r="A231" s="32" t="s">
        <v>680</v>
      </c>
      <c r="B231">
        <v>-6.7577334000000002</v>
      </c>
      <c r="C231">
        <v>0.13870109999999999</v>
      </c>
      <c r="E231" s="29">
        <f t="shared" si="3"/>
        <v>-6.8964344999999998</v>
      </c>
      <c r="F231" s="30">
        <v>42888</v>
      </c>
    </row>
    <row r="232" spans="1:6" x14ac:dyDescent="0.3">
      <c r="A232" s="32" t="s">
        <v>681</v>
      </c>
      <c r="B232">
        <v>-5.5523555099999999</v>
      </c>
      <c r="C232">
        <v>-1.9418230000000002E-2</v>
      </c>
      <c r="E232" s="29">
        <f t="shared" si="3"/>
        <v>-5.5329372799999996</v>
      </c>
      <c r="F232" s="30">
        <v>42889</v>
      </c>
    </row>
    <row r="233" spans="1:6" x14ac:dyDescent="0.3">
      <c r="A233" s="32" t="s">
        <v>682</v>
      </c>
      <c r="B233">
        <v>-6.6540261699999999</v>
      </c>
      <c r="C233">
        <v>-0.91776771999999995</v>
      </c>
      <c r="E233" s="29">
        <f t="shared" si="3"/>
        <v>-5.7362584500000002</v>
      </c>
      <c r="F233" s="30">
        <v>42890</v>
      </c>
    </row>
    <row r="234" spans="1:6" x14ac:dyDescent="0.3">
      <c r="A234" s="32" t="s">
        <v>683</v>
      </c>
      <c r="B234">
        <v>-7.4765254900000002</v>
      </c>
      <c r="C234">
        <v>-1.90770298</v>
      </c>
      <c r="E234" s="29">
        <f t="shared" si="3"/>
        <v>-5.5688225100000004</v>
      </c>
      <c r="F234" s="30">
        <v>42891</v>
      </c>
    </row>
    <row r="235" spans="1:6" x14ac:dyDescent="0.3">
      <c r="A235" s="32" t="s">
        <v>684</v>
      </c>
      <c r="B235">
        <v>-6.9370259699999997</v>
      </c>
      <c r="C235">
        <v>-1.8847309800000001</v>
      </c>
      <c r="E235" s="29">
        <f t="shared" si="3"/>
        <v>-5.05229499</v>
      </c>
      <c r="F235" s="30">
        <v>42892</v>
      </c>
    </row>
    <row r="236" spans="1:6" x14ac:dyDescent="0.3">
      <c r="A236" s="32" t="s">
        <v>685</v>
      </c>
      <c r="B236">
        <v>-7.0246253799999998</v>
      </c>
      <c r="C236">
        <v>-3.98614574</v>
      </c>
      <c r="E236" s="29">
        <f t="shared" si="3"/>
        <v>-3.0384796399999998</v>
      </c>
      <c r="F236" s="30">
        <v>42893</v>
      </c>
    </row>
    <row r="237" spans="1:6" x14ac:dyDescent="0.3">
      <c r="A237" s="32" t="s">
        <v>686</v>
      </c>
      <c r="B237">
        <v>-6.06012796</v>
      </c>
      <c r="C237">
        <v>-3.7493707199999999</v>
      </c>
      <c r="E237" s="29">
        <f t="shared" si="3"/>
        <v>-2.31075724</v>
      </c>
      <c r="F237" s="30">
        <v>42894</v>
      </c>
    </row>
    <row r="238" spans="1:6" x14ac:dyDescent="0.3">
      <c r="A238" s="32" t="s">
        <v>687</v>
      </c>
      <c r="B238">
        <v>-7.18321437</v>
      </c>
      <c r="C238">
        <v>-2.9569802699999999</v>
      </c>
      <c r="E238" s="29">
        <f t="shared" si="3"/>
        <v>-4.2262341000000001</v>
      </c>
      <c r="F238" s="30">
        <v>42895</v>
      </c>
    </row>
    <row r="239" spans="1:6" x14ac:dyDescent="0.3">
      <c r="A239" s="32" t="s">
        <v>688</v>
      </c>
      <c r="B239">
        <v>-7.9000880999999996</v>
      </c>
      <c r="C239">
        <v>-3.6554546800000001</v>
      </c>
      <c r="E239" s="29">
        <f t="shared" si="3"/>
        <v>-4.2446334199999995</v>
      </c>
      <c r="F239" s="30">
        <v>42896</v>
      </c>
    </row>
    <row r="240" spans="1:6" x14ac:dyDescent="0.3">
      <c r="A240" s="32" t="s">
        <v>689</v>
      </c>
      <c r="B240">
        <v>-8.2839898099999996</v>
      </c>
      <c r="C240">
        <v>-2.0166037399999999</v>
      </c>
      <c r="E240" s="29">
        <f t="shared" si="3"/>
        <v>-6.2673860699999997</v>
      </c>
      <c r="F240" s="30">
        <v>42897</v>
      </c>
    </row>
    <row r="241" spans="1:6" x14ac:dyDescent="0.3">
      <c r="A241" s="32" t="s">
        <v>690</v>
      </c>
      <c r="B241">
        <v>-8.9883429199999991</v>
      </c>
      <c r="C241">
        <v>-1.34270706</v>
      </c>
      <c r="E241" s="29">
        <f t="shared" si="3"/>
        <v>-7.6456358599999987</v>
      </c>
      <c r="F241" s="30">
        <v>42898</v>
      </c>
    </row>
    <row r="242" spans="1:6" x14ac:dyDescent="0.3">
      <c r="A242" s="32" t="s">
        <v>691</v>
      </c>
      <c r="B242">
        <v>-9.3765645000000006</v>
      </c>
      <c r="C242">
        <v>-2.8486409799999999</v>
      </c>
      <c r="E242" s="29">
        <f t="shared" si="3"/>
        <v>-6.5279235200000008</v>
      </c>
      <c r="F242" s="30">
        <v>42899</v>
      </c>
    </row>
    <row r="243" spans="1:6" x14ac:dyDescent="0.3">
      <c r="A243" s="32" t="s">
        <v>692</v>
      </c>
      <c r="B243">
        <v>-9.4912710600000008</v>
      </c>
      <c r="C243">
        <v>-2.0990063299999999</v>
      </c>
      <c r="E243" s="29">
        <f t="shared" si="3"/>
        <v>-7.3922647300000008</v>
      </c>
      <c r="F243" s="30">
        <v>42900</v>
      </c>
    </row>
    <row r="244" spans="1:6" x14ac:dyDescent="0.3">
      <c r="A244" s="32" t="s">
        <v>693</v>
      </c>
      <c r="B244">
        <v>-9.9188252299999995</v>
      </c>
      <c r="C244">
        <v>-2.4060859300000002</v>
      </c>
      <c r="E244" s="29">
        <f t="shared" si="3"/>
        <v>-7.5127392999999998</v>
      </c>
      <c r="F244" s="30">
        <v>42901</v>
      </c>
    </row>
    <row r="245" spans="1:6" x14ac:dyDescent="0.3">
      <c r="A245" s="32" t="s">
        <v>694</v>
      </c>
      <c r="B245">
        <v>-8.3386130299999994</v>
      </c>
      <c r="C245">
        <v>-4.1431647600000003</v>
      </c>
      <c r="E245" s="29">
        <f t="shared" si="3"/>
        <v>-4.1954482699999991</v>
      </c>
      <c r="F245" s="30">
        <v>42902</v>
      </c>
    </row>
    <row r="246" spans="1:6" x14ac:dyDescent="0.3">
      <c r="A246" s="32" t="s">
        <v>695</v>
      </c>
      <c r="B246">
        <v>-8.7030878900000008</v>
      </c>
      <c r="C246">
        <v>-4.4452104800000001</v>
      </c>
      <c r="E246" s="29">
        <f t="shared" si="3"/>
        <v>-4.2578774100000008</v>
      </c>
      <c r="F246" s="30">
        <v>42903</v>
      </c>
    </row>
    <row r="247" spans="1:6" x14ac:dyDescent="0.3">
      <c r="A247" s="32" t="s">
        <v>892</v>
      </c>
      <c r="B247">
        <v>-10.12323179</v>
      </c>
      <c r="C247">
        <v>-5.0663422599999999</v>
      </c>
      <c r="E247" s="29">
        <f t="shared" si="3"/>
        <v>-5.0568895300000003</v>
      </c>
      <c r="F247" s="30">
        <v>42904</v>
      </c>
    </row>
    <row r="248" spans="1:6" x14ac:dyDescent="0.3">
      <c r="A248" s="32" t="s">
        <v>697</v>
      </c>
      <c r="B248">
        <v>-9.2499008899999993</v>
      </c>
      <c r="C248">
        <v>-6.5634056999999997</v>
      </c>
      <c r="E248" s="29">
        <f t="shared" si="3"/>
        <v>-2.6864951899999996</v>
      </c>
      <c r="F248" s="30">
        <v>42905</v>
      </c>
    </row>
    <row r="249" spans="1:6" x14ac:dyDescent="0.3">
      <c r="A249" s="32" t="s">
        <v>893</v>
      </c>
      <c r="B249">
        <v>-10.117073899999999</v>
      </c>
      <c r="C249">
        <v>-5.7633611699999996</v>
      </c>
      <c r="E249" s="29">
        <f t="shared" si="3"/>
        <v>-4.3537127299999998</v>
      </c>
      <c r="F249" s="30">
        <v>42906</v>
      </c>
    </row>
    <row r="250" spans="1:6" x14ac:dyDescent="0.3">
      <c r="A250" s="32" t="s">
        <v>894</v>
      </c>
      <c r="B250">
        <v>-12.41593013</v>
      </c>
      <c r="C250">
        <v>-6.8047389699999998</v>
      </c>
      <c r="E250" s="29">
        <f t="shared" si="3"/>
        <v>-5.6111911599999997</v>
      </c>
      <c r="F250" s="30">
        <v>42907</v>
      </c>
    </row>
    <row r="251" spans="1:6" x14ac:dyDescent="0.3">
      <c r="A251" s="32" t="s">
        <v>895</v>
      </c>
      <c r="B251">
        <v>-13.08714992</v>
      </c>
      <c r="C251">
        <v>-6.6948234299999996</v>
      </c>
      <c r="E251" s="29">
        <f t="shared" si="3"/>
        <v>-6.3923264900000003</v>
      </c>
      <c r="F251" s="30">
        <v>42908</v>
      </c>
    </row>
    <row r="252" spans="1:6" x14ac:dyDescent="0.3">
      <c r="A252" s="32" t="s">
        <v>701</v>
      </c>
      <c r="B252">
        <v>-12.06132392</v>
      </c>
      <c r="C252">
        <v>-6.7794926999999996</v>
      </c>
      <c r="E252" s="29">
        <f t="shared" si="3"/>
        <v>-5.2818312199999999</v>
      </c>
      <c r="F252" s="30">
        <v>42909</v>
      </c>
    </row>
    <row r="253" spans="1:6" x14ac:dyDescent="0.3">
      <c r="A253" s="32" t="s">
        <v>702</v>
      </c>
      <c r="B253">
        <v>-11.32011805</v>
      </c>
      <c r="C253">
        <v>-6.9513943500000002</v>
      </c>
      <c r="E253" s="29">
        <f t="shared" si="3"/>
        <v>-4.3687236999999994</v>
      </c>
      <c r="F253" s="30">
        <v>42910</v>
      </c>
    </row>
    <row r="254" spans="1:6" x14ac:dyDescent="0.3">
      <c r="A254" s="32" t="s">
        <v>896</v>
      </c>
      <c r="B254">
        <v>-12.88518955</v>
      </c>
      <c r="C254">
        <v>-7.8835721200000002</v>
      </c>
      <c r="E254" s="29">
        <f t="shared" si="3"/>
        <v>-5.0016174299999996</v>
      </c>
      <c r="F254" s="30">
        <v>42911</v>
      </c>
    </row>
    <row r="255" spans="1:6" x14ac:dyDescent="0.3">
      <c r="A255" s="32" t="s">
        <v>704</v>
      </c>
      <c r="B255">
        <v>-12.015555689999999</v>
      </c>
      <c r="C255">
        <v>-7.74271318</v>
      </c>
      <c r="E255" s="29">
        <f t="shared" si="3"/>
        <v>-4.2728425099999994</v>
      </c>
      <c r="F255" s="30">
        <v>42912</v>
      </c>
    </row>
    <row r="256" spans="1:6" x14ac:dyDescent="0.3">
      <c r="A256" s="32" t="s">
        <v>705</v>
      </c>
      <c r="B256">
        <v>-14.239852020000001</v>
      </c>
      <c r="C256">
        <v>-7.2942515400000003</v>
      </c>
      <c r="E256" s="29">
        <f t="shared" si="3"/>
        <v>-6.9456004800000004</v>
      </c>
      <c r="F256" s="30">
        <v>42913</v>
      </c>
    </row>
    <row r="257" spans="1:6" x14ac:dyDescent="0.3">
      <c r="A257" s="32" t="s">
        <v>706</v>
      </c>
      <c r="B257">
        <v>-14.90495818</v>
      </c>
      <c r="C257">
        <v>-7.6151845500000004</v>
      </c>
      <c r="E257" s="29">
        <f t="shared" si="3"/>
        <v>-7.2897736299999991</v>
      </c>
      <c r="F257" s="30">
        <v>42914</v>
      </c>
    </row>
    <row r="258" spans="1:6" x14ac:dyDescent="0.3">
      <c r="A258" s="32" t="s">
        <v>707</v>
      </c>
      <c r="B258">
        <v>-15.383122739999999</v>
      </c>
      <c r="C258">
        <v>-7.7399219500000003</v>
      </c>
      <c r="E258" s="29">
        <f t="shared" si="3"/>
        <v>-7.643200789999999</v>
      </c>
      <c r="F258" s="30">
        <v>42915</v>
      </c>
    </row>
    <row r="259" spans="1:6" x14ac:dyDescent="0.3">
      <c r="A259" s="32" t="s">
        <v>708</v>
      </c>
      <c r="B259">
        <v>-15.63965928</v>
      </c>
      <c r="C259">
        <v>-8.4971349899999993</v>
      </c>
      <c r="E259" s="29">
        <f t="shared" ref="E259:E322" si="4">B259-C259</f>
        <v>-7.1425242900000008</v>
      </c>
      <c r="F259" s="30">
        <v>42916</v>
      </c>
    </row>
    <row r="260" spans="1:6" x14ac:dyDescent="0.3">
      <c r="A260" s="32" t="s">
        <v>709</v>
      </c>
      <c r="B260">
        <v>-16.698305300000001</v>
      </c>
      <c r="C260">
        <v>-9.2546915999999992</v>
      </c>
      <c r="E260" s="29">
        <f t="shared" si="4"/>
        <v>-7.443613700000002</v>
      </c>
      <c r="F260" s="30">
        <v>42917</v>
      </c>
    </row>
    <row r="261" spans="1:6" x14ac:dyDescent="0.3">
      <c r="A261" s="32" t="s">
        <v>897</v>
      </c>
      <c r="B261">
        <v>-17.951572880000001</v>
      </c>
      <c r="C261">
        <v>-8.5750498099999994</v>
      </c>
      <c r="E261" s="29">
        <f t="shared" si="4"/>
        <v>-9.3765230700000011</v>
      </c>
      <c r="F261" s="30">
        <v>42918</v>
      </c>
    </row>
    <row r="262" spans="1:6" x14ac:dyDescent="0.3">
      <c r="A262" s="32" t="s">
        <v>898</v>
      </c>
      <c r="B262">
        <v>-18.798342600000002</v>
      </c>
      <c r="C262">
        <v>-8.7748755200000002</v>
      </c>
      <c r="E262" s="29">
        <f t="shared" si="4"/>
        <v>-10.023467080000001</v>
      </c>
      <c r="F262" s="30">
        <v>42919</v>
      </c>
    </row>
    <row r="263" spans="1:6" x14ac:dyDescent="0.3">
      <c r="A263" s="32" t="s">
        <v>899</v>
      </c>
      <c r="B263">
        <v>-19.900089860000001</v>
      </c>
      <c r="C263">
        <v>-8.0895522999999994</v>
      </c>
      <c r="E263" s="29">
        <f t="shared" si="4"/>
        <v>-11.810537560000002</v>
      </c>
      <c r="F263" s="30">
        <v>42920</v>
      </c>
    </row>
    <row r="264" spans="1:6" x14ac:dyDescent="0.3">
      <c r="A264" s="32" t="s">
        <v>900</v>
      </c>
      <c r="B264">
        <v>-19.192865860000001</v>
      </c>
      <c r="C264">
        <v>-9.1238313000000009</v>
      </c>
      <c r="E264" s="29">
        <f t="shared" si="4"/>
        <v>-10.06903456</v>
      </c>
      <c r="F264" s="30">
        <v>42921</v>
      </c>
    </row>
    <row r="265" spans="1:6" x14ac:dyDescent="0.3">
      <c r="A265" s="32" t="s">
        <v>901</v>
      </c>
      <c r="B265">
        <v>-18.728628180000001</v>
      </c>
      <c r="C265">
        <v>-10.35281226</v>
      </c>
      <c r="E265" s="29">
        <f t="shared" si="4"/>
        <v>-8.3758159200000009</v>
      </c>
      <c r="F265" s="30">
        <v>42922</v>
      </c>
    </row>
    <row r="266" spans="1:6" x14ac:dyDescent="0.3">
      <c r="A266" s="32" t="s">
        <v>902</v>
      </c>
      <c r="B266">
        <v>-16.4624427</v>
      </c>
      <c r="C266">
        <v>-10.35484696</v>
      </c>
      <c r="E266" s="29">
        <f t="shared" si="4"/>
        <v>-6.1075957400000007</v>
      </c>
      <c r="F266" s="30">
        <v>42923</v>
      </c>
    </row>
    <row r="267" spans="1:6" x14ac:dyDescent="0.3">
      <c r="A267" s="32" t="s">
        <v>903</v>
      </c>
      <c r="B267">
        <v>-15.624755629999999</v>
      </c>
      <c r="C267">
        <v>-9.5337775499999999</v>
      </c>
      <c r="E267" s="29">
        <f t="shared" si="4"/>
        <v>-6.0909780799999993</v>
      </c>
      <c r="F267" s="30">
        <v>42924</v>
      </c>
    </row>
    <row r="268" spans="1:6" x14ac:dyDescent="0.3">
      <c r="A268" s="32" t="s">
        <v>904</v>
      </c>
      <c r="B268">
        <v>-15.322029300000001</v>
      </c>
      <c r="C268">
        <v>-10.476402650000001</v>
      </c>
      <c r="E268" s="29">
        <f t="shared" si="4"/>
        <v>-4.8456266499999998</v>
      </c>
      <c r="F268" s="30">
        <v>42925</v>
      </c>
    </row>
    <row r="269" spans="1:6" x14ac:dyDescent="0.3">
      <c r="A269" s="32" t="s">
        <v>905</v>
      </c>
      <c r="B269">
        <v>-17.17302784</v>
      </c>
      <c r="C269">
        <v>-9.3450656399999996</v>
      </c>
      <c r="E269" s="29">
        <f t="shared" si="4"/>
        <v>-7.8279622</v>
      </c>
      <c r="F269" s="30">
        <v>42926</v>
      </c>
    </row>
    <row r="270" spans="1:6" x14ac:dyDescent="0.3">
      <c r="A270" s="32" t="s">
        <v>906</v>
      </c>
      <c r="B270">
        <v>-18.220665310000001</v>
      </c>
      <c r="C270">
        <v>-9.1068002700000008</v>
      </c>
      <c r="E270" s="29">
        <f t="shared" si="4"/>
        <v>-9.1138650400000003</v>
      </c>
      <c r="F270" s="30">
        <v>42927</v>
      </c>
    </row>
    <row r="271" spans="1:6" x14ac:dyDescent="0.3">
      <c r="A271" s="32" t="s">
        <v>907</v>
      </c>
      <c r="B271">
        <v>-19.467880189999999</v>
      </c>
      <c r="C271">
        <v>-8.6491156100000008</v>
      </c>
      <c r="E271" s="29">
        <f t="shared" si="4"/>
        <v>-10.818764579999998</v>
      </c>
      <c r="F271" s="30">
        <v>42928</v>
      </c>
    </row>
    <row r="272" spans="1:6" x14ac:dyDescent="0.3">
      <c r="A272" s="32" t="s">
        <v>908</v>
      </c>
      <c r="B272">
        <v>-19.015039569999999</v>
      </c>
      <c r="C272">
        <v>-8.7410834200000007</v>
      </c>
      <c r="E272" s="29">
        <f t="shared" si="4"/>
        <v>-10.273956149999998</v>
      </c>
      <c r="F272" s="30">
        <v>42929</v>
      </c>
    </row>
    <row r="273" spans="1:6" x14ac:dyDescent="0.3">
      <c r="A273" s="32" t="s">
        <v>909</v>
      </c>
      <c r="B273">
        <v>-19.181362289999999</v>
      </c>
      <c r="C273">
        <v>-9.9404371499999993</v>
      </c>
      <c r="E273" s="29">
        <f t="shared" si="4"/>
        <v>-9.2409251399999999</v>
      </c>
      <c r="F273" s="30">
        <v>42930</v>
      </c>
    </row>
    <row r="274" spans="1:6" x14ac:dyDescent="0.3">
      <c r="A274" s="32" t="s">
        <v>910</v>
      </c>
      <c r="B274">
        <v>-18.995894639999999</v>
      </c>
      <c r="C274">
        <v>-11.17899656</v>
      </c>
      <c r="E274" s="29">
        <f t="shared" si="4"/>
        <v>-7.8168980799999996</v>
      </c>
      <c r="F274" s="30">
        <v>42931</v>
      </c>
    </row>
    <row r="275" spans="1:6" x14ac:dyDescent="0.3">
      <c r="A275" s="32" t="s">
        <v>911</v>
      </c>
      <c r="B275">
        <v>-18.017698509999999</v>
      </c>
      <c r="C275">
        <v>-10.13191584</v>
      </c>
      <c r="E275" s="29">
        <f t="shared" si="4"/>
        <v>-7.8857826699999993</v>
      </c>
      <c r="F275" s="30">
        <v>42932</v>
      </c>
    </row>
    <row r="276" spans="1:6" x14ac:dyDescent="0.3">
      <c r="A276" s="32" t="s">
        <v>912</v>
      </c>
      <c r="B276">
        <v>-18.869281560000001</v>
      </c>
      <c r="C276">
        <v>-10.48707299</v>
      </c>
      <c r="E276" s="29">
        <f t="shared" si="4"/>
        <v>-8.3822085700000013</v>
      </c>
      <c r="F276" s="30">
        <v>42933</v>
      </c>
    </row>
    <row r="277" spans="1:6" x14ac:dyDescent="0.3">
      <c r="A277" s="32" t="s">
        <v>913</v>
      </c>
      <c r="B277">
        <v>-18.381008000000001</v>
      </c>
      <c r="C277">
        <v>-10.73190533</v>
      </c>
      <c r="E277" s="29">
        <f t="shared" si="4"/>
        <v>-7.6491026700000013</v>
      </c>
      <c r="F277" s="30">
        <v>42934</v>
      </c>
    </row>
    <row r="278" spans="1:6" x14ac:dyDescent="0.3">
      <c r="A278" s="32" t="s">
        <v>914</v>
      </c>
      <c r="B278">
        <v>-18.247391579999999</v>
      </c>
      <c r="C278">
        <v>-12.245290280000001</v>
      </c>
      <c r="E278" s="29">
        <f t="shared" si="4"/>
        <v>-6.0021012999999979</v>
      </c>
      <c r="F278" s="30">
        <v>42935</v>
      </c>
    </row>
    <row r="279" spans="1:6" x14ac:dyDescent="0.3">
      <c r="A279" s="32" t="s">
        <v>915</v>
      </c>
      <c r="B279">
        <v>-18.99123144</v>
      </c>
      <c r="C279">
        <v>-14.188215400000001</v>
      </c>
      <c r="E279" s="29">
        <f t="shared" si="4"/>
        <v>-4.8030160399999993</v>
      </c>
      <c r="F279" s="30">
        <v>42936</v>
      </c>
    </row>
    <row r="280" spans="1:6" x14ac:dyDescent="0.3">
      <c r="A280" s="32" t="s">
        <v>916</v>
      </c>
      <c r="B280">
        <v>-19.403070580000001</v>
      </c>
      <c r="C280">
        <v>-15.263516109999999</v>
      </c>
      <c r="E280" s="29">
        <f t="shared" si="4"/>
        <v>-4.139554470000002</v>
      </c>
      <c r="F280" s="30">
        <v>42937</v>
      </c>
    </row>
    <row r="281" spans="1:6" x14ac:dyDescent="0.3">
      <c r="A281" s="32" t="s">
        <v>917</v>
      </c>
      <c r="B281">
        <v>-20.435745959999998</v>
      </c>
      <c r="C281">
        <v>-15.346690560000001</v>
      </c>
      <c r="E281" s="29">
        <f t="shared" si="4"/>
        <v>-5.0890553999999977</v>
      </c>
      <c r="F281" s="30">
        <v>42938</v>
      </c>
    </row>
    <row r="282" spans="1:6" x14ac:dyDescent="0.3">
      <c r="A282" s="32" t="s">
        <v>918</v>
      </c>
      <c r="B282">
        <v>-18.61896209</v>
      </c>
      <c r="C282">
        <v>-15.64488388</v>
      </c>
      <c r="E282" s="29">
        <f t="shared" si="4"/>
        <v>-2.9740782100000001</v>
      </c>
      <c r="F282" s="30">
        <v>42939</v>
      </c>
    </row>
    <row r="283" spans="1:6" x14ac:dyDescent="0.3">
      <c r="A283" s="32" t="s">
        <v>919</v>
      </c>
      <c r="B283">
        <v>-19.920046379999999</v>
      </c>
      <c r="C283">
        <v>-14.41798451</v>
      </c>
      <c r="E283" s="29">
        <f t="shared" si="4"/>
        <v>-5.5020618699999986</v>
      </c>
      <c r="F283" s="30">
        <v>42940</v>
      </c>
    </row>
    <row r="284" spans="1:6" x14ac:dyDescent="0.3">
      <c r="A284" s="32" t="s">
        <v>920</v>
      </c>
      <c r="B284">
        <v>-19.83087909</v>
      </c>
      <c r="C284">
        <v>-13.966117390000001</v>
      </c>
      <c r="E284" s="29">
        <f t="shared" si="4"/>
        <v>-5.864761699999999</v>
      </c>
      <c r="F284" s="30">
        <v>42941</v>
      </c>
    </row>
    <row r="285" spans="1:6" x14ac:dyDescent="0.3">
      <c r="A285" s="32" t="s">
        <v>921</v>
      </c>
      <c r="B285">
        <v>-20.349081269999999</v>
      </c>
      <c r="C285">
        <v>-15.160650670000001</v>
      </c>
      <c r="E285" s="29">
        <f t="shared" si="4"/>
        <v>-5.1884305999999984</v>
      </c>
      <c r="F285" s="30">
        <v>42942</v>
      </c>
    </row>
    <row r="286" spans="1:6" x14ac:dyDescent="0.3">
      <c r="A286" s="32" t="s">
        <v>922</v>
      </c>
      <c r="B286">
        <v>-18.331454359999999</v>
      </c>
      <c r="C286">
        <v>-14.91902093</v>
      </c>
      <c r="E286" s="29">
        <f t="shared" si="4"/>
        <v>-3.4124334299999983</v>
      </c>
      <c r="F286" s="30">
        <v>42943</v>
      </c>
    </row>
    <row r="287" spans="1:6" x14ac:dyDescent="0.3">
      <c r="A287" s="32" t="s">
        <v>923</v>
      </c>
      <c r="B287">
        <v>-17.806250370000001</v>
      </c>
      <c r="C287">
        <v>-14.22187471</v>
      </c>
      <c r="E287" s="29">
        <f t="shared" si="4"/>
        <v>-3.584375660000001</v>
      </c>
      <c r="F287" s="30">
        <v>42944</v>
      </c>
    </row>
    <row r="288" spans="1:6" x14ac:dyDescent="0.3">
      <c r="A288" s="32" t="s">
        <v>924</v>
      </c>
      <c r="B288">
        <v>-17.173832279999999</v>
      </c>
      <c r="C288">
        <v>-15.144078889999999</v>
      </c>
      <c r="E288" s="29">
        <f t="shared" si="4"/>
        <v>-2.0297533899999998</v>
      </c>
      <c r="F288" s="30">
        <v>42945</v>
      </c>
    </row>
    <row r="289" spans="1:6" x14ac:dyDescent="0.3">
      <c r="A289" s="32" t="s">
        <v>925</v>
      </c>
      <c r="B289">
        <v>-15.55032215</v>
      </c>
      <c r="C289">
        <v>-16.149577499999999</v>
      </c>
      <c r="E289" s="29">
        <f t="shared" si="4"/>
        <v>0.59925534999999996</v>
      </c>
      <c r="F289" s="30">
        <v>42946</v>
      </c>
    </row>
    <row r="290" spans="1:6" x14ac:dyDescent="0.3">
      <c r="A290" s="32" t="s">
        <v>926</v>
      </c>
      <c r="B290">
        <v>-15.540554589999999</v>
      </c>
      <c r="C290">
        <v>-15.8258487</v>
      </c>
      <c r="E290" s="29">
        <f t="shared" si="4"/>
        <v>0.2852941100000006</v>
      </c>
      <c r="F290" s="30">
        <v>42947</v>
      </c>
    </row>
    <row r="291" spans="1:6" x14ac:dyDescent="0.3">
      <c r="A291" s="32" t="s">
        <v>927</v>
      </c>
      <c r="B291">
        <v>-15.427834389999999</v>
      </c>
      <c r="C291">
        <v>-15.64340226</v>
      </c>
      <c r="E291" s="29">
        <f t="shared" si="4"/>
        <v>0.21556787000000099</v>
      </c>
      <c r="F291" s="30">
        <v>42948</v>
      </c>
    </row>
    <row r="292" spans="1:6" x14ac:dyDescent="0.3">
      <c r="A292" s="32" t="s">
        <v>928</v>
      </c>
      <c r="B292">
        <v>-15.90912894</v>
      </c>
      <c r="C292">
        <v>-15.81519436</v>
      </c>
      <c r="E292" s="29">
        <f t="shared" si="4"/>
        <v>-9.3934580000000878E-2</v>
      </c>
      <c r="F292" s="30">
        <v>42949</v>
      </c>
    </row>
    <row r="293" spans="1:6" x14ac:dyDescent="0.3">
      <c r="A293" s="32" t="s">
        <v>929</v>
      </c>
      <c r="B293">
        <v>-15.78470476</v>
      </c>
      <c r="C293">
        <v>-15.20073642</v>
      </c>
      <c r="E293" s="29">
        <f t="shared" si="4"/>
        <v>-0.5839683400000002</v>
      </c>
      <c r="F293" s="30">
        <v>42950</v>
      </c>
    </row>
    <row r="294" spans="1:6" x14ac:dyDescent="0.3">
      <c r="A294" s="32" t="s">
        <v>930</v>
      </c>
      <c r="B294">
        <v>-14.080238189999999</v>
      </c>
      <c r="C294">
        <v>-14.268763740000001</v>
      </c>
      <c r="E294" s="29">
        <f t="shared" si="4"/>
        <v>0.18852555000000137</v>
      </c>
      <c r="F294" s="30">
        <v>42951</v>
      </c>
    </row>
    <row r="295" spans="1:6" x14ac:dyDescent="0.3">
      <c r="A295" s="32" t="s">
        <v>931</v>
      </c>
      <c r="B295">
        <v>-16.175921070000001</v>
      </c>
      <c r="C295">
        <v>-12.8760136</v>
      </c>
      <c r="E295" s="29">
        <f t="shared" si="4"/>
        <v>-3.2999074700000008</v>
      </c>
      <c r="F295" s="30">
        <v>42952</v>
      </c>
    </row>
    <row r="296" spans="1:6" x14ac:dyDescent="0.3">
      <c r="A296" s="32" t="s">
        <v>932</v>
      </c>
      <c r="B296">
        <v>-15.61253127</v>
      </c>
      <c r="C296">
        <v>-12.384127189999999</v>
      </c>
      <c r="E296" s="29">
        <f t="shared" si="4"/>
        <v>-3.2284040800000007</v>
      </c>
      <c r="F296" s="30">
        <v>42953</v>
      </c>
    </row>
    <row r="297" spans="1:6" x14ac:dyDescent="0.3">
      <c r="A297" s="32" t="s">
        <v>933</v>
      </c>
      <c r="B297">
        <v>-16.00417594</v>
      </c>
      <c r="C297">
        <v>-12.04719631</v>
      </c>
      <c r="E297" s="29">
        <f t="shared" si="4"/>
        <v>-3.9569796299999993</v>
      </c>
      <c r="F297" s="30">
        <v>42954</v>
      </c>
    </row>
    <row r="298" spans="1:6" x14ac:dyDescent="0.3">
      <c r="A298" s="32" t="s">
        <v>934</v>
      </c>
      <c r="B298">
        <v>-15.907523429999999</v>
      </c>
      <c r="C298">
        <v>-12.35627781</v>
      </c>
      <c r="E298" s="29">
        <f t="shared" si="4"/>
        <v>-3.5512456199999995</v>
      </c>
      <c r="F298" s="30">
        <v>42955</v>
      </c>
    </row>
    <row r="299" spans="1:6" x14ac:dyDescent="0.3">
      <c r="A299" s="32" t="s">
        <v>935</v>
      </c>
      <c r="B299">
        <v>-15.66731401</v>
      </c>
      <c r="C299">
        <v>-11.084707030000001</v>
      </c>
      <c r="E299" s="29">
        <f t="shared" si="4"/>
        <v>-4.5826069799999996</v>
      </c>
      <c r="F299" s="30">
        <v>42956</v>
      </c>
    </row>
    <row r="300" spans="1:6" x14ac:dyDescent="0.3">
      <c r="A300" s="32" t="s">
        <v>936</v>
      </c>
      <c r="B300">
        <v>-13.24362423</v>
      </c>
      <c r="C300">
        <v>-10.88154392</v>
      </c>
      <c r="E300" s="29">
        <f t="shared" si="4"/>
        <v>-2.3620803099999996</v>
      </c>
      <c r="F300" s="30">
        <v>42957</v>
      </c>
    </row>
    <row r="301" spans="1:6" x14ac:dyDescent="0.3">
      <c r="A301" s="32" t="s">
        <v>937</v>
      </c>
      <c r="B301">
        <v>-15.58136318</v>
      </c>
      <c r="C301">
        <v>-10.355351779999999</v>
      </c>
      <c r="E301" s="29">
        <f t="shared" si="4"/>
        <v>-5.2260114000000009</v>
      </c>
      <c r="F301" s="30">
        <v>42958</v>
      </c>
    </row>
    <row r="302" spans="1:6" x14ac:dyDescent="0.3">
      <c r="A302" s="32" t="s">
        <v>938</v>
      </c>
      <c r="B302">
        <v>-14.750348199999999</v>
      </c>
      <c r="C302">
        <v>-11.068045039999999</v>
      </c>
      <c r="E302" s="29">
        <f t="shared" si="4"/>
        <v>-3.68230316</v>
      </c>
      <c r="F302" s="30">
        <v>42959</v>
      </c>
    </row>
    <row r="303" spans="1:6" x14ac:dyDescent="0.3">
      <c r="A303" s="32" t="s">
        <v>939</v>
      </c>
      <c r="B303">
        <v>-16.6102834</v>
      </c>
      <c r="C303">
        <v>-10.313259049999999</v>
      </c>
      <c r="E303" s="29">
        <f t="shared" si="4"/>
        <v>-6.2970243500000009</v>
      </c>
      <c r="F303" s="30">
        <v>42960</v>
      </c>
    </row>
    <row r="304" spans="1:6" x14ac:dyDescent="0.3">
      <c r="A304" s="32" t="s">
        <v>940</v>
      </c>
      <c r="B304">
        <v>-17.42688034</v>
      </c>
      <c r="C304">
        <v>-11.07407181</v>
      </c>
      <c r="E304" s="29">
        <f t="shared" si="4"/>
        <v>-6.3528085300000008</v>
      </c>
      <c r="F304" s="30">
        <v>42961</v>
      </c>
    </row>
    <row r="305" spans="1:6" x14ac:dyDescent="0.3">
      <c r="A305" s="32" t="s">
        <v>941</v>
      </c>
      <c r="B305">
        <v>-16.098052360000001</v>
      </c>
      <c r="C305">
        <v>-13.18974854</v>
      </c>
      <c r="E305" s="29">
        <f t="shared" si="4"/>
        <v>-2.9083038200000004</v>
      </c>
      <c r="F305" s="30">
        <v>42962</v>
      </c>
    </row>
    <row r="306" spans="1:6" x14ac:dyDescent="0.3">
      <c r="A306" s="32" t="s">
        <v>942</v>
      </c>
      <c r="B306">
        <v>-17.152464590000001</v>
      </c>
      <c r="C306">
        <v>-14.84417058</v>
      </c>
      <c r="E306" s="29">
        <f t="shared" si="4"/>
        <v>-2.3082940100000009</v>
      </c>
      <c r="F306" s="30">
        <v>42963</v>
      </c>
    </row>
    <row r="307" spans="1:6" x14ac:dyDescent="0.3">
      <c r="A307" s="32" t="s">
        <v>943</v>
      </c>
      <c r="B307">
        <v>-17.747476089999999</v>
      </c>
      <c r="C307">
        <v>-13.5212763</v>
      </c>
      <c r="E307" s="29">
        <f t="shared" si="4"/>
        <v>-4.226199789999999</v>
      </c>
      <c r="F307" s="30">
        <v>42964</v>
      </c>
    </row>
    <row r="308" spans="1:6" x14ac:dyDescent="0.3">
      <c r="A308" s="32" t="s">
        <v>944</v>
      </c>
      <c r="B308">
        <v>-16.021107000000001</v>
      </c>
      <c r="C308">
        <v>-12.386192550000001</v>
      </c>
      <c r="E308" s="29">
        <f t="shared" si="4"/>
        <v>-3.6349144500000001</v>
      </c>
      <c r="F308" s="30">
        <v>42965</v>
      </c>
    </row>
    <row r="309" spans="1:6" x14ac:dyDescent="0.3">
      <c r="A309" s="32" t="s">
        <v>945</v>
      </c>
      <c r="B309">
        <v>-16.997975820000001</v>
      </c>
      <c r="C309">
        <v>-10.494970410000001</v>
      </c>
      <c r="E309" s="29">
        <f t="shared" si="4"/>
        <v>-6.5030054100000001</v>
      </c>
      <c r="F309" s="30">
        <v>42966</v>
      </c>
    </row>
    <row r="310" spans="1:6" x14ac:dyDescent="0.3">
      <c r="A310" s="32" t="s">
        <v>946</v>
      </c>
      <c r="B310">
        <v>-16.142531680000001</v>
      </c>
      <c r="C310">
        <v>-10.19588766</v>
      </c>
      <c r="E310" s="29">
        <f t="shared" si="4"/>
        <v>-5.9466440200000008</v>
      </c>
      <c r="F310" s="30">
        <v>42967</v>
      </c>
    </row>
    <row r="311" spans="1:6" x14ac:dyDescent="0.3">
      <c r="A311" s="32" t="s">
        <v>947</v>
      </c>
      <c r="B311">
        <v>-17.180795020000001</v>
      </c>
      <c r="C311">
        <v>-10.47218638</v>
      </c>
      <c r="E311" s="29">
        <f t="shared" si="4"/>
        <v>-6.7086086400000013</v>
      </c>
      <c r="F311" s="30">
        <v>42968</v>
      </c>
    </row>
    <row r="312" spans="1:6" x14ac:dyDescent="0.3">
      <c r="A312" s="32" t="s">
        <v>948</v>
      </c>
      <c r="B312">
        <v>-16.76633112</v>
      </c>
      <c r="C312">
        <v>-9.8387638499999994</v>
      </c>
      <c r="E312" s="29">
        <f t="shared" si="4"/>
        <v>-6.9275672700000008</v>
      </c>
      <c r="F312" s="30">
        <v>42969</v>
      </c>
    </row>
    <row r="313" spans="1:6" x14ac:dyDescent="0.3">
      <c r="A313" s="32" t="s">
        <v>949</v>
      </c>
      <c r="B313">
        <v>-17.888480810000001</v>
      </c>
      <c r="C313">
        <v>-10.54560815</v>
      </c>
      <c r="E313" s="29">
        <f t="shared" si="4"/>
        <v>-7.3428726600000012</v>
      </c>
      <c r="F313" s="30">
        <v>42970</v>
      </c>
    </row>
    <row r="314" spans="1:6" x14ac:dyDescent="0.3">
      <c r="A314" s="32" t="s">
        <v>950</v>
      </c>
      <c r="B314">
        <v>-19.40096453</v>
      </c>
      <c r="C314">
        <v>-11.076019110000001</v>
      </c>
      <c r="E314" s="29">
        <f t="shared" si="4"/>
        <v>-8.3249454199999988</v>
      </c>
      <c r="F314" s="30">
        <v>42971</v>
      </c>
    </row>
    <row r="315" spans="1:6" x14ac:dyDescent="0.3">
      <c r="A315" s="32" t="s">
        <v>951</v>
      </c>
      <c r="B315">
        <v>-19.861117549999999</v>
      </c>
      <c r="C315">
        <v>-9.9331346499999995</v>
      </c>
      <c r="E315" s="29">
        <f t="shared" si="4"/>
        <v>-9.9279828999999999</v>
      </c>
      <c r="F315" s="30">
        <v>42972</v>
      </c>
    </row>
    <row r="316" spans="1:6" x14ac:dyDescent="0.3">
      <c r="A316" s="32" t="s">
        <v>952</v>
      </c>
      <c r="B316">
        <v>-19.018395089999999</v>
      </c>
      <c r="C316">
        <v>-9.5102422299999994</v>
      </c>
      <c r="E316" s="29">
        <f t="shared" si="4"/>
        <v>-9.5081528599999992</v>
      </c>
      <c r="F316" s="30">
        <v>42973</v>
      </c>
    </row>
    <row r="317" spans="1:6" x14ac:dyDescent="0.3">
      <c r="A317" s="32" t="s">
        <v>953</v>
      </c>
      <c r="B317">
        <v>-19.11797962</v>
      </c>
      <c r="C317">
        <v>-7.8607243499999999</v>
      </c>
      <c r="E317" s="29">
        <f t="shared" si="4"/>
        <v>-11.25725527</v>
      </c>
      <c r="F317" s="30">
        <v>42974</v>
      </c>
    </row>
    <row r="318" spans="1:6" x14ac:dyDescent="0.3">
      <c r="A318" s="32" t="s">
        <v>954</v>
      </c>
      <c r="B318">
        <v>-19.183070189999999</v>
      </c>
      <c r="C318">
        <v>-6.4848331100000003</v>
      </c>
      <c r="E318" s="29">
        <f t="shared" si="4"/>
        <v>-12.698237079999998</v>
      </c>
      <c r="F318" s="30">
        <v>42975</v>
      </c>
    </row>
    <row r="319" spans="1:6" x14ac:dyDescent="0.3">
      <c r="A319" s="32" t="s">
        <v>955</v>
      </c>
      <c r="B319">
        <v>-19.571210629999999</v>
      </c>
      <c r="C319">
        <v>-5.1584414599999997</v>
      </c>
      <c r="E319" s="29">
        <f t="shared" si="4"/>
        <v>-14.412769170000001</v>
      </c>
      <c r="F319" s="30">
        <v>42976</v>
      </c>
    </row>
    <row r="320" spans="1:6" x14ac:dyDescent="0.3">
      <c r="A320" s="32" t="s">
        <v>956</v>
      </c>
      <c r="B320">
        <v>-20.61027983</v>
      </c>
      <c r="C320">
        <v>-4.7506159600000002</v>
      </c>
      <c r="E320" s="29">
        <f t="shared" si="4"/>
        <v>-15.859663869999999</v>
      </c>
      <c r="F320" s="30">
        <v>42977</v>
      </c>
    </row>
    <row r="321" spans="1:6" x14ac:dyDescent="0.3">
      <c r="A321" s="32" t="s">
        <v>957</v>
      </c>
      <c r="B321">
        <v>-22.603587189999999</v>
      </c>
      <c r="C321">
        <v>-5.4787449600000002</v>
      </c>
      <c r="E321" s="29">
        <f t="shared" si="4"/>
        <v>-17.124842229999999</v>
      </c>
      <c r="F321" s="30">
        <v>42978</v>
      </c>
    </row>
    <row r="322" spans="1:6" x14ac:dyDescent="0.3">
      <c r="A322" s="32" t="s">
        <v>958</v>
      </c>
      <c r="B322">
        <v>-21.813159649999999</v>
      </c>
      <c r="C322">
        <v>-5.4679041399999999</v>
      </c>
      <c r="E322" s="29">
        <f t="shared" si="4"/>
        <v>-16.345255510000001</v>
      </c>
      <c r="F322" s="30">
        <v>42979</v>
      </c>
    </row>
    <row r="323" spans="1:6" x14ac:dyDescent="0.3">
      <c r="A323" s="32" t="s">
        <v>959</v>
      </c>
      <c r="B323">
        <v>-23.905754609999999</v>
      </c>
      <c r="C323">
        <v>-5.5453697799999997</v>
      </c>
      <c r="E323" s="29">
        <f t="shared" ref="E323:E325" si="5">B323-C323</f>
        <v>-18.360384830000001</v>
      </c>
      <c r="F323" s="30">
        <v>42980</v>
      </c>
    </row>
    <row r="324" spans="1:6" x14ac:dyDescent="0.3">
      <c r="A324" s="32" t="s">
        <v>960</v>
      </c>
      <c r="B324">
        <v>-23.049906289999999</v>
      </c>
      <c r="C324">
        <v>-5.6106688699999996</v>
      </c>
      <c r="E324" s="29">
        <f t="shared" si="5"/>
        <v>-17.439237419999998</v>
      </c>
      <c r="F324" s="30">
        <v>42981</v>
      </c>
    </row>
    <row r="325" spans="1:6" x14ac:dyDescent="0.3">
      <c r="A325" s="32" t="s">
        <v>961</v>
      </c>
      <c r="B325">
        <v>-22.075034939999998</v>
      </c>
      <c r="C325">
        <v>-6.5277112400000004</v>
      </c>
      <c r="E325" s="29">
        <f t="shared" si="5"/>
        <v>-15.547323699999998</v>
      </c>
      <c r="F325" s="30">
        <v>42982</v>
      </c>
    </row>
    <row r="326" spans="1:6" x14ac:dyDescent="0.3">
      <c r="A326" s="29" t="s">
        <v>744</v>
      </c>
      <c r="F326" s="30"/>
    </row>
    <row r="327" spans="1:6" x14ac:dyDescent="0.3">
      <c r="A327" s="29" t="s">
        <v>745</v>
      </c>
      <c r="F327" s="30"/>
    </row>
    <row r="328" spans="1:6" x14ac:dyDescent="0.3">
      <c r="A328" s="29" t="s">
        <v>746</v>
      </c>
      <c r="F328" s="30"/>
    </row>
    <row r="329" spans="1:6" x14ac:dyDescent="0.3">
      <c r="A329" s="29" t="s">
        <v>747</v>
      </c>
      <c r="F329" s="30"/>
    </row>
    <row r="330" spans="1:6" x14ac:dyDescent="0.3">
      <c r="A330" s="29" t="s">
        <v>748</v>
      </c>
      <c r="F330" s="30"/>
    </row>
    <row r="331" spans="1:6" x14ac:dyDescent="0.3">
      <c r="A331" s="29" t="s">
        <v>749</v>
      </c>
      <c r="F331" s="30"/>
    </row>
    <row r="332" spans="1:6" x14ac:dyDescent="0.3">
      <c r="A332" s="29" t="s">
        <v>750</v>
      </c>
      <c r="F332" s="30"/>
    </row>
    <row r="333" spans="1:6" x14ac:dyDescent="0.3">
      <c r="A333" s="29" t="s">
        <v>751</v>
      </c>
      <c r="F333" s="30"/>
    </row>
    <row r="334" spans="1:6" x14ac:dyDescent="0.3">
      <c r="A334" s="29" t="s">
        <v>752</v>
      </c>
      <c r="F334" s="30"/>
    </row>
    <row r="335" spans="1:6" x14ac:dyDescent="0.3">
      <c r="A335" s="29" t="s">
        <v>753</v>
      </c>
      <c r="F335" s="30"/>
    </row>
    <row r="336" spans="1:6" x14ac:dyDescent="0.3">
      <c r="A336" s="29" t="s">
        <v>754</v>
      </c>
      <c r="F336" s="30"/>
    </row>
    <row r="337" spans="1:6" x14ac:dyDescent="0.3">
      <c r="A337" s="29" t="s">
        <v>755</v>
      </c>
      <c r="F337" s="30"/>
    </row>
    <row r="338" spans="1:6" x14ac:dyDescent="0.3">
      <c r="A338" s="29" t="s">
        <v>756</v>
      </c>
      <c r="F338" s="30"/>
    </row>
    <row r="339" spans="1:6" x14ac:dyDescent="0.3">
      <c r="A339" s="29" t="s">
        <v>757</v>
      </c>
      <c r="F339" s="30"/>
    </row>
    <row r="340" spans="1:6" x14ac:dyDescent="0.3">
      <c r="A340" s="29" t="s">
        <v>758</v>
      </c>
      <c r="F340" s="30"/>
    </row>
    <row r="341" spans="1:6" x14ac:dyDescent="0.3">
      <c r="A341" s="29" t="s">
        <v>759</v>
      </c>
      <c r="F341" s="30"/>
    </row>
    <row r="342" spans="1:6" x14ac:dyDescent="0.3">
      <c r="A342" s="29" t="s">
        <v>760</v>
      </c>
      <c r="F342" s="30"/>
    </row>
    <row r="343" spans="1:6" x14ac:dyDescent="0.3">
      <c r="A343" s="29" t="s">
        <v>761</v>
      </c>
      <c r="F343" s="30"/>
    </row>
    <row r="344" spans="1:6" x14ac:dyDescent="0.3">
      <c r="A344" s="29" t="s">
        <v>762</v>
      </c>
      <c r="F344" s="30"/>
    </row>
    <row r="345" spans="1:6" x14ac:dyDescent="0.3">
      <c r="A345" s="29" t="s">
        <v>763</v>
      </c>
      <c r="F345" s="30"/>
    </row>
    <row r="346" spans="1:6" x14ac:dyDescent="0.3">
      <c r="A346" s="29" t="s">
        <v>764</v>
      </c>
      <c r="F346" s="30"/>
    </row>
    <row r="347" spans="1:6" x14ac:dyDescent="0.3">
      <c r="A347" s="29" t="s">
        <v>765</v>
      </c>
      <c r="F347" s="30"/>
    </row>
    <row r="348" spans="1:6" x14ac:dyDescent="0.3">
      <c r="A348" s="29" t="s">
        <v>766</v>
      </c>
      <c r="F348" s="30"/>
    </row>
    <row r="349" spans="1:6" x14ac:dyDescent="0.3">
      <c r="A349" s="29" t="s">
        <v>767</v>
      </c>
      <c r="F349" s="30"/>
    </row>
    <row r="350" spans="1:6" x14ac:dyDescent="0.3">
      <c r="A350" s="29" t="s">
        <v>768</v>
      </c>
      <c r="F350" s="30"/>
    </row>
    <row r="351" spans="1:6" x14ac:dyDescent="0.3">
      <c r="A351" s="29" t="s">
        <v>769</v>
      </c>
      <c r="F351" s="30"/>
    </row>
    <row r="352" spans="1:6" x14ac:dyDescent="0.3">
      <c r="A352" s="29" t="s">
        <v>770</v>
      </c>
      <c r="F352" s="30"/>
    </row>
    <row r="353" spans="1:6" x14ac:dyDescent="0.3">
      <c r="A353" s="29" t="s">
        <v>771</v>
      </c>
      <c r="F353" s="30"/>
    </row>
    <row r="354" spans="1:6" x14ac:dyDescent="0.3">
      <c r="A354" s="29" t="s">
        <v>772</v>
      </c>
      <c r="F354" s="30"/>
    </row>
    <row r="355" spans="1:6" x14ac:dyDescent="0.3">
      <c r="A355" s="29" t="s">
        <v>773</v>
      </c>
      <c r="F355" s="30"/>
    </row>
    <row r="356" spans="1:6" x14ac:dyDescent="0.3">
      <c r="A356" s="29" t="s">
        <v>774</v>
      </c>
      <c r="F356" s="30"/>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2F8170-D9C4-4623-BEC2-3C6B745C3416}">
  <sheetPr codeName="Sheet9"/>
  <dimension ref="A1:F356"/>
  <sheetViews>
    <sheetView topLeftCell="E316" workbookViewId="0">
      <selection activeCell="F317" sqref="F317"/>
    </sheetView>
  </sheetViews>
  <sheetFormatPr defaultRowHeight="14.4" x14ac:dyDescent="0.3"/>
  <cols>
    <col min="1" max="1" width="37.21875" style="29" bestFit="1" customWidth="1"/>
    <col min="4" max="5" width="8.88671875" style="29"/>
    <col min="6" max="6" width="9.88671875" style="29" bestFit="1" customWidth="1"/>
    <col min="7" max="16384" width="8.88671875" style="29"/>
  </cols>
  <sheetData>
    <row r="1" spans="1:6" x14ac:dyDescent="0.3">
      <c r="A1" s="32"/>
      <c r="E1" s="29" t="s">
        <v>776</v>
      </c>
      <c r="F1" s="29" t="s">
        <v>775</v>
      </c>
    </row>
    <row r="2" spans="1:6" x14ac:dyDescent="0.3">
      <c r="A2" s="32" t="s">
        <v>962</v>
      </c>
      <c r="B2">
        <v>7.3662222899999996</v>
      </c>
      <c r="C2">
        <v>-3.1158333479999998</v>
      </c>
      <c r="E2" s="29">
        <f>B2-C2</f>
        <v>10.482055637999999</v>
      </c>
      <c r="F2" s="30">
        <v>42659</v>
      </c>
    </row>
    <row r="3" spans="1:6" x14ac:dyDescent="0.3">
      <c r="A3" s="32" t="s">
        <v>963</v>
      </c>
      <c r="B3">
        <v>6.5830275900000004</v>
      </c>
      <c r="C3">
        <v>-3.0568711839999998</v>
      </c>
      <c r="E3" s="29">
        <f t="shared" ref="E3:E66" si="0">B3-C3</f>
        <v>9.6398987740000006</v>
      </c>
      <c r="F3" s="30">
        <v>42660</v>
      </c>
    </row>
    <row r="4" spans="1:6" x14ac:dyDescent="0.3">
      <c r="A4" s="32" t="s">
        <v>964</v>
      </c>
      <c r="B4">
        <v>7.5458617600000002</v>
      </c>
      <c r="C4">
        <v>-4.4923829739999999</v>
      </c>
      <c r="E4" s="29">
        <f t="shared" si="0"/>
        <v>12.038244733999999</v>
      </c>
      <c r="F4" s="30">
        <v>42661</v>
      </c>
    </row>
    <row r="5" spans="1:6" x14ac:dyDescent="0.3">
      <c r="A5" s="32" t="s">
        <v>965</v>
      </c>
      <c r="B5">
        <v>7.1406043500000003</v>
      </c>
      <c r="C5">
        <v>-4.5638284010000003</v>
      </c>
      <c r="E5" s="29">
        <f t="shared" si="0"/>
        <v>11.704432751000001</v>
      </c>
      <c r="F5" s="30">
        <v>42662</v>
      </c>
    </row>
    <row r="6" spans="1:6" x14ac:dyDescent="0.3">
      <c r="A6" s="32" t="s">
        <v>966</v>
      </c>
      <c r="B6">
        <v>8.1949563100000002</v>
      </c>
      <c r="C6">
        <v>-4.1789720629999998</v>
      </c>
      <c r="E6" s="29">
        <f t="shared" si="0"/>
        <v>12.373928373</v>
      </c>
      <c r="F6" s="30">
        <v>42663</v>
      </c>
    </row>
    <row r="7" spans="1:6" x14ac:dyDescent="0.3">
      <c r="A7" s="32" t="s">
        <v>967</v>
      </c>
      <c r="B7">
        <v>8.42716083</v>
      </c>
      <c r="C7">
        <v>-5.1505586790000004</v>
      </c>
      <c r="E7" s="29">
        <f t="shared" si="0"/>
        <v>13.577719509000001</v>
      </c>
      <c r="F7" s="30">
        <v>42664</v>
      </c>
    </row>
    <row r="8" spans="1:6" x14ac:dyDescent="0.3">
      <c r="A8" s="32" t="s">
        <v>968</v>
      </c>
      <c r="B8">
        <v>8.9717078499999996</v>
      </c>
      <c r="C8">
        <v>-6.6570428420000001</v>
      </c>
      <c r="E8" s="29">
        <f t="shared" si="0"/>
        <v>15.628750692000001</v>
      </c>
      <c r="F8" s="30">
        <v>42665</v>
      </c>
    </row>
    <row r="9" spans="1:6" x14ac:dyDescent="0.3">
      <c r="A9" s="32" t="s">
        <v>969</v>
      </c>
      <c r="B9">
        <v>8.7783628900000004</v>
      </c>
      <c r="C9">
        <v>-5.6124609059999999</v>
      </c>
      <c r="E9" s="29">
        <f t="shared" si="0"/>
        <v>14.390823795999999</v>
      </c>
      <c r="F9" s="30">
        <v>42666</v>
      </c>
    </row>
    <row r="10" spans="1:6" x14ac:dyDescent="0.3">
      <c r="A10" s="32" t="s">
        <v>970</v>
      </c>
      <c r="B10">
        <v>9.52374221</v>
      </c>
      <c r="C10">
        <v>-6.3873617989999998</v>
      </c>
      <c r="E10" s="29">
        <f t="shared" si="0"/>
        <v>15.911104008999999</v>
      </c>
      <c r="F10" s="30">
        <v>42667</v>
      </c>
    </row>
    <row r="11" spans="1:6" x14ac:dyDescent="0.3">
      <c r="A11" s="32" t="s">
        <v>971</v>
      </c>
      <c r="B11">
        <v>9.8284733800000001</v>
      </c>
      <c r="C11">
        <v>-5.437696055</v>
      </c>
      <c r="E11" s="29">
        <f t="shared" si="0"/>
        <v>15.266169435</v>
      </c>
      <c r="F11" s="30">
        <v>42668</v>
      </c>
    </row>
    <row r="12" spans="1:6" x14ac:dyDescent="0.3">
      <c r="A12" s="32" t="s">
        <v>972</v>
      </c>
      <c r="B12">
        <v>9.7767591199999995</v>
      </c>
      <c r="C12">
        <v>-6.430326279</v>
      </c>
      <c r="E12" s="29">
        <f t="shared" si="0"/>
        <v>16.207085399</v>
      </c>
      <c r="F12" s="30">
        <v>42669</v>
      </c>
    </row>
    <row r="13" spans="1:6" x14ac:dyDescent="0.3">
      <c r="A13" s="32" t="s">
        <v>973</v>
      </c>
      <c r="B13">
        <v>10.571412130000001</v>
      </c>
      <c r="C13">
        <v>-5.4341895520000003</v>
      </c>
      <c r="E13" s="29">
        <f t="shared" si="0"/>
        <v>16.005601682000002</v>
      </c>
      <c r="F13" s="30">
        <v>42670</v>
      </c>
    </row>
    <row r="14" spans="1:6" x14ac:dyDescent="0.3">
      <c r="A14" s="32" t="s">
        <v>974</v>
      </c>
      <c r="B14">
        <v>10.63062077</v>
      </c>
      <c r="C14">
        <v>-4.91920877</v>
      </c>
      <c r="E14" s="29">
        <f t="shared" si="0"/>
        <v>15.549829540000001</v>
      </c>
      <c r="F14" s="30">
        <v>42671</v>
      </c>
    </row>
    <row r="15" spans="1:6" x14ac:dyDescent="0.3">
      <c r="A15" s="32" t="s">
        <v>975</v>
      </c>
      <c r="B15">
        <v>11.45528715</v>
      </c>
      <c r="C15">
        <v>-4.1086843220000002</v>
      </c>
      <c r="E15" s="29">
        <f t="shared" si="0"/>
        <v>15.563971472</v>
      </c>
      <c r="F15" s="30">
        <v>42672</v>
      </c>
    </row>
    <row r="16" spans="1:6" x14ac:dyDescent="0.3">
      <c r="A16" s="32" t="s">
        <v>976</v>
      </c>
      <c r="B16">
        <v>10.0733803</v>
      </c>
      <c r="C16">
        <v>-6.6274264489999997</v>
      </c>
      <c r="E16" s="29">
        <f t="shared" si="0"/>
        <v>16.700806749000002</v>
      </c>
      <c r="F16" s="30">
        <v>42673</v>
      </c>
    </row>
    <row r="17" spans="1:6" x14ac:dyDescent="0.3">
      <c r="A17" s="32" t="s">
        <v>977</v>
      </c>
      <c r="B17">
        <v>8.9337383700000004</v>
      </c>
      <c r="C17">
        <v>-5.9168394290000004</v>
      </c>
      <c r="E17" s="29">
        <f t="shared" si="0"/>
        <v>14.850577799</v>
      </c>
      <c r="F17" s="30">
        <v>42674</v>
      </c>
    </row>
    <row r="18" spans="1:6" x14ac:dyDescent="0.3">
      <c r="A18" s="32" t="s">
        <v>978</v>
      </c>
      <c r="B18">
        <v>8.6960891799999995</v>
      </c>
      <c r="C18">
        <v>-5.6023554290000002</v>
      </c>
      <c r="E18" s="29">
        <f t="shared" si="0"/>
        <v>14.298444609000001</v>
      </c>
      <c r="F18" s="30">
        <v>42675</v>
      </c>
    </row>
    <row r="19" spans="1:6" x14ac:dyDescent="0.3">
      <c r="A19" s="32" t="s">
        <v>979</v>
      </c>
      <c r="B19">
        <v>6.6618976200000004</v>
      </c>
      <c r="C19">
        <v>-5.785898027</v>
      </c>
      <c r="E19" s="29">
        <f t="shared" si="0"/>
        <v>12.447795647</v>
      </c>
      <c r="F19" s="30">
        <v>42676</v>
      </c>
    </row>
    <row r="20" spans="1:6" x14ac:dyDescent="0.3">
      <c r="A20" s="32" t="s">
        <v>980</v>
      </c>
      <c r="B20">
        <v>8.5656718299999994</v>
      </c>
      <c r="C20">
        <v>-6.0908870679999998</v>
      </c>
      <c r="E20" s="29">
        <f t="shared" si="0"/>
        <v>14.656558898</v>
      </c>
      <c r="F20" s="30">
        <v>42677</v>
      </c>
    </row>
    <row r="21" spans="1:6" x14ac:dyDescent="0.3">
      <c r="A21" s="32" t="s">
        <v>981</v>
      </c>
      <c r="B21">
        <v>9.5630691500000005</v>
      </c>
      <c r="C21">
        <v>-6.4909737490000001</v>
      </c>
      <c r="E21" s="29">
        <f t="shared" si="0"/>
        <v>16.054042899000002</v>
      </c>
      <c r="F21" s="30">
        <v>42678</v>
      </c>
    </row>
    <row r="22" spans="1:6" x14ac:dyDescent="0.3">
      <c r="A22" s="32" t="s">
        <v>982</v>
      </c>
      <c r="B22">
        <v>9.5008571100000001</v>
      </c>
      <c r="C22">
        <v>-7.3377090989999996</v>
      </c>
      <c r="E22" s="29">
        <f t="shared" si="0"/>
        <v>16.838566209</v>
      </c>
      <c r="F22" s="30">
        <v>42679</v>
      </c>
    </row>
    <row r="23" spans="1:6" x14ac:dyDescent="0.3">
      <c r="A23" s="32" t="s">
        <v>983</v>
      </c>
      <c r="B23">
        <v>10.72993776</v>
      </c>
      <c r="C23">
        <v>-7.2127286130000003</v>
      </c>
      <c r="E23" s="29">
        <f t="shared" si="0"/>
        <v>17.942666373000002</v>
      </c>
      <c r="F23" s="30">
        <v>42680</v>
      </c>
    </row>
    <row r="24" spans="1:6" x14ac:dyDescent="0.3">
      <c r="A24" s="32" t="s">
        <v>984</v>
      </c>
      <c r="B24">
        <v>10.705951799999999</v>
      </c>
      <c r="C24">
        <v>-7.6092952919999997</v>
      </c>
      <c r="E24" s="29">
        <f t="shared" si="0"/>
        <v>18.315247092</v>
      </c>
      <c r="F24" s="30">
        <v>42681</v>
      </c>
    </row>
    <row r="25" spans="1:6" x14ac:dyDescent="0.3">
      <c r="A25" s="32" t="s">
        <v>985</v>
      </c>
      <c r="B25">
        <v>9.5662034800000004</v>
      </c>
      <c r="C25">
        <v>-7.9530928879999996</v>
      </c>
      <c r="E25" s="29">
        <f t="shared" si="0"/>
        <v>17.519296367999999</v>
      </c>
      <c r="F25" s="30">
        <v>42682</v>
      </c>
    </row>
    <row r="26" spans="1:6" x14ac:dyDescent="0.3">
      <c r="A26" s="32" t="s">
        <v>986</v>
      </c>
      <c r="B26">
        <v>10.431333710000001</v>
      </c>
      <c r="C26">
        <v>-8.1199540710000004</v>
      </c>
      <c r="E26" s="29">
        <f t="shared" si="0"/>
        <v>18.551287780999999</v>
      </c>
      <c r="F26" s="30">
        <v>42683</v>
      </c>
    </row>
    <row r="27" spans="1:6" x14ac:dyDescent="0.3">
      <c r="A27" s="32" t="s">
        <v>987</v>
      </c>
      <c r="B27">
        <v>10.657540279999999</v>
      </c>
      <c r="C27">
        <v>-8.5519022889999992</v>
      </c>
      <c r="E27" s="29">
        <f t="shared" si="0"/>
        <v>19.209442568999997</v>
      </c>
      <c r="F27" s="30">
        <v>42684</v>
      </c>
    </row>
    <row r="28" spans="1:6" x14ac:dyDescent="0.3">
      <c r="A28" s="32" t="s">
        <v>988</v>
      </c>
      <c r="B28">
        <v>12.19270818</v>
      </c>
      <c r="C28">
        <v>-7.6386744249999996</v>
      </c>
      <c r="E28" s="29">
        <f t="shared" si="0"/>
        <v>19.831382605000002</v>
      </c>
      <c r="F28" s="30">
        <v>42685</v>
      </c>
    </row>
    <row r="29" spans="1:6" x14ac:dyDescent="0.3">
      <c r="A29" s="32" t="s">
        <v>989</v>
      </c>
      <c r="B29">
        <v>11.40895596</v>
      </c>
      <c r="C29">
        <v>-7.4465207940000004</v>
      </c>
      <c r="E29" s="29">
        <f t="shared" si="0"/>
        <v>18.855476754000001</v>
      </c>
      <c r="F29" s="30">
        <v>42686</v>
      </c>
    </row>
    <row r="30" spans="1:6" x14ac:dyDescent="0.3">
      <c r="A30" s="32" t="s">
        <v>990</v>
      </c>
      <c r="B30">
        <v>11.114137100000001</v>
      </c>
      <c r="C30">
        <v>-9.8258061879999996</v>
      </c>
      <c r="E30" s="29">
        <f t="shared" si="0"/>
        <v>20.939943288000002</v>
      </c>
      <c r="F30" s="30">
        <v>42687</v>
      </c>
    </row>
    <row r="31" spans="1:6" x14ac:dyDescent="0.3">
      <c r="A31" s="32" t="s">
        <v>991</v>
      </c>
      <c r="B31">
        <v>11.74939006</v>
      </c>
      <c r="C31">
        <v>-8.9569239070000002</v>
      </c>
      <c r="E31" s="29">
        <f t="shared" si="0"/>
        <v>20.706313967</v>
      </c>
      <c r="F31" s="30">
        <v>42688</v>
      </c>
    </row>
    <row r="32" spans="1:6" x14ac:dyDescent="0.3">
      <c r="A32" s="32" t="s">
        <v>992</v>
      </c>
      <c r="B32">
        <v>12.155698660000001</v>
      </c>
      <c r="C32">
        <v>-8.14493899</v>
      </c>
      <c r="E32" s="29">
        <f t="shared" si="0"/>
        <v>20.300637649999999</v>
      </c>
      <c r="F32" s="30">
        <v>42689</v>
      </c>
    </row>
    <row r="33" spans="1:6" x14ac:dyDescent="0.3">
      <c r="A33" s="32" t="s">
        <v>993</v>
      </c>
      <c r="B33">
        <v>12.832294149999999</v>
      </c>
      <c r="C33">
        <v>-9.8267859570000002</v>
      </c>
      <c r="E33" s="29">
        <f t="shared" si="0"/>
        <v>22.659080107000001</v>
      </c>
      <c r="F33" s="30">
        <v>42690</v>
      </c>
    </row>
    <row r="34" spans="1:6" x14ac:dyDescent="0.3">
      <c r="A34" s="32" t="s">
        <v>994</v>
      </c>
      <c r="B34">
        <v>12.977984790000001</v>
      </c>
      <c r="C34">
        <v>-7.4229323100000002</v>
      </c>
      <c r="E34" s="29">
        <f t="shared" si="0"/>
        <v>20.400917100000001</v>
      </c>
      <c r="F34" s="30">
        <v>42691</v>
      </c>
    </row>
    <row r="35" spans="1:6" x14ac:dyDescent="0.3">
      <c r="A35" s="32" t="s">
        <v>995</v>
      </c>
      <c r="B35">
        <v>13.610456770000001</v>
      </c>
      <c r="C35">
        <v>-6.3029625979999997</v>
      </c>
      <c r="E35" s="29">
        <f t="shared" si="0"/>
        <v>19.913419368</v>
      </c>
      <c r="F35" s="30">
        <v>42692</v>
      </c>
    </row>
    <row r="36" spans="1:6" x14ac:dyDescent="0.3">
      <c r="A36" s="32" t="s">
        <v>996</v>
      </c>
      <c r="B36">
        <v>11.56060752</v>
      </c>
      <c r="C36">
        <v>-8.4368520599999997</v>
      </c>
      <c r="E36" s="29">
        <f t="shared" si="0"/>
        <v>19.997459579999997</v>
      </c>
      <c r="F36" s="30">
        <v>42693</v>
      </c>
    </row>
    <row r="37" spans="1:6" x14ac:dyDescent="0.3">
      <c r="A37" s="32" t="s">
        <v>997</v>
      </c>
      <c r="B37">
        <v>11.15136446</v>
      </c>
      <c r="C37">
        <v>-8.1173813070000005</v>
      </c>
      <c r="E37" s="29">
        <f t="shared" si="0"/>
        <v>19.268745766999999</v>
      </c>
      <c r="F37" s="30">
        <v>42694</v>
      </c>
    </row>
    <row r="38" spans="1:6" x14ac:dyDescent="0.3">
      <c r="A38" s="32" t="s">
        <v>998</v>
      </c>
      <c r="B38">
        <v>12.15202891</v>
      </c>
      <c r="C38">
        <v>-8.0859733830000007</v>
      </c>
      <c r="E38" s="29">
        <f t="shared" si="0"/>
        <v>20.238002293000001</v>
      </c>
      <c r="F38" s="30">
        <v>42695</v>
      </c>
    </row>
    <row r="39" spans="1:6" x14ac:dyDescent="0.3">
      <c r="A39" s="32" t="s">
        <v>999</v>
      </c>
      <c r="B39">
        <v>11.9802029</v>
      </c>
      <c r="C39">
        <v>-8.4868237400000002</v>
      </c>
      <c r="E39" s="29">
        <f t="shared" si="0"/>
        <v>20.46702664</v>
      </c>
      <c r="F39" s="30">
        <v>42696</v>
      </c>
    </row>
    <row r="40" spans="1:6" x14ac:dyDescent="0.3">
      <c r="A40" s="32" t="s">
        <v>1000</v>
      </c>
      <c r="B40">
        <v>11.798515930000001</v>
      </c>
      <c r="C40">
        <v>-6.0222604750000004</v>
      </c>
      <c r="E40" s="29">
        <f t="shared" si="0"/>
        <v>17.820776405</v>
      </c>
      <c r="F40" s="30">
        <v>42697</v>
      </c>
    </row>
    <row r="41" spans="1:6" x14ac:dyDescent="0.3">
      <c r="A41" s="32" t="s">
        <v>1001</v>
      </c>
      <c r="B41">
        <v>10.27204027</v>
      </c>
      <c r="C41">
        <v>-4.8477120439999997</v>
      </c>
      <c r="E41" s="29">
        <f t="shared" si="0"/>
        <v>15.119752313999999</v>
      </c>
      <c r="F41" s="30">
        <v>42698</v>
      </c>
    </row>
    <row r="42" spans="1:6" x14ac:dyDescent="0.3">
      <c r="A42" s="32" t="s">
        <v>1002</v>
      </c>
      <c r="B42">
        <v>9.6179510500000003</v>
      </c>
      <c r="C42">
        <v>-4.8098721519999996</v>
      </c>
      <c r="E42" s="29">
        <f t="shared" si="0"/>
        <v>14.427823201999999</v>
      </c>
      <c r="F42" s="30">
        <v>42699</v>
      </c>
    </row>
    <row r="43" spans="1:6" x14ac:dyDescent="0.3">
      <c r="A43" s="32" t="s">
        <v>1003</v>
      </c>
      <c r="B43">
        <v>9.6093405700000005</v>
      </c>
      <c r="C43">
        <v>-3.9665628000000002</v>
      </c>
      <c r="E43" s="29">
        <f t="shared" si="0"/>
        <v>13.575903370000001</v>
      </c>
      <c r="F43" s="30">
        <v>42700</v>
      </c>
    </row>
    <row r="44" spans="1:6" x14ac:dyDescent="0.3">
      <c r="A44" s="32" t="s">
        <v>1004</v>
      </c>
      <c r="B44">
        <v>8.4956137999999992</v>
      </c>
      <c r="C44">
        <v>-3.7175736800000001</v>
      </c>
      <c r="E44" s="29">
        <f t="shared" si="0"/>
        <v>12.213187479999998</v>
      </c>
      <c r="F44" s="30">
        <v>42701</v>
      </c>
    </row>
    <row r="45" spans="1:6" x14ac:dyDescent="0.3">
      <c r="A45" s="32" t="s">
        <v>1005</v>
      </c>
      <c r="B45">
        <v>8.6902517499999998</v>
      </c>
      <c r="C45">
        <v>-2.7224824390000002</v>
      </c>
      <c r="E45" s="29">
        <f t="shared" si="0"/>
        <v>11.412734189</v>
      </c>
      <c r="F45" s="30">
        <v>42702</v>
      </c>
    </row>
    <row r="46" spans="1:6" x14ac:dyDescent="0.3">
      <c r="A46" s="32" t="s">
        <v>1006</v>
      </c>
      <c r="B46">
        <v>8.0011864300000006</v>
      </c>
      <c r="C46">
        <v>-2.0274092160000001</v>
      </c>
      <c r="E46" s="29">
        <f t="shared" si="0"/>
        <v>10.028595646000001</v>
      </c>
      <c r="F46" s="30">
        <v>42703</v>
      </c>
    </row>
    <row r="47" spans="1:6" x14ac:dyDescent="0.3">
      <c r="A47" s="32" t="s">
        <v>1007</v>
      </c>
      <c r="B47">
        <v>6.38509949</v>
      </c>
      <c r="C47">
        <v>-0.28160700700000002</v>
      </c>
      <c r="E47" s="29">
        <f t="shared" si="0"/>
        <v>6.6667064969999998</v>
      </c>
      <c r="F47" s="30">
        <v>42704</v>
      </c>
    </row>
    <row r="48" spans="1:6" x14ac:dyDescent="0.3">
      <c r="A48" s="32" t="s">
        <v>1008</v>
      </c>
      <c r="B48">
        <v>6.8475172999999998</v>
      </c>
      <c r="C48">
        <v>-3.2591125999999998E-2</v>
      </c>
      <c r="E48" s="29">
        <f t="shared" si="0"/>
        <v>6.8801084259999996</v>
      </c>
      <c r="F48" s="30">
        <v>42705</v>
      </c>
    </row>
    <row r="49" spans="1:6" x14ac:dyDescent="0.3">
      <c r="A49" s="32" t="s">
        <v>1009</v>
      </c>
      <c r="B49">
        <v>5.8128017700000001</v>
      </c>
      <c r="C49">
        <v>8.1244720000000006E-2</v>
      </c>
      <c r="E49" s="29">
        <f t="shared" si="0"/>
        <v>5.7315570500000002</v>
      </c>
      <c r="F49" s="30">
        <v>42706</v>
      </c>
    </row>
    <row r="50" spans="1:6" x14ac:dyDescent="0.3">
      <c r="A50" s="32" t="s">
        <v>1010</v>
      </c>
      <c r="B50">
        <v>6.0350355799999997</v>
      </c>
      <c r="C50">
        <v>-1.571515317</v>
      </c>
      <c r="E50" s="29">
        <f t="shared" si="0"/>
        <v>7.606550897</v>
      </c>
      <c r="F50" s="30">
        <v>42707</v>
      </c>
    </row>
    <row r="51" spans="1:6" x14ac:dyDescent="0.3">
      <c r="A51" s="32" t="s">
        <v>1011</v>
      </c>
      <c r="B51">
        <v>6.3467613500000004</v>
      </c>
      <c r="C51">
        <v>-1.4585678500000001</v>
      </c>
      <c r="E51" s="29">
        <f t="shared" si="0"/>
        <v>7.805329200000001</v>
      </c>
      <c r="F51" s="30">
        <v>42708</v>
      </c>
    </row>
    <row r="52" spans="1:6" x14ac:dyDescent="0.3">
      <c r="A52" s="32" t="s">
        <v>1012</v>
      </c>
      <c r="B52">
        <v>5.76070847</v>
      </c>
      <c r="C52">
        <v>-3.0353206240000001</v>
      </c>
      <c r="E52" s="29">
        <f t="shared" si="0"/>
        <v>8.7960290939999997</v>
      </c>
      <c r="F52" s="30">
        <v>42709</v>
      </c>
    </row>
    <row r="53" spans="1:6" x14ac:dyDescent="0.3">
      <c r="A53" s="32" t="s">
        <v>1013</v>
      </c>
      <c r="B53">
        <v>4.0981188499999996</v>
      </c>
      <c r="C53">
        <v>-2.6716337129999999</v>
      </c>
      <c r="E53" s="29">
        <f t="shared" si="0"/>
        <v>6.7697525629999991</v>
      </c>
      <c r="F53" s="30">
        <v>42710</v>
      </c>
    </row>
    <row r="54" spans="1:6" x14ac:dyDescent="0.3">
      <c r="A54" s="32" t="s">
        <v>1014</v>
      </c>
      <c r="B54">
        <v>4.3951674399999998</v>
      </c>
      <c r="C54">
        <v>-2.690840202</v>
      </c>
      <c r="E54" s="29">
        <f t="shared" si="0"/>
        <v>7.0860076420000002</v>
      </c>
      <c r="F54" s="30">
        <v>42711</v>
      </c>
    </row>
    <row r="55" spans="1:6" x14ac:dyDescent="0.3">
      <c r="A55" s="32" t="s">
        <v>1015</v>
      </c>
      <c r="B55">
        <v>6.60003457</v>
      </c>
      <c r="C55">
        <v>-2.0030350239999999</v>
      </c>
      <c r="E55" s="29">
        <f t="shared" si="0"/>
        <v>8.6030695940000008</v>
      </c>
      <c r="F55" s="30">
        <v>42712</v>
      </c>
    </row>
    <row r="56" spans="1:6" x14ac:dyDescent="0.3">
      <c r="A56" s="32" t="s">
        <v>1016</v>
      </c>
      <c r="B56">
        <v>7.4352406999999996</v>
      </c>
      <c r="C56">
        <v>-2.5767342270000002</v>
      </c>
      <c r="E56" s="29">
        <f t="shared" si="0"/>
        <v>10.011974927000001</v>
      </c>
      <c r="F56" s="30">
        <v>42713</v>
      </c>
    </row>
    <row r="57" spans="1:6" x14ac:dyDescent="0.3">
      <c r="A57" s="32" t="s">
        <v>1017</v>
      </c>
      <c r="B57">
        <v>8.61250508</v>
      </c>
      <c r="C57">
        <v>-2.2291883989999999</v>
      </c>
      <c r="E57" s="29">
        <f t="shared" si="0"/>
        <v>10.841693479</v>
      </c>
      <c r="F57" s="30">
        <v>42714</v>
      </c>
    </row>
    <row r="58" spans="1:6" x14ac:dyDescent="0.3">
      <c r="A58" s="32" t="s">
        <v>1018</v>
      </c>
      <c r="B58">
        <v>10.39764484</v>
      </c>
      <c r="C58">
        <v>-3.8089287820000002</v>
      </c>
      <c r="E58" s="29">
        <f t="shared" si="0"/>
        <v>14.206573622000001</v>
      </c>
      <c r="F58" s="30">
        <v>42715</v>
      </c>
    </row>
    <row r="59" spans="1:6" x14ac:dyDescent="0.3">
      <c r="A59" s="32" t="s">
        <v>1019</v>
      </c>
      <c r="B59">
        <v>10.13816787</v>
      </c>
      <c r="C59">
        <v>-1.493294624</v>
      </c>
      <c r="E59" s="29">
        <f t="shared" si="0"/>
        <v>11.631462494000001</v>
      </c>
      <c r="F59" s="30">
        <v>42716</v>
      </c>
    </row>
    <row r="60" spans="1:6" x14ac:dyDescent="0.3">
      <c r="A60" s="32" t="s">
        <v>1020</v>
      </c>
      <c r="B60">
        <v>10.085211770000001</v>
      </c>
      <c r="C60">
        <v>1.9340479000000001E-2</v>
      </c>
      <c r="E60" s="29">
        <f t="shared" si="0"/>
        <v>10.065871291000001</v>
      </c>
      <c r="F60" s="30">
        <v>42717</v>
      </c>
    </row>
    <row r="61" spans="1:6" x14ac:dyDescent="0.3">
      <c r="A61" s="32" t="s">
        <v>1021</v>
      </c>
      <c r="B61">
        <v>10.700800640000001</v>
      </c>
      <c r="C61">
        <v>-0.47345258099999998</v>
      </c>
      <c r="E61" s="29">
        <f t="shared" si="0"/>
        <v>11.174253221000001</v>
      </c>
      <c r="F61" s="30">
        <v>42718</v>
      </c>
    </row>
    <row r="62" spans="1:6" x14ac:dyDescent="0.3">
      <c r="A62" s="32" t="s">
        <v>1022</v>
      </c>
      <c r="B62">
        <v>10.322080140000001</v>
      </c>
      <c r="C62">
        <v>0.19498838199999999</v>
      </c>
      <c r="E62" s="29">
        <f t="shared" si="0"/>
        <v>10.127091758000001</v>
      </c>
      <c r="F62" s="30">
        <v>42719</v>
      </c>
    </row>
    <row r="63" spans="1:6" x14ac:dyDescent="0.3">
      <c r="A63" s="32" t="s">
        <v>1023</v>
      </c>
      <c r="B63">
        <v>11.56050478</v>
      </c>
      <c r="C63">
        <v>-0.57117388199999997</v>
      </c>
      <c r="E63" s="29">
        <f t="shared" si="0"/>
        <v>12.131678662000001</v>
      </c>
      <c r="F63" s="30">
        <v>42720</v>
      </c>
    </row>
    <row r="64" spans="1:6" x14ac:dyDescent="0.3">
      <c r="A64" s="32" t="s">
        <v>1024</v>
      </c>
      <c r="B64">
        <v>8.7301605200000001</v>
      </c>
      <c r="C64">
        <v>0.19190207400000001</v>
      </c>
      <c r="E64" s="29">
        <f t="shared" si="0"/>
        <v>8.5382584460000004</v>
      </c>
      <c r="F64" s="30">
        <v>42721</v>
      </c>
    </row>
    <row r="65" spans="1:6" x14ac:dyDescent="0.3">
      <c r="A65" s="32" t="s">
        <v>1025</v>
      </c>
      <c r="B65">
        <v>8.9527690399999997</v>
      </c>
      <c r="C65">
        <v>0.81489013399999999</v>
      </c>
      <c r="E65" s="29">
        <f t="shared" si="0"/>
        <v>8.1378789059999992</v>
      </c>
      <c r="F65" s="30">
        <v>42722</v>
      </c>
    </row>
    <row r="66" spans="1:6" x14ac:dyDescent="0.3">
      <c r="A66" s="32" t="s">
        <v>1026</v>
      </c>
      <c r="B66">
        <v>10.40251119</v>
      </c>
      <c r="C66">
        <v>0.25063296299999999</v>
      </c>
      <c r="E66" s="29">
        <f t="shared" si="0"/>
        <v>10.151878227000001</v>
      </c>
      <c r="F66" s="30">
        <v>42723</v>
      </c>
    </row>
    <row r="67" spans="1:6" x14ac:dyDescent="0.3">
      <c r="A67" s="32" t="s">
        <v>1027</v>
      </c>
      <c r="B67">
        <v>10.138085159999999</v>
      </c>
      <c r="C67">
        <v>-0.243389827</v>
      </c>
      <c r="E67" s="29">
        <f t="shared" ref="E67:E130" si="1">B67-C67</f>
        <v>10.381474986999999</v>
      </c>
      <c r="F67" s="30">
        <v>42724</v>
      </c>
    </row>
    <row r="68" spans="1:6" x14ac:dyDescent="0.3">
      <c r="A68" s="32" t="s">
        <v>1028</v>
      </c>
      <c r="B68">
        <v>9.0991415900000003</v>
      </c>
      <c r="C68">
        <v>-0.60864694500000005</v>
      </c>
      <c r="E68" s="29">
        <f t="shared" si="1"/>
        <v>9.7077885350000006</v>
      </c>
      <c r="F68" s="30">
        <v>42725</v>
      </c>
    </row>
    <row r="69" spans="1:6" x14ac:dyDescent="0.3">
      <c r="A69" s="32" t="s">
        <v>1029</v>
      </c>
      <c r="B69">
        <v>9.7597609500000004</v>
      </c>
      <c r="C69">
        <v>-0.46971467500000003</v>
      </c>
      <c r="E69" s="29">
        <f t="shared" si="1"/>
        <v>10.229475625000001</v>
      </c>
      <c r="F69" s="30">
        <v>42726</v>
      </c>
    </row>
    <row r="70" spans="1:6" x14ac:dyDescent="0.3">
      <c r="A70" s="32" t="s">
        <v>1030</v>
      </c>
      <c r="B70">
        <v>10.479338690000001</v>
      </c>
      <c r="C70">
        <v>-4.1494510999999998E-2</v>
      </c>
      <c r="E70" s="29">
        <f t="shared" si="1"/>
        <v>10.520833201</v>
      </c>
      <c r="F70" s="30">
        <v>42727</v>
      </c>
    </row>
    <row r="71" spans="1:6" x14ac:dyDescent="0.3">
      <c r="A71" s="32" t="s">
        <v>1031</v>
      </c>
      <c r="B71">
        <v>12.1405473</v>
      </c>
      <c r="C71">
        <v>0.11082726</v>
      </c>
      <c r="E71" s="29">
        <f t="shared" si="1"/>
        <v>12.029720039999999</v>
      </c>
      <c r="F71" s="30">
        <v>42728</v>
      </c>
    </row>
    <row r="72" spans="1:6" x14ac:dyDescent="0.3">
      <c r="A72" s="32" t="s">
        <v>1032</v>
      </c>
      <c r="B72">
        <v>12.97115318</v>
      </c>
      <c r="C72">
        <v>0.41864425700000002</v>
      </c>
      <c r="E72" s="29">
        <f t="shared" si="1"/>
        <v>12.552508923</v>
      </c>
      <c r="F72" s="30">
        <v>42729</v>
      </c>
    </row>
    <row r="73" spans="1:6" x14ac:dyDescent="0.3">
      <c r="A73" s="32" t="s">
        <v>1033</v>
      </c>
      <c r="B73">
        <v>12.588743750000001</v>
      </c>
      <c r="C73">
        <v>1.3140527099999999</v>
      </c>
      <c r="E73" s="29">
        <f t="shared" si="1"/>
        <v>11.27469104</v>
      </c>
      <c r="F73" s="30">
        <v>42730</v>
      </c>
    </row>
    <row r="74" spans="1:6" x14ac:dyDescent="0.3">
      <c r="A74" s="32" t="s">
        <v>1034</v>
      </c>
      <c r="B74">
        <v>12.27682051</v>
      </c>
      <c r="C74">
        <v>1.0120052660000001</v>
      </c>
      <c r="E74" s="29">
        <f t="shared" si="1"/>
        <v>11.264815244000001</v>
      </c>
      <c r="F74" s="30">
        <v>42731</v>
      </c>
    </row>
    <row r="75" spans="1:6" x14ac:dyDescent="0.3">
      <c r="A75" s="32" t="s">
        <v>1035</v>
      </c>
      <c r="B75">
        <v>11.793917690000001</v>
      </c>
      <c r="C75">
        <v>0.96166313699999995</v>
      </c>
      <c r="E75" s="29">
        <f t="shared" si="1"/>
        <v>10.832254553</v>
      </c>
      <c r="F75" s="30">
        <v>42732</v>
      </c>
    </row>
    <row r="76" spans="1:6" x14ac:dyDescent="0.3">
      <c r="A76" s="32" t="s">
        <v>1036</v>
      </c>
      <c r="B76">
        <v>10.94084339</v>
      </c>
      <c r="C76">
        <v>0.574173673</v>
      </c>
      <c r="E76" s="29">
        <f t="shared" si="1"/>
        <v>10.366669716999999</v>
      </c>
      <c r="F76" s="30">
        <v>42733</v>
      </c>
    </row>
    <row r="77" spans="1:6" x14ac:dyDescent="0.3">
      <c r="A77" s="32" t="s">
        <v>1037</v>
      </c>
      <c r="B77">
        <v>10.80860296</v>
      </c>
      <c r="C77">
        <v>-0.66519039300000005</v>
      </c>
      <c r="E77" s="29">
        <f t="shared" si="1"/>
        <v>11.473793353</v>
      </c>
      <c r="F77" s="30">
        <v>42734</v>
      </c>
    </row>
    <row r="78" spans="1:6" x14ac:dyDescent="0.3">
      <c r="A78" s="32" t="s">
        <v>1038</v>
      </c>
      <c r="B78">
        <v>11.644865149999999</v>
      </c>
      <c r="C78">
        <v>0.54702218400000002</v>
      </c>
      <c r="E78" s="29">
        <f t="shared" si="1"/>
        <v>11.097842966</v>
      </c>
      <c r="F78" s="30">
        <v>42735</v>
      </c>
    </row>
    <row r="79" spans="1:6" x14ac:dyDescent="0.3">
      <c r="A79" s="32" t="s">
        <v>1039</v>
      </c>
      <c r="B79">
        <v>12.67839232</v>
      </c>
      <c r="C79">
        <v>1.2789608240000001</v>
      </c>
      <c r="E79" s="29">
        <f t="shared" si="1"/>
        <v>11.399431496</v>
      </c>
      <c r="F79" s="30">
        <v>42736</v>
      </c>
    </row>
    <row r="80" spans="1:6" x14ac:dyDescent="0.3">
      <c r="A80" s="32" t="s">
        <v>1040</v>
      </c>
      <c r="B80">
        <v>12.380970169999999</v>
      </c>
      <c r="C80">
        <v>0.38868838999999999</v>
      </c>
      <c r="E80" s="29">
        <f t="shared" si="1"/>
        <v>11.992281779999999</v>
      </c>
      <c r="F80" s="30">
        <v>42737</v>
      </c>
    </row>
    <row r="81" spans="1:6" x14ac:dyDescent="0.3">
      <c r="A81" s="32" t="s">
        <v>1041</v>
      </c>
      <c r="B81">
        <v>13.5927927</v>
      </c>
      <c r="C81">
        <v>-0.64308741800000002</v>
      </c>
      <c r="E81" s="29">
        <f t="shared" si="1"/>
        <v>14.235880118000001</v>
      </c>
      <c r="F81" s="30">
        <v>42738</v>
      </c>
    </row>
    <row r="82" spans="1:6" x14ac:dyDescent="0.3">
      <c r="A82" s="32" t="s">
        <v>1042</v>
      </c>
      <c r="B82">
        <v>13.28918451</v>
      </c>
      <c r="C82">
        <v>-0.43210227200000001</v>
      </c>
      <c r="E82" s="29">
        <f t="shared" si="1"/>
        <v>13.721286782</v>
      </c>
      <c r="F82" s="30">
        <v>42739</v>
      </c>
    </row>
    <row r="83" spans="1:6" x14ac:dyDescent="0.3">
      <c r="A83" s="32" t="s">
        <v>1043</v>
      </c>
      <c r="B83">
        <v>13.653279469999999</v>
      </c>
      <c r="C83">
        <v>-1.6856759990000001</v>
      </c>
      <c r="E83" s="29">
        <f t="shared" si="1"/>
        <v>15.338955469</v>
      </c>
      <c r="F83" s="30">
        <v>42740</v>
      </c>
    </row>
    <row r="84" spans="1:6" x14ac:dyDescent="0.3">
      <c r="A84" s="32" t="s">
        <v>1044</v>
      </c>
      <c r="B84">
        <v>12.872765040000001</v>
      </c>
      <c r="C84">
        <v>-0.94953604599999997</v>
      </c>
      <c r="E84" s="29">
        <f t="shared" si="1"/>
        <v>13.822301086000001</v>
      </c>
      <c r="F84" s="30">
        <v>42741</v>
      </c>
    </row>
    <row r="85" spans="1:6" x14ac:dyDescent="0.3">
      <c r="A85" s="32" t="s">
        <v>1045</v>
      </c>
      <c r="B85">
        <v>13.475974450000001</v>
      </c>
      <c r="C85">
        <v>-2.1687972260000001</v>
      </c>
      <c r="E85" s="29">
        <f t="shared" si="1"/>
        <v>15.644771676000001</v>
      </c>
      <c r="F85" s="30">
        <v>42742</v>
      </c>
    </row>
    <row r="86" spans="1:6" x14ac:dyDescent="0.3">
      <c r="A86" s="32" t="s">
        <v>1046</v>
      </c>
      <c r="B86">
        <v>13.126570770000001</v>
      </c>
      <c r="C86">
        <v>-1.558605754</v>
      </c>
      <c r="E86" s="29">
        <f t="shared" si="1"/>
        <v>14.685176524000001</v>
      </c>
      <c r="F86" s="30">
        <v>42743</v>
      </c>
    </row>
    <row r="87" spans="1:6" x14ac:dyDescent="0.3">
      <c r="A87" s="32" t="s">
        <v>1047</v>
      </c>
      <c r="B87">
        <v>11.994436309999999</v>
      </c>
      <c r="C87">
        <v>-3.4052297000000002E-2</v>
      </c>
      <c r="E87" s="29">
        <f t="shared" si="1"/>
        <v>12.028488607</v>
      </c>
      <c r="F87" s="30">
        <v>42744</v>
      </c>
    </row>
    <row r="88" spans="1:6" x14ac:dyDescent="0.3">
      <c r="A88" s="32" t="s">
        <v>1048</v>
      </c>
      <c r="B88">
        <v>13.28560257</v>
      </c>
      <c r="C88">
        <v>-2.647940417</v>
      </c>
      <c r="E88" s="29">
        <f t="shared" si="1"/>
        <v>15.933542986999999</v>
      </c>
      <c r="F88" s="30">
        <v>42745</v>
      </c>
    </row>
    <row r="89" spans="1:6" x14ac:dyDescent="0.3">
      <c r="A89" s="32" t="s">
        <v>1049</v>
      </c>
      <c r="B89">
        <v>10.500653120000001</v>
      </c>
      <c r="C89">
        <v>-4.7828671590000003</v>
      </c>
      <c r="E89" s="29">
        <f t="shared" si="1"/>
        <v>15.283520279000001</v>
      </c>
      <c r="F89" s="30">
        <v>42746</v>
      </c>
    </row>
    <row r="90" spans="1:6" x14ac:dyDescent="0.3">
      <c r="A90" s="32" t="s">
        <v>1050</v>
      </c>
      <c r="B90">
        <v>11.42294543</v>
      </c>
      <c r="C90">
        <v>-5.8042487349999998</v>
      </c>
      <c r="E90" s="29">
        <f t="shared" si="1"/>
        <v>17.227194165</v>
      </c>
      <c r="F90" s="30">
        <v>42747</v>
      </c>
    </row>
    <row r="91" spans="1:6" x14ac:dyDescent="0.3">
      <c r="A91" s="32" t="s">
        <v>1051</v>
      </c>
      <c r="B91">
        <v>11.50614343</v>
      </c>
      <c r="C91">
        <v>-6.7990076080000001</v>
      </c>
      <c r="E91" s="29">
        <f t="shared" si="1"/>
        <v>18.305151037999998</v>
      </c>
      <c r="F91" s="30">
        <v>42748</v>
      </c>
    </row>
    <row r="92" spans="1:6" x14ac:dyDescent="0.3">
      <c r="A92" s="32" t="s">
        <v>1052</v>
      </c>
      <c r="B92">
        <v>13.75052605</v>
      </c>
      <c r="C92">
        <v>-6.7086123249999998</v>
      </c>
      <c r="E92" s="29">
        <f t="shared" si="1"/>
        <v>20.459138374999998</v>
      </c>
      <c r="F92" s="30">
        <v>42749</v>
      </c>
    </row>
    <row r="93" spans="1:6" x14ac:dyDescent="0.3">
      <c r="A93" s="32" t="s">
        <v>1053</v>
      </c>
      <c r="B93">
        <v>12.50168714</v>
      </c>
      <c r="C93">
        <v>-6.0160035000000001</v>
      </c>
      <c r="E93" s="29">
        <f t="shared" si="1"/>
        <v>18.517690639999998</v>
      </c>
      <c r="F93" s="30">
        <v>42750</v>
      </c>
    </row>
    <row r="94" spans="1:6" x14ac:dyDescent="0.3">
      <c r="A94" s="32" t="s">
        <v>1054</v>
      </c>
      <c r="B94">
        <v>13.116199480000001</v>
      </c>
      <c r="C94">
        <v>-5.4959674930000002</v>
      </c>
      <c r="E94" s="29">
        <f t="shared" si="1"/>
        <v>18.612166973000001</v>
      </c>
      <c r="F94" s="30">
        <v>42751</v>
      </c>
    </row>
    <row r="95" spans="1:6" x14ac:dyDescent="0.3">
      <c r="A95" s="32" t="s">
        <v>1055</v>
      </c>
      <c r="B95">
        <v>14.827553829999999</v>
      </c>
      <c r="C95">
        <v>-4.1243593130000002</v>
      </c>
      <c r="E95" s="29">
        <f t="shared" si="1"/>
        <v>18.951913142999999</v>
      </c>
      <c r="F95" s="30">
        <v>42752</v>
      </c>
    </row>
    <row r="96" spans="1:6" x14ac:dyDescent="0.3">
      <c r="A96" s="32" t="s">
        <v>1056</v>
      </c>
      <c r="B96">
        <v>14.251554929999999</v>
      </c>
      <c r="C96">
        <v>-4.556897105</v>
      </c>
      <c r="E96" s="29">
        <f t="shared" si="1"/>
        <v>18.808452034999998</v>
      </c>
      <c r="F96" s="30">
        <v>42753</v>
      </c>
    </row>
    <row r="97" spans="1:6" x14ac:dyDescent="0.3">
      <c r="A97" s="32" t="s">
        <v>1057</v>
      </c>
      <c r="B97">
        <v>12.849002949999999</v>
      </c>
      <c r="C97">
        <v>-2.790204852</v>
      </c>
      <c r="E97" s="29">
        <f t="shared" si="1"/>
        <v>15.639207802</v>
      </c>
      <c r="F97" s="30">
        <v>42754</v>
      </c>
    </row>
    <row r="98" spans="1:6" x14ac:dyDescent="0.3">
      <c r="A98" s="32" t="s">
        <v>1058</v>
      </c>
      <c r="B98">
        <v>12.02760589</v>
      </c>
      <c r="C98">
        <v>-3.483964759</v>
      </c>
      <c r="E98" s="29">
        <f t="shared" si="1"/>
        <v>15.511570648999999</v>
      </c>
      <c r="F98" s="30">
        <v>42755</v>
      </c>
    </row>
    <row r="99" spans="1:6" x14ac:dyDescent="0.3">
      <c r="A99" s="32" t="s">
        <v>1059</v>
      </c>
      <c r="B99">
        <v>10.937151950000001</v>
      </c>
      <c r="C99">
        <v>-1.9864082869999999</v>
      </c>
      <c r="E99" s="29">
        <f t="shared" si="1"/>
        <v>12.923560237</v>
      </c>
      <c r="F99" s="30">
        <v>42756</v>
      </c>
    </row>
    <row r="100" spans="1:6" x14ac:dyDescent="0.3">
      <c r="A100" s="32" t="s">
        <v>1060</v>
      </c>
      <c r="B100">
        <v>10.6536934</v>
      </c>
      <c r="C100">
        <v>-2.0722684710000001</v>
      </c>
      <c r="E100" s="29">
        <f t="shared" si="1"/>
        <v>12.725961870999999</v>
      </c>
      <c r="F100" s="30">
        <v>42757</v>
      </c>
    </row>
    <row r="101" spans="1:6" x14ac:dyDescent="0.3">
      <c r="A101" s="32" t="s">
        <v>1061</v>
      </c>
      <c r="B101">
        <v>9.7959027499999998</v>
      </c>
      <c r="C101">
        <v>-1.844674884</v>
      </c>
      <c r="E101" s="29">
        <f t="shared" si="1"/>
        <v>11.640577634</v>
      </c>
      <c r="F101" s="30">
        <v>42758</v>
      </c>
    </row>
    <row r="102" spans="1:6" x14ac:dyDescent="0.3">
      <c r="A102" s="32" t="s">
        <v>1062</v>
      </c>
      <c r="B102">
        <v>9.6609246199999994</v>
      </c>
      <c r="C102">
        <v>-2.3430380670000002</v>
      </c>
      <c r="E102" s="29">
        <f t="shared" si="1"/>
        <v>12.003962687</v>
      </c>
      <c r="F102" s="30">
        <v>42759</v>
      </c>
    </row>
    <row r="103" spans="1:6" x14ac:dyDescent="0.3">
      <c r="A103" s="32" t="s">
        <v>1063</v>
      </c>
      <c r="B103">
        <v>7.7896011200000004</v>
      </c>
      <c r="C103">
        <v>-3.3048796239999998</v>
      </c>
      <c r="E103" s="29">
        <f t="shared" si="1"/>
        <v>11.094480744</v>
      </c>
      <c r="F103" s="30">
        <v>42760</v>
      </c>
    </row>
    <row r="104" spans="1:6" x14ac:dyDescent="0.3">
      <c r="A104" s="32" t="s">
        <v>1064</v>
      </c>
      <c r="B104">
        <v>8.5749483200000007</v>
      </c>
      <c r="C104">
        <v>-3.091798566</v>
      </c>
      <c r="E104" s="29">
        <f t="shared" si="1"/>
        <v>11.666746886</v>
      </c>
      <c r="F104" s="30">
        <v>42761</v>
      </c>
    </row>
    <row r="105" spans="1:6" x14ac:dyDescent="0.3">
      <c r="A105" s="32" t="s">
        <v>1065</v>
      </c>
      <c r="B105">
        <v>9.5269661899999996</v>
      </c>
      <c r="C105">
        <v>-3.6316880569999999</v>
      </c>
      <c r="E105" s="29">
        <f t="shared" si="1"/>
        <v>13.158654246999999</v>
      </c>
      <c r="F105" s="30">
        <v>42762</v>
      </c>
    </row>
    <row r="106" spans="1:6" x14ac:dyDescent="0.3">
      <c r="A106" s="32" t="s">
        <v>1066</v>
      </c>
      <c r="B106">
        <v>8.4700032200000006</v>
      </c>
      <c r="C106">
        <v>-2.9897674460000001</v>
      </c>
      <c r="E106" s="29">
        <f t="shared" si="1"/>
        <v>11.459770666000001</v>
      </c>
      <c r="F106" s="30">
        <v>42763</v>
      </c>
    </row>
    <row r="107" spans="1:6" x14ac:dyDescent="0.3">
      <c r="A107" s="32" t="s">
        <v>1067</v>
      </c>
      <c r="B107">
        <v>7.0323164900000004</v>
      </c>
      <c r="C107">
        <v>-2.7915771550000001</v>
      </c>
      <c r="E107" s="29">
        <f t="shared" si="1"/>
        <v>9.8238936450000001</v>
      </c>
      <c r="F107" s="30">
        <v>42764</v>
      </c>
    </row>
    <row r="108" spans="1:6" x14ac:dyDescent="0.3">
      <c r="A108" s="32" t="s">
        <v>1068</v>
      </c>
      <c r="B108">
        <v>8.3787902400000007</v>
      </c>
      <c r="C108">
        <v>-1.906137757</v>
      </c>
      <c r="E108" s="29">
        <f t="shared" si="1"/>
        <v>10.284927997</v>
      </c>
      <c r="F108" s="30">
        <v>42765</v>
      </c>
    </row>
    <row r="109" spans="1:6" x14ac:dyDescent="0.3">
      <c r="A109" s="32" t="s">
        <v>1069</v>
      </c>
      <c r="B109">
        <v>10.96055758</v>
      </c>
      <c r="C109">
        <v>-2.5597555939999999</v>
      </c>
      <c r="E109" s="29">
        <f t="shared" si="1"/>
        <v>13.520313174</v>
      </c>
      <c r="F109" s="30">
        <v>42766</v>
      </c>
    </row>
    <row r="110" spans="1:6" x14ac:dyDescent="0.3">
      <c r="A110" s="32" t="s">
        <v>1070</v>
      </c>
      <c r="B110">
        <v>13.08426133</v>
      </c>
      <c r="C110">
        <v>-1.83933104</v>
      </c>
      <c r="E110" s="29">
        <f t="shared" si="1"/>
        <v>14.92359237</v>
      </c>
      <c r="F110" s="30">
        <v>42767</v>
      </c>
    </row>
    <row r="111" spans="1:6" x14ac:dyDescent="0.3">
      <c r="A111" s="32" t="s">
        <v>1071</v>
      </c>
      <c r="B111">
        <v>12.88698992</v>
      </c>
      <c r="C111">
        <v>-1.6164678450000001</v>
      </c>
      <c r="E111" s="29">
        <f t="shared" si="1"/>
        <v>14.503457765</v>
      </c>
      <c r="F111" s="30">
        <v>42768</v>
      </c>
    </row>
    <row r="112" spans="1:6" x14ac:dyDescent="0.3">
      <c r="A112" s="32" t="s">
        <v>1072</v>
      </c>
      <c r="B112">
        <v>12.56683235</v>
      </c>
      <c r="C112">
        <v>-0.56771474799999999</v>
      </c>
      <c r="E112" s="29">
        <f t="shared" si="1"/>
        <v>13.134547098000001</v>
      </c>
      <c r="F112" s="30">
        <v>42769</v>
      </c>
    </row>
    <row r="113" spans="1:6" x14ac:dyDescent="0.3">
      <c r="A113" s="32" t="s">
        <v>1073</v>
      </c>
      <c r="B113">
        <v>12.21359917</v>
      </c>
      <c r="C113">
        <v>-0.440075667</v>
      </c>
      <c r="E113" s="29">
        <f t="shared" si="1"/>
        <v>12.653674837000001</v>
      </c>
      <c r="F113" s="30">
        <v>42770</v>
      </c>
    </row>
    <row r="114" spans="1:6" x14ac:dyDescent="0.3">
      <c r="A114" s="32" t="s">
        <v>1074</v>
      </c>
      <c r="B114">
        <v>11.324092479999999</v>
      </c>
      <c r="C114">
        <v>-0.59760253399999996</v>
      </c>
      <c r="E114" s="29">
        <f t="shared" si="1"/>
        <v>11.921695013999999</v>
      </c>
      <c r="F114" s="30">
        <v>42771</v>
      </c>
    </row>
    <row r="115" spans="1:6" x14ac:dyDescent="0.3">
      <c r="A115" s="32" t="s">
        <v>1075</v>
      </c>
      <c r="B115">
        <v>12.72828853</v>
      </c>
      <c r="C115">
        <v>-1.7242506710000001</v>
      </c>
      <c r="E115" s="29">
        <f t="shared" si="1"/>
        <v>14.452539201</v>
      </c>
      <c r="F115" s="30">
        <v>42772</v>
      </c>
    </row>
    <row r="116" spans="1:6" x14ac:dyDescent="0.3">
      <c r="A116" s="32" t="s">
        <v>1076</v>
      </c>
      <c r="B116">
        <v>12.719216490000001</v>
      </c>
      <c r="C116">
        <v>-1.974028071</v>
      </c>
      <c r="E116" s="29">
        <f t="shared" si="1"/>
        <v>14.693244561</v>
      </c>
      <c r="F116" s="30">
        <v>42773</v>
      </c>
    </row>
    <row r="117" spans="1:6" x14ac:dyDescent="0.3">
      <c r="A117" s="32" t="s">
        <v>1077</v>
      </c>
      <c r="B117">
        <v>10.99249139</v>
      </c>
      <c r="C117">
        <v>-1.230627991</v>
      </c>
      <c r="E117" s="29">
        <f t="shared" si="1"/>
        <v>12.223119381</v>
      </c>
      <c r="F117" s="30">
        <v>42774</v>
      </c>
    </row>
    <row r="118" spans="1:6" x14ac:dyDescent="0.3">
      <c r="A118" s="32" t="s">
        <v>1078</v>
      </c>
      <c r="B118">
        <v>11.14542668</v>
      </c>
      <c r="C118">
        <v>-1.5854003510000001</v>
      </c>
      <c r="E118" s="29">
        <f t="shared" si="1"/>
        <v>12.730827031</v>
      </c>
      <c r="F118" s="30">
        <v>42775</v>
      </c>
    </row>
    <row r="119" spans="1:6" x14ac:dyDescent="0.3">
      <c r="A119" s="32" t="s">
        <v>1079</v>
      </c>
      <c r="B119">
        <v>10.08701447</v>
      </c>
      <c r="C119">
        <v>-2.061950113</v>
      </c>
      <c r="E119" s="29">
        <f t="shared" si="1"/>
        <v>12.148964583</v>
      </c>
      <c r="F119" s="30">
        <v>42776</v>
      </c>
    </row>
    <row r="120" spans="1:6" x14ac:dyDescent="0.3">
      <c r="A120" s="32" t="s">
        <v>1080</v>
      </c>
      <c r="B120">
        <v>12.27998229</v>
      </c>
      <c r="C120">
        <v>-0.43014311399999999</v>
      </c>
      <c r="E120" s="29">
        <f t="shared" si="1"/>
        <v>12.710125403999999</v>
      </c>
      <c r="F120" s="30">
        <v>42777</v>
      </c>
    </row>
    <row r="121" spans="1:6" x14ac:dyDescent="0.3">
      <c r="A121" s="32" t="s">
        <v>1081</v>
      </c>
      <c r="B121">
        <v>11.344182500000001</v>
      </c>
      <c r="C121">
        <v>-1.6029218620000001</v>
      </c>
      <c r="E121" s="29">
        <f t="shared" si="1"/>
        <v>12.947104362000001</v>
      </c>
      <c r="F121" s="30">
        <v>42778</v>
      </c>
    </row>
    <row r="122" spans="1:6" x14ac:dyDescent="0.3">
      <c r="A122" s="32" t="s">
        <v>1082</v>
      </c>
      <c r="B122">
        <v>8.7673656999999992</v>
      </c>
      <c r="C122">
        <v>-2.4167199859999999</v>
      </c>
      <c r="E122" s="29">
        <f t="shared" si="1"/>
        <v>11.184085686</v>
      </c>
      <c r="F122" s="30">
        <v>42779</v>
      </c>
    </row>
    <row r="123" spans="1:6" x14ac:dyDescent="0.3">
      <c r="A123" s="32" t="s">
        <v>1083</v>
      </c>
      <c r="B123">
        <v>6.66386083</v>
      </c>
      <c r="C123">
        <v>-1.9965145470000001</v>
      </c>
      <c r="E123" s="29">
        <f t="shared" si="1"/>
        <v>8.6603753769999994</v>
      </c>
      <c r="F123" s="30">
        <v>42780</v>
      </c>
    </row>
    <row r="124" spans="1:6" x14ac:dyDescent="0.3">
      <c r="A124" s="32" t="s">
        <v>1084</v>
      </c>
      <c r="B124">
        <v>6.7831323299999999</v>
      </c>
      <c r="C124">
        <v>-1.1798165030000001</v>
      </c>
      <c r="E124" s="29">
        <f t="shared" si="1"/>
        <v>7.9629488330000004</v>
      </c>
      <c r="F124" s="30">
        <v>42781</v>
      </c>
    </row>
    <row r="125" spans="1:6" x14ac:dyDescent="0.3">
      <c r="A125" s="32" t="s">
        <v>1085</v>
      </c>
      <c r="B125">
        <v>5.7635973700000003</v>
      </c>
      <c r="C125">
        <v>-1.9052166989999999</v>
      </c>
      <c r="E125" s="29">
        <f t="shared" si="1"/>
        <v>7.6688140689999997</v>
      </c>
      <c r="F125" s="30">
        <v>42782</v>
      </c>
    </row>
    <row r="126" spans="1:6" x14ac:dyDescent="0.3">
      <c r="A126" s="32" t="s">
        <v>1086</v>
      </c>
      <c r="B126">
        <v>6.0225816600000002</v>
      </c>
      <c r="C126">
        <v>-2.4424602289999999</v>
      </c>
      <c r="E126" s="29">
        <f t="shared" si="1"/>
        <v>8.4650418890000001</v>
      </c>
      <c r="F126" s="30">
        <v>42783</v>
      </c>
    </row>
    <row r="127" spans="1:6" x14ac:dyDescent="0.3">
      <c r="A127" s="32" t="s">
        <v>1087</v>
      </c>
      <c r="B127">
        <v>4.9064941199999996</v>
      </c>
      <c r="C127">
        <v>-2.4000107850000001</v>
      </c>
      <c r="E127" s="29">
        <f t="shared" si="1"/>
        <v>7.3065049049999997</v>
      </c>
      <c r="F127" s="30">
        <v>42784</v>
      </c>
    </row>
    <row r="128" spans="1:6" x14ac:dyDescent="0.3">
      <c r="A128" s="32" t="s">
        <v>1088</v>
      </c>
      <c r="B128">
        <v>4.8344661499999999</v>
      </c>
      <c r="C128">
        <v>-3.2807524699999999</v>
      </c>
      <c r="E128" s="29">
        <f t="shared" si="1"/>
        <v>8.1152186200000003</v>
      </c>
      <c r="F128" s="30">
        <v>42785</v>
      </c>
    </row>
    <row r="129" spans="1:6" x14ac:dyDescent="0.3">
      <c r="A129" s="32" t="s">
        <v>1089</v>
      </c>
      <c r="B129">
        <v>6.2901287999999997</v>
      </c>
      <c r="C129">
        <v>-4.3821523139999998</v>
      </c>
      <c r="E129" s="29">
        <f t="shared" si="1"/>
        <v>10.672281114</v>
      </c>
      <c r="F129" s="30">
        <v>42786</v>
      </c>
    </row>
    <row r="130" spans="1:6" x14ac:dyDescent="0.3">
      <c r="A130" s="32" t="s">
        <v>1090</v>
      </c>
      <c r="B130">
        <v>5.2845349199999996</v>
      </c>
      <c r="C130">
        <v>-4.5404663620000001</v>
      </c>
      <c r="E130" s="29">
        <f t="shared" si="1"/>
        <v>9.8250012819999988</v>
      </c>
      <c r="F130" s="30">
        <v>42787</v>
      </c>
    </row>
    <row r="131" spans="1:6" x14ac:dyDescent="0.3">
      <c r="A131" s="32" t="s">
        <v>1091</v>
      </c>
      <c r="B131">
        <v>6.6885506399999999</v>
      </c>
      <c r="C131">
        <v>-4.095191775</v>
      </c>
      <c r="E131" s="29">
        <f t="shared" ref="E131:E194" si="2">B131-C131</f>
        <v>10.783742414999999</v>
      </c>
      <c r="F131" s="30">
        <v>42788</v>
      </c>
    </row>
    <row r="132" spans="1:6" x14ac:dyDescent="0.3">
      <c r="A132" s="32" t="s">
        <v>1092</v>
      </c>
      <c r="B132">
        <v>6.8431493699999999</v>
      </c>
      <c r="C132">
        <v>-4.479792937</v>
      </c>
      <c r="E132" s="29">
        <f t="shared" si="2"/>
        <v>11.322942307</v>
      </c>
      <c r="F132" s="30">
        <v>42789</v>
      </c>
    </row>
    <row r="133" spans="1:6" x14ac:dyDescent="0.3">
      <c r="A133" s="32" t="s">
        <v>1093</v>
      </c>
      <c r="B133">
        <v>7.09878711</v>
      </c>
      <c r="C133">
        <v>-6.7691443309999997</v>
      </c>
      <c r="E133" s="29">
        <f t="shared" si="2"/>
        <v>13.867931441</v>
      </c>
      <c r="F133" s="30">
        <v>42790</v>
      </c>
    </row>
    <row r="134" spans="1:6" x14ac:dyDescent="0.3">
      <c r="A134" s="32" t="s">
        <v>1094</v>
      </c>
      <c r="B134">
        <v>6.48205294</v>
      </c>
      <c r="C134">
        <v>-6.962503216</v>
      </c>
      <c r="E134" s="29">
        <f t="shared" si="2"/>
        <v>13.444556156000001</v>
      </c>
      <c r="F134" s="30">
        <v>42791</v>
      </c>
    </row>
    <row r="135" spans="1:6" x14ac:dyDescent="0.3">
      <c r="A135" s="32" t="s">
        <v>1095</v>
      </c>
      <c r="B135">
        <v>7.4685825399999999</v>
      </c>
      <c r="C135">
        <v>-7.4577635029999998</v>
      </c>
      <c r="E135" s="29">
        <f t="shared" si="2"/>
        <v>14.926346042999999</v>
      </c>
      <c r="F135" s="30">
        <v>42792</v>
      </c>
    </row>
    <row r="136" spans="1:6" x14ac:dyDescent="0.3">
      <c r="A136" s="32" t="s">
        <v>1096</v>
      </c>
      <c r="B136">
        <v>7.8344733399999997</v>
      </c>
      <c r="C136">
        <v>-7.7719008990000003</v>
      </c>
      <c r="E136" s="29">
        <f t="shared" si="2"/>
        <v>15.606374239000001</v>
      </c>
      <c r="F136" s="30">
        <v>42793</v>
      </c>
    </row>
    <row r="137" spans="1:6" x14ac:dyDescent="0.3">
      <c r="A137" s="32" t="s">
        <v>1097</v>
      </c>
      <c r="B137">
        <v>8.1325605000000003</v>
      </c>
      <c r="C137">
        <v>-7.2856377810000001</v>
      </c>
      <c r="E137" s="29">
        <f t="shared" si="2"/>
        <v>15.418198281</v>
      </c>
      <c r="F137" s="30">
        <v>42794</v>
      </c>
    </row>
    <row r="138" spans="1:6" x14ac:dyDescent="0.3">
      <c r="A138" s="32" t="s">
        <v>1098</v>
      </c>
      <c r="B138">
        <v>6.8524782899999996</v>
      </c>
      <c r="C138">
        <v>-7.6326690409999998</v>
      </c>
      <c r="E138" s="29">
        <f t="shared" si="2"/>
        <v>14.485147331</v>
      </c>
      <c r="F138" s="30">
        <v>42795</v>
      </c>
    </row>
    <row r="139" spans="1:6" x14ac:dyDescent="0.3">
      <c r="A139" s="32" t="s">
        <v>1099</v>
      </c>
      <c r="B139">
        <v>7.5092299799999997</v>
      </c>
      <c r="C139">
        <v>-7.2883413959999999</v>
      </c>
      <c r="E139" s="29">
        <f t="shared" si="2"/>
        <v>14.797571376</v>
      </c>
      <c r="F139" s="30">
        <v>42796</v>
      </c>
    </row>
    <row r="140" spans="1:6" x14ac:dyDescent="0.3">
      <c r="A140" s="32" t="s">
        <v>1100</v>
      </c>
      <c r="B140">
        <v>4.9043584999999998</v>
      </c>
      <c r="C140">
        <v>-9.1266471320000004</v>
      </c>
      <c r="E140" s="29">
        <f t="shared" si="2"/>
        <v>14.031005631999999</v>
      </c>
      <c r="F140" s="30">
        <v>42797</v>
      </c>
    </row>
    <row r="141" spans="1:6" x14ac:dyDescent="0.3">
      <c r="A141" s="32" t="s">
        <v>1101</v>
      </c>
      <c r="B141">
        <v>4.47498621</v>
      </c>
      <c r="C141">
        <v>-9.0493073719999995</v>
      </c>
      <c r="E141" s="29">
        <f t="shared" si="2"/>
        <v>13.524293581999999</v>
      </c>
      <c r="F141" s="30">
        <v>42798</v>
      </c>
    </row>
    <row r="142" spans="1:6" x14ac:dyDescent="0.3">
      <c r="A142" s="32" t="s">
        <v>1102</v>
      </c>
      <c r="B142">
        <v>4.8399411499999996</v>
      </c>
      <c r="C142">
        <v>-8.719192284</v>
      </c>
      <c r="E142" s="29">
        <f t="shared" si="2"/>
        <v>13.559133434</v>
      </c>
      <c r="F142" s="30">
        <v>42799</v>
      </c>
    </row>
    <row r="143" spans="1:6" x14ac:dyDescent="0.3">
      <c r="A143" s="32" t="s">
        <v>1103</v>
      </c>
      <c r="B143">
        <v>4.36811317</v>
      </c>
      <c r="C143">
        <v>-8.4189172849999991</v>
      </c>
      <c r="E143" s="29">
        <f t="shared" si="2"/>
        <v>12.787030455</v>
      </c>
      <c r="F143" s="30">
        <v>42800</v>
      </c>
    </row>
    <row r="144" spans="1:6" x14ac:dyDescent="0.3">
      <c r="A144" s="32" t="s">
        <v>1104</v>
      </c>
      <c r="B144">
        <v>3.3396277400000001</v>
      </c>
      <c r="C144">
        <v>-8.2587516220000001</v>
      </c>
      <c r="E144" s="29">
        <f t="shared" si="2"/>
        <v>11.598379361999999</v>
      </c>
      <c r="F144" s="30">
        <v>42801</v>
      </c>
    </row>
    <row r="145" spans="1:6" x14ac:dyDescent="0.3">
      <c r="A145" s="32" t="s">
        <v>1105</v>
      </c>
      <c r="B145">
        <v>3.99348481</v>
      </c>
      <c r="C145">
        <v>-7.326684362</v>
      </c>
      <c r="E145" s="29">
        <f t="shared" si="2"/>
        <v>11.320169172</v>
      </c>
      <c r="F145" s="30">
        <v>42802</v>
      </c>
    </row>
    <row r="146" spans="1:6" x14ac:dyDescent="0.3">
      <c r="A146" s="32" t="s">
        <v>1106</v>
      </c>
      <c r="B146">
        <v>2.9929051900000001</v>
      </c>
      <c r="C146">
        <v>-6.4289443110000004</v>
      </c>
      <c r="E146" s="29">
        <f t="shared" si="2"/>
        <v>9.4218495010000005</v>
      </c>
      <c r="F146" s="30">
        <v>42803</v>
      </c>
    </row>
    <row r="147" spans="1:6" x14ac:dyDescent="0.3">
      <c r="A147" s="32" t="s">
        <v>1107</v>
      </c>
      <c r="B147">
        <v>4.8466256100000003</v>
      </c>
      <c r="C147">
        <v>-5.9584235919999999</v>
      </c>
      <c r="E147" s="29">
        <f t="shared" si="2"/>
        <v>10.805049201999999</v>
      </c>
      <c r="F147" s="30">
        <v>42804</v>
      </c>
    </row>
    <row r="148" spans="1:6" x14ac:dyDescent="0.3">
      <c r="A148" s="32" t="s">
        <v>1108</v>
      </c>
      <c r="B148">
        <v>1.7029000700000001</v>
      </c>
      <c r="C148">
        <v>-4.507799136</v>
      </c>
      <c r="E148" s="29">
        <f t="shared" si="2"/>
        <v>6.2106992060000001</v>
      </c>
      <c r="F148" s="30">
        <v>42805</v>
      </c>
    </row>
    <row r="149" spans="1:6" x14ac:dyDescent="0.3">
      <c r="A149" s="32" t="s">
        <v>1109</v>
      </c>
      <c r="B149">
        <v>0.67351645000000004</v>
      </c>
      <c r="C149">
        <v>-4.6214684300000002</v>
      </c>
      <c r="E149" s="29">
        <f t="shared" si="2"/>
        <v>5.2949848800000003</v>
      </c>
      <c r="F149" s="30">
        <v>42806</v>
      </c>
    </row>
    <row r="150" spans="1:6" x14ac:dyDescent="0.3">
      <c r="A150" s="32" t="s">
        <v>1110</v>
      </c>
      <c r="B150">
        <v>0.47424674</v>
      </c>
      <c r="C150">
        <v>-3.2044128710000002</v>
      </c>
      <c r="E150" s="29">
        <f t="shared" si="2"/>
        <v>3.6786596110000001</v>
      </c>
      <c r="F150" s="30">
        <v>42807</v>
      </c>
    </row>
    <row r="151" spans="1:6" x14ac:dyDescent="0.3">
      <c r="A151" s="32" t="s">
        <v>1111</v>
      </c>
      <c r="B151">
        <v>2.2394342100000002</v>
      </c>
      <c r="C151">
        <v>-4.1871458339999998</v>
      </c>
      <c r="E151" s="29">
        <f t="shared" si="2"/>
        <v>6.4265800439999996</v>
      </c>
      <c r="F151" s="30">
        <v>42808</v>
      </c>
    </row>
    <row r="152" spans="1:6" x14ac:dyDescent="0.3">
      <c r="A152" s="32" t="s">
        <v>1112</v>
      </c>
      <c r="B152">
        <v>1.7808681099999999</v>
      </c>
      <c r="C152">
        <v>-4.9444488639999999</v>
      </c>
      <c r="E152" s="29">
        <f t="shared" si="2"/>
        <v>6.7253169740000001</v>
      </c>
      <c r="F152" s="30">
        <v>42809</v>
      </c>
    </row>
    <row r="153" spans="1:6" x14ac:dyDescent="0.3">
      <c r="A153" s="32" t="s">
        <v>1113</v>
      </c>
      <c r="B153">
        <v>0.66818124999999995</v>
      </c>
      <c r="C153">
        <v>-4.0068380079999999</v>
      </c>
      <c r="E153" s="29">
        <f t="shared" si="2"/>
        <v>4.6750192579999998</v>
      </c>
      <c r="F153" s="30">
        <v>42810</v>
      </c>
    </row>
    <row r="154" spans="1:6" x14ac:dyDescent="0.3">
      <c r="A154" s="32" t="s">
        <v>1114</v>
      </c>
      <c r="B154">
        <v>0.32082880000000003</v>
      </c>
      <c r="C154">
        <v>-4.7741807789999999</v>
      </c>
      <c r="E154" s="29">
        <f t="shared" si="2"/>
        <v>5.0950095790000001</v>
      </c>
      <c r="F154" s="30">
        <v>42811</v>
      </c>
    </row>
    <row r="155" spans="1:6" x14ac:dyDescent="0.3">
      <c r="A155" s="32" t="s">
        <v>1115</v>
      </c>
      <c r="B155">
        <v>1.8732278499999999</v>
      </c>
      <c r="C155">
        <v>-3.8129175239999999</v>
      </c>
      <c r="E155" s="29">
        <f t="shared" si="2"/>
        <v>5.6861453739999996</v>
      </c>
      <c r="F155" s="30">
        <v>42812</v>
      </c>
    </row>
    <row r="156" spans="1:6" x14ac:dyDescent="0.3">
      <c r="A156" s="32" t="s">
        <v>1116</v>
      </c>
      <c r="B156">
        <v>1.3639199399999999</v>
      </c>
      <c r="C156">
        <v>-3.253890808</v>
      </c>
      <c r="E156" s="29">
        <f t="shared" si="2"/>
        <v>4.6178107480000001</v>
      </c>
      <c r="F156" s="30">
        <v>42813</v>
      </c>
    </row>
    <row r="157" spans="1:6" x14ac:dyDescent="0.3">
      <c r="A157" s="32" t="s">
        <v>1117</v>
      </c>
      <c r="B157">
        <v>1.7250035100000001</v>
      </c>
      <c r="C157">
        <v>-2.0204432360000002</v>
      </c>
      <c r="E157" s="29">
        <f t="shared" si="2"/>
        <v>3.7454467460000003</v>
      </c>
      <c r="F157" s="30">
        <v>42814</v>
      </c>
    </row>
    <row r="158" spans="1:6" x14ac:dyDescent="0.3">
      <c r="A158" s="32" t="s">
        <v>1118</v>
      </c>
      <c r="B158">
        <v>-0.45823012000000002</v>
      </c>
      <c r="C158">
        <v>-2.5370212200000002</v>
      </c>
      <c r="E158" s="29">
        <f t="shared" si="2"/>
        <v>2.0787911000000001</v>
      </c>
      <c r="F158" s="30">
        <v>42815</v>
      </c>
    </row>
    <row r="159" spans="1:6" x14ac:dyDescent="0.3">
      <c r="A159" s="32" t="s">
        <v>1119</v>
      </c>
      <c r="B159">
        <v>0.59891084999999999</v>
      </c>
      <c r="C159">
        <v>-3.4433783490000001</v>
      </c>
      <c r="E159" s="29">
        <f t="shared" si="2"/>
        <v>4.0422891989999998</v>
      </c>
      <c r="F159" s="30">
        <v>42816</v>
      </c>
    </row>
    <row r="160" spans="1:6" x14ac:dyDescent="0.3">
      <c r="A160" s="32" t="s">
        <v>1120</v>
      </c>
      <c r="B160">
        <v>0.99418600999999995</v>
      </c>
      <c r="C160">
        <v>-2.805605007</v>
      </c>
      <c r="E160" s="29">
        <f t="shared" si="2"/>
        <v>3.799791017</v>
      </c>
      <c r="F160" s="30">
        <v>42817</v>
      </c>
    </row>
    <row r="161" spans="1:6" x14ac:dyDescent="0.3">
      <c r="A161" s="32" t="s">
        <v>1121</v>
      </c>
      <c r="B161">
        <v>1.4190132200000001</v>
      </c>
      <c r="C161">
        <v>-3.4695723649999999</v>
      </c>
      <c r="E161" s="29">
        <f t="shared" si="2"/>
        <v>4.8885855849999995</v>
      </c>
      <c r="F161" s="30">
        <v>42818</v>
      </c>
    </row>
    <row r="162" spans="1:6" x14ac:dyDescent="0.3">
      <c r="A162" s="32" t="s">
        <v>1122</v>
      </c>
      <c r="B162">
        <v>1.58642123</v>
      </c>
      <c r="C162">
        <v>-4.3398376880000002</v>
      </c>
      <c r="E162" s="29">
        <f t="shared" si="2"/>
        <v>5.9262589180000003</v>
      </c>
      <c r="F162" s="30">
        <v>42819</v>
      </c>
    </row>
    <row r="163" spans="1:6" x14ac:dyDescent="0.3">
      <c r="A163" s="32" t="s">
        <v>1123</v>
      </c>
      <c r="B163">
        <v>1.3168960599999999</v>
      </c>
      <c r="C163">
        <v>-4.9519611450000003</v>
      </c>
      <c r="E163" s="29">
        <f t="shared" si="2"/>
        <v>6.2688572049999998</v>
      </c>
      <c r="F163" s="30">
        <v>42820</v>
      </c>
    </row>
    <row r="164" spans="1:6" x14ac:dyDescent="0.3">
      <c r="A164" s="32" t="s">
        <v>1124</v>
      </c>
      <c r="B164">
        <v>0.41835267999999998</v>
      </c>
      <c r="C164">
        <v>-4.3548653010000002</v>
      </c>
      <c r="E164" s="29">
        <f t="shared" si="2"/>
        <v>4.7732179810000002</v>
      </c>
      <c r="F164" s="30">
        <v>42821</v>
      </c>
    </row>
    <row r="165" spans="1:6" x14ac:dyDescent="0.3">
      <c r="A165" s="32" t="s">
        <v>1125</v>
      </c>
      <c r="B165">
        <v>0.83876929</v>
      </c>
      <c r="C165">
        <v>-4.947696155</v>
      </c>
      <c r="E165" s="29">
        <f t="shared" si="2"/>
        <v>5.7864654450000002</v>
      </c>
      <c r="F165" s="30">
        <v>42822</v>
      </c>
    </row>
    <row r="166" spans="1:6" x14ac:dyDescent="0.3">
      <c r="A166" s="32" t="s">
        <v>1126</v>
      </c>
      <c r="B166">
        <v>0.74726239999999999</v>
      </c>
      <c r="C166">
        <v>-5.0368115229999999</v>
      </c>
      <c r="E166" s="29">
        <f t="shared" si="2"/>
        <v>5.7840739230000002</v>
      </c>
      <c r="F166" s="30">
        <v>42823</v>
      </c>
    </row>
    <row r="167" spans="1:6" x14ac:dyDescent="0.3">
      <c r="A167" s="32" t="s">
        <v>1127</v>
      </c>
      <c r="B167">
        <v>1.0741552599999999</v>
      </c>
      <c r="C167">
        <v>-3.5313052740000002</v>
      </c>
      <c r="E167" s="29">
        <f t="shared" si="2"/>
        <v>4.6054605340000005</v>
      </c>
      <c r="F167" s="30">
        <v>42824</v>
      </c>
    </row>
    <row r="168" spans="1:6" x14ac:dyDescent="0.3">
      <c r="A168" s="32" t="s">
        <v>1128</v>
      </c>
      <c r="B168">
        <v>1.6735212399999999</v>
      </c>
      <c r="C168">
        <v>-3.3299549009999998</v>
      </c>
      <c r="E168" s="29">
        <f t="shared" si="2"/>
        <v>5.0034761410000002</v>
      </c>
      <c r="F168" s="30">
        <v>42825</v>
      </c>
    </row>
    <row r="169" spans="1:6" x14ac:dyDescent="0.3">
      <c r="A169" s="32" t="s">
        <v>1129</v>
      </c>
      <c r="B169">
        <v>2.4196970900000001</v>
      </c>
      <c r="C169">
        <v>-2.9673950499999999</v>
      </c>
      <c r="E169" s="29">
        <f t="shared" si="2"/>
        <v>5.38709214</v>
      </c>
      <c r="F169" s="30">
        <v>42826</v>
      </c>
    </row>
    <row r="170" spans="1:6" x14ac:dyDescent="0.3">
      <c r="A170" s="32" t="s">
        <v>1130</v>
      </c>
      <c r="B170">
        <v>2.1929718600000001</v>
      </c>
      <c r="C170">
        <v>-0.89171230700000004</v>
      </c>
      <c r="E170" s="29">
        <f t="shared" si="2"/>
        <v>3.0846841670000003</v>
      </c>
      <c r="F170" s="30">
        <v>42827</v>
      </c>
    </row>
    <row r="171" spans="1:6" x14ac:dyDescent="0.3">
      <c r="A171" s="32" t="s">
        <v>1131</v>
      </c>
      <c r="B171">
        <v>2.27557483</v>
      </c>
      <c r="C171">
        <v>-1.255913228</v>
      </c>
      <c r="E171" s="29">
        <f t="shared" si="2"/>
        <v>3.5314880579999999</v>
      </c>
      <c r="F171" s="30">
        <v>42828</v>
      </c>
    </row>
    <row r="172" spans="1:6" x14ac:dyDescent="0.3">
      <c r="A172" s="32" t="s">
        <v>1132</v>
      </c>
      <c r="B172">
        <v>1.9405170899999999</v>
      </c>
      <c r="C172">
        <v>-1.726070829</v>
      </c>
      <c r="E172" s="29">
        <f t="shared" si="2"/>
        <v>3.6665879189999999</v>
      </c>
      <c r="F172" s="30">
        <v>42829</v>
      </c>
    </row>
    <row r="173" spans="1:6" x14ac:dyDescent="0.3">
      <c r="A173" s="32" t="s">
        <v>1133</v>
      </c>
      <c r="B173">
        <v>2.4764853100000002</v>
      </c>
      <c r="C173">
        <v>-2.125423493</v>
      </c>
      <c r="E173" s="29">
        <f t="shared" si="2"/>
        <v>4.6019088030000006</v>
      </c>
      <c r="F173" s="30">
        <v>42830</v>
      </c>
    </row>
    <row r="174" spans="1:6" x14ac:dyDescent="0.3">
      <c r="A174" s="32" t="s">
        <v>1134</v>
      </c>
      <c r="B174">
        <v>1.5830169199999999</v>
      </c>
      <c r="C174">
        <v>-1.7920859819999999</v>
      </c>
      <c r="E174" s="29">
        <f t="shared" si="2"/>
        <v>3.3751029020000001</v>
      </c>
      <c r="F174" s="30">
        <v>42831</v>
      </c>
    </row>
    <row r="175" spans="1:6" x14ac:dyDescent="0.3">
      <c r="A175" s="32" t="s">
        <v>1135</v>
      </c>
      <c r="B175">
        <v>1.90618763</v>
      </c>
      <c r="C175">
        <v>-0.40218088000000002</v>
      </c>
      <c r="E175" s="29">
        <f t="shared" si="2"/>
        <v>2.3083685100000002</v>
      </c>
      <c r="F175" s="30">
        <v>42832</v>
      </c>
    </row>
    <row r="176" spans="1:6" x14ac:dyDescent="0.3">
      <c r="A176" s="32" t="s">
        <v>1136</v>
      </c>
      <c r="B176">
        <v>-0.47271357000000003</v>
      </c>
      <c r="C176">
        <v>0.35137199099999999</v>
      </c>
      <c r="E176" s="29">
        <f t="shared" si="2"/>
        <v>-0.82408556099999997</v>
      </c>
      <c r="F176" s="30">
        <v>42833</v>
      </c>
    </row>
    <row r="177" spans="1:6" x14ac:dyDescent="0.3">
      <c r="A177" s="32" t="s">
        <v>1137</v>
      </c>
      <c r="B177">
        <v>-0.20175649000000001</v>
      </c>
      <c r="C177">
        <v>0.43517324699999999</v>
      </c>
      <c r="E177" s="29">
        <f t="shared" si="2"/>
        <v>-0.636929737</v>
      </c>
      <c r="F177" s="30">
        <v>42834</v>
      </c>
    </row>
    <row r="178" spans="1:6" x14ac:dyDescent="0.3">
      <c r="A178" s="32" t="s">
        <v>1138</v>
      </c>
      <c r="B178">
        <v>1.05609299</v>
      </c>
      <c r="C178">
        <v>-1.1954480890000001</v>
      </c>
      <c r="E178" s="29">
        <f t="shared" si="2"/>
        <v>2.2515410789999999</v>
      </c>
      <c r="F178" s="30">
        <v>42835</v>
      </c>
    </row>
    <row r="179" spans="1:6" x14ac:dyDescent="0.3">
      <c r="A179" s="32" t="s">
        <v>1139</v>
      </c>
      <c r="B179">
        <v>1.1811499000000001</v>
      </c>
      <c r="C179">
        <v>-1.095663389</v>
      </c>
      <c r="E179" s="29">
        <f t="shared" si="2"/>
        <v>2.2768132890000001</v>
      </c>
      <c r="F179" s="30">
        <v>42836</v>
      </c>
    </row>
    <row r="180" spans="1:6" x14ac:dyDescent="0.3">
      <c r="A180" s="32" t="s">
        <v>1140</v>
      </c>
      <c r="B180">
        <v>0.86550199000000005</v>
      </c>
      <c r="C180">
        <v>-3.0415656919999998</v>
      </c>
      <c r="E180" s="29">
        <f t="shared" si="2"/>
        <v>3.9070676820000001</v>
      </c>
      <c r="F180" s="30">
        <v>42837</v>
      </c>
    </row>
    <row r="181" spans="1:6" x14ac:dyDescent="0.3">
      <c r="A181" s="32" t="s">
        <v>1141</v>
      </c>
      <c r="B181">
        <v>0.39876927000000001</v>
      </c>
      <c r="C181">
        <v>-2.7278227899999998</v>
      </c>
      <c r="E181" s="29">
        <f t="shared" si="2"/>
        <v>3.1265920599999997</v>
      </c>
      <c r="F181" s="30">
        <v>42838</v>
      </c>
    </row>
    <row r="182" spans="1:6" x14ac:dyDescent="0.3">
      <c r="A182" s="32" t="s">
        <v>1142</v>
      </c>
      <c r="B182">
        <v>0.58158984999999996</v>
      </c>
      <c r="C182">
        <v>-2.5487800159999998</v>
      </c>
      <c r="E182" s="29">
        <f t="shared" si="2"/>
        <v>3.1303698659999997</v>
      </c>
      <c r="F182" s="30">
        <v>42839</v>
      </c>
    </row>
    <row r="183" spans="1:6" x14ac:dyDescent="0.3">
      <c r="A183" s="32" t="s">
        <v>1143</v>
      </c>
      <c r="B183">
        <v>0.91218940999999998</v>
      </c>
      <c r="C183">
        <v>-2.919467284</v>
      </c>
      <c r="E183" s="29">
        <f t="shared" si="2"/>
        <v>3.8316566939999999</v>
      </c>
      <c r="F183" s="30">
        <v>42840</v>
      </c>
    </row>
    <row r="184" spans="1:6" x14ac:dyDescent="0.3">
      <c r="A184" s="32" t="s">
        <v>1144</v>
      </c>
      <c r="B184">
        <v>0.77092495000000005</v>
      </c>
      <c r="C184">
        <v>-1.576019289</v>
      </c>
      <c r="E184" s="29">
        <f t="shared" si="2"/>
        <v>2.3469442389999999</v>
      </c>
      <c r="F184" s="30">
        <v>42841</v>
      </c>
    </row>
    <row r="185" spans="1:6" x14ac:dyDescent="0.3">
      <c r="A185" s="32" t="s">
        <v>1145</v>
      </c>
      <c r="B185">
        <v>-0.29173518999999998</v>
      </c>
      <c r="C185">
        <v>-1.6425864240000001</v>
      </c>
      <c r="E185" s="29">
        <f t="shared" si="2"/>
        <v>1.3508512340000001</v>
      </c>
      <c r="F185" s="30">
        <v>42842</v>
      </c>
    </row>
    <row r="186" spans="1:6" x14ac:dyDescent="0.3">
      <c r="A186" s="32" t="s">
        <v>1146</v>
      </c>
      <c r="B186">
        <v>1.20354534</v>
      </c>
      <c r="C186">
        <v>-1.871789768</v>
      </c>
      <c r="E186" s="29">
        <f t="shared" si="2"/>
        <v>3.075335108</v>
      </c>
      <c r="F186" s="30">
        <v>42843</v>
      </c>
    </row>
    <row r="187" spans="1:6" x14ac:dyDescent="0.3">
      <c r="A187" s="32" t="s">
        <v>1147</v>
      </c>
      <c r="B187">
        <v>1.73624135</v>
      </c>
      <c r="C187">
        <v>-0.70006299599999999</v>
      </c>
      <c r="E187" s="29">
        <f t="shared" si="2"/>
        <v>2.436304346</v>
      </c>
      <c r="F187" s="30">
        <v>42844</v>
      </c>
    </row>
    <row r="188" spans="1:6" x14ac:dyDescent="0.3">
      <c r="A188" s="32" t="s">
        <v>1148</v>
      </c>
      <c r="B188">
        <v>2.4892026500000002</v>
      </c>
      <c r="C188">
        <v>-1.0801537320000001</v>
      </c>
      <c r="E188" s="29">
        <f t="shared" si="2"/>
        <v>3.5693563820000005</v>
      </c>
      <c r="F188" s="30">
        <v>42845</v>
      </c>
    </row>
    <row r="189" spans="1:6" x14ac:dyDescent="0.3">
      <c r="A189" s="32" t="s">
        <v>1149</v>
      </c>
      <c r="B189">
        <v>2.81588314</v>
      </c>
      <c r="C189">
        <v>-0.48932224699999999</v>
      </c>
      <c r="E189" s="29">
        <f t="shared" si="2"/>
        <v>3.305205387</v>
      </c>
      <c r="F189" s="30">
        <v>42846</v>
      </c>
    </row>
    <row r="190" spans="1:6" x14ac:dyDescent="0.3">
      <c r="A190" s="32" t="s">
        <v>1150</v>
      </c>
      <c r="B190">
        <v>3.8191985599999998</v>
      </c>
      <c r="C190">
        <v>0.190088902</v>
      </c>
      <c r="E190" s="29">
        <f t="shared" si="2"/>
        <v>3.629109658</v>
      </c>
      <c r="F190" s="30">
        <v>42847</v>
      </c>
    </row>
    <row r="191" spans="1:6" x14ac:dyDescent="0.3">
      <c r="A191" s="32" t="s">
        <v>1151</v>
      </c>
      <c r="B191">
        <v>3.95045504</v>
      </c>
      <c r="C191">
        <v>-0.202717438</v>
      </c>
      <c r="E191" s="29">
        <f t="shared" si="2"/>
        <v>4.1531724780000001</v>
      </c>
      <c r="F191" s="30">
        <v>42848</v>
      </c>
    </row>
    <row r="192" spans="1:6" x14ac:dyDescent="0.3">
      <c r="A192" s="32" t="s">
        <v>1152</v>
      </c>
      <c r="B192">
        <v>3.0996778599999999</v>
      </c>
      <c r="C192">
        <v>0.16635873000000001</v>
      </c>
      <c r="E192" s="29">
        <f t="shared" si="2"/>
        <v>2.9333191300000001</v>
      </c>
      <c r="F192" s="30">
        <v>42849</v>
      </c>
    </row>
    <row r="193" spans="1:6" x14ac:dyDescent="0.3">
      <c r="A193" s="32" t="s">
        <v>1153</v>
      </c>
      <c r="B193">
        <v>3.30270055</v>
      </c>
      <c r="C193">
        <v>-2.1342687999999999E-2</v>
      </c>
      <c r="E193" s="29">
        <f t="shared" si="2"/>
        <v>3.3240432379999998</v>
      </c>
      <c r="F193" s="30">
        <v>42850</v>
      </c>
    </row>
    <row r="194" spans="1:6" x14ac:dyDescent="0.3">
      <c r="A194" s="32" t="s">
        <v>1154</v>
      </c>
      <c r="B194">
        <v>2.56419336</v>
      </c>
      <c r="C194">
        <v>-0.54924796600000003</v>
      </c>
      <c r="E194" s="29">
        <f t="shared" si="2"/>
        <v>3.1134413260000002</v>
      </c>
      <c r="F194" s="30">
        <v>42851</v>
      </c>
    </row>
    <row r="195" spans="1:6" x14ac:dyDescent="0.3">
      <c r="A195" s="32" t="s">
        <v>1155</v>
      </c>
      <c r="B195">
        <v>3.4518876000000001</v>
      </c>
      <c r="C195">
        <v>-1.022940556</v>
      </c>
      <c r="E195" s="29">
        <f t="shared" ref="E195:E258" si="3">B195-C195</f>
        <v>4.4748281560000001</v>
      </c>
      <c r="F195" s="30">
        <v>42852</v>
      </c>
    </row>
    <row r="196" spans="1:6" x14ac:dyDescent="0.3">
      <c r="A196" s="32" t="s">
        <v>1156</v>
      </c>
      <c r="B196">
        <v>4.0596476399999997</v>
      </c>
      <c r="C196">
        <v>-0.70935333</v>
      </c>
      <c r="E196" s="29">
        <f t="shared" si="3"/>
        <v>4.7690009699999996</v>
      </c>
      <c r="F196" s="30">
        <v>42853</v>
      </c>
    </row>
    <row r="197" spans="1:6" x14ac:dyDescent="0.3">
      <c r="A197" s="32" t="s">
        <v>1157</v>
      </c>
      <c r="B197">
        <v>4.6606685099999998</v>
      </c>
      <c r="C197">
        <v>0.81768988799999998</v>
      </c>
      <c r="E197" s="29">
        <f t="shared" si="3"/>
        <v>3.842978622</v>
      </c>
      <c r="F197" s="30">
        <v>42854</v>
      </c>
    </row>
    <row r="198" spans="1:6" x14ac:dyDescent="0.3">
      <c r="A198" s="32" t="s">
        <v>1158</v>
      </c>
      <c r="B198">
        <v>4.4622495999999998</v>
      </c>
      <c r="C198">
        <v>-1.378302028</v>
      </c>
      <c r="E198" s="29">
        <f t="shared" si="3"/>
        <v>5.8405516280000001</v>
      </c>
      <c r="F198" s="30">
        <v>42855</v>
      </c>
    </row>
    <row r="199" spans="1:6" x14ac:dyDescent="0.3">
      <c r="A199" s="32" t="s">
        <v>1159</v>
      </c>
      <c r="B199">
        <v>3.3663100099999999</v>
      </c>
      <c r="C199">
        <v>-3.6041545400000001</v>
      </c>
      <c r="E199" s="29">
        <f t="shared" si="3"/>
        <v>6.97046455</v>
      </c>
      <c r="F199" s="30">
        <v>42856</v>
      </c>
    </row>
    <row r="200" spans="1:6" x14ac:dyDescent="0.3">
      <c r="A200" s="32" t="s">
        <v>1160</v>
      </c>
      <c r="B200">
        <v>2.6093309499999999</v>
      </c>
      <c r="C200">
        <v>-4.13343784</v>
      </c>
      <c r="E200" s="29">
        <f t="shared" si="3"/>
        <v>6.7427687899999995</v>
      </c>
      <c r="F200" s="30">
        <v>42857</v>
      </c>
    </row>
    <row r="201" spans="1:6" x14ac:dyDescent="0.3">
      <c r="A201" s="32" t="s">
        <v>1161</v>
      </c>
      <c r="B201">
        <v>2.3830817</v>
      </c>
      <c r="C201">
        <v>-3.3679118360000002</v>
      </c>
      <c r="E201" s="29">
        <f t="shared" si="3"/>
        <v>5.7509935360000002</v>
      </c>
      <c r="F201" s="30">
        <v>42858</v>
      </c>
    </row>
    <row r="202" spans="1:6" x14ac:dyDescent="0.3">
      <c r="A202" s="32" t="s">
        <v>1162</v>
      </c>
      <c r="B202">
        <v>3.36840341</v>
      </c>
      <c r="C202">
        <v>-3.2814941719999999</v>
      </c>
      <c r="E202" s="29">
        <f t="shared" si="3"/>
        <v>6.6498975819999995</v>
      </c>
      <c r="F202" s="30">
        <v>42859</v>
      </c>
    </row>
    <row r="203" spans="1:6" x14ac:dyDescent="0.3">
      <c r="A203" s="32" t="s">
        <v>1163</v>
      </c>
      <c r="B203">
        <v>2.8576604200000002</v>
      </c>
      <c r="C203">
        <v>-2.5339594829999998</v>
      </c>
      <c r="E203" s="29">
        <f t="shared" si="3"/>
        <v>5.3916199030000005</v>
      </c>
      <c r="F203" s="30">
        <v>42860</v>
      </c>
    </row>
    <row r="204" spans="1:6" x14ac:dyDescent="0.3">
      <c r="A204" s="32" t="s">
        <v>1164</v>
      </c>
      <c r="B204">
        <v>2.2631315500000002</v>
      </c>
      <c r="C204">
        <v>-3.8257504529999999</v>
      </c>
      <c r="E204" s="29">
        <f t="shared" si="3"/>
        <v>6.0888820030000002</v>
      </c>
      <c r="F204" s="30">
        <v>42861</v>
      </c>
    </row>
    <row r="205" spans="1:6" x14ac:dyDescent="0.3">
      <c r="A205" s="32" t="s">
        <v>1165</v>
      </c>
      <c r="B205">
        <v>1.3024716999999999</v>
      </c>
      <c r="C205">
        <v>-4.0034928489999997</v>
      </c>
      <c r="E205" s="29">
        <f t="shared" si="3"/>
        <v>5.3059645489999996</v>
      </c>
      <c r="F205" s="30">
        <v>42862</v>
      </c>
    </row>
    <row r="206" spans="1:6" x14ac:dyDescent="0.3">
      <c r="A206" s="32" t="s">
        <v>1166</v>
      </c>
      <c r="B206">
        <v>0.46842704000000002</v>
      </c>
      <c r="C206">
        <v>-4.6247361199999997</v>
      </c>
      <c r="E206" s="29">
        <f t="shared" si="3"/>
        <v>5.0931631599999996</v>
      </c>
      <c r="F206" s="30">
        <v>42863</v>
      </c>
    </row>
    <row r="207" spans="1:6" x14ac:dyDescent="0.3">
      <c r="A207" s="32" t="s">
        <v>1167</v>
      </c>
      <c r="B207">
        <v>1.2967776</v>
      </c>
      <c r="C207">
        <v>-4.4172791279999997</v>
      </c>
      <c r="E207" s="29">
        <f t="shared" si="3"/>
        <v>5.7140567279999992</v>
      </c>
      <c r="F207" s="30">
        <v>42864</v>
      </c>
    </row>
    <row r="208" spans="1:6" x14ac:dyDescent="0.3">
      <c r="A208" s="32" t="s">
        <v>1168</v>
      </c>
      <c r="B208">
        <v>1.5372396500000001</v>
      </c>
      <c r="C208">
        <v>-3.1025496459999999</v>
      </c>
      <c r="E208" s="29">
        <f t="shared" si="3"/>
        <v>4.639789296</v>
      </c>
      <c r="F208" s="30">
        <v>42865</v>
      </c>
    </row>
    <row r="209" spans="1:6" x14ac:dyDescent="0.3">
      <c r="A209" s="32" t="s">
        <v>1169</v>
      </c>
      <c r="B209">
        <v>1.15029862</v>
      </c>
      <c r="C209">
        <v>-3.5874274439999998</v>
      </c>
      <c r="E209" s="29">
        <f t="shared" si="3"/>
        <v>4.7377260640000003</v>
      </c>
      <c r="F209" s="30">
        <v>42866</v>
      </c>
    </row>
    <row r="210" spans="1:6" x14ac:dyDescent="0.3">
      <c r="A210" s="32" t="s">
        <v>1170</v>
      </c>
      <c r="B210">
        <v>-0.46560642000000002</v>
      </c>
      <c r="C210">
        <v>-2.2896681779999999</v>
      </c>
      <c r="E210" s="29">
        <f t="shared" si="3"/>
        <v>1.8240617579999998</v>
      </c>
      <c r="F210" s="30">
        <v>42867</v>
      </c>
    </row>
    <row r="211" spans="1:6" x14ac:dyDescent="0.3">
      <c r="A211" s="32" t="s">
        <v>1171</v>
      </c>
      <c r="B211">
        <v>-4.7467189999999999E-2</v>
      </c>
      <c r="C211">
        <v>-2.1348636349999999</v>
      </c>
      <c r="E211" s="29">
        <f t="shared" si="3"/>
        <v>2.087396445</v>
      </c>
      <c r="F211" s="30">
        <v>42868</v>
      </c>
    </row>
    <row r="212" spans="1:6" x14ac:dyDescent="0.3">
      <c r="A212" s="32" t="s">
        <v>1172</v>
      </c>
      <c r="B212">
        <v>-0.31289140999999998</v>
      </c>
      <c r="C212">
        <v>-2.7679876910000001</v>
      </c>
      <c r="E212" s="29">
        <f t="shared" si="3"/>
        <v>2.4550962810000003</v>
      </c>
      <c r="F212" s="30">
        <v>42869</v>
      </c>
    </row>
    <row r="213" spans="1:6" x14ac:dyDescent="0.3">
      <c r="A213" s="32" t="s">
        <v>1173</v>
      </c>
      <c r="B213">
        <v>-0.37870752000000002</v>
      </c>
      <c r="C213">
        <v>-3.1968465880000001</v>
      </c>
      <c r="E213" s="29">
        <f t="shared" si="3"/>
        <v>2.8181390680000002</v>
      </c>
      <c r="F213" s="30">
        <v>42870</v>
      </c>
    </row>
    <row r="214" spans="1:6" x14ac:dyDescent="0.3">
      <c r="A214" s="32" t="s">
        <v>1174</v>
      </c>
      <c r="B214">
        <v>-1.42707954</v>
      </c>
      <c r="C214">
        <v>-3.5256025819999999</v>
      </c>
      <c r="E214" s="29">
        <f t="shared" si="3"/>
        <v>2.0985230420000001</v>
      </c>
      <c r="F214" s="30">
        <v>42871</v>
      </c>
    </row>
    <row r="215" spans="1:6" x14ac:dyDescent="0.3">
      <c r="A215" s="32" t="s">
        <v>1175</v>
      </c>
      <c r="B215">
        <v>-0.99639670000000002</v>
      </c>
      <c r="C215">
        <v>-4.2558230659999996</v>
      </c>
      <c r="E215" s="29">
        <f t="shared" si="3"/>
        <v>3.2594263659999996</v>
      </c>
      <c r="F215" s="30">
        <v>42872</v>
      </c>
    </row>
    <row r="216" spans="1:6" x14ac:dyDescent="0.3">
      <c r="A216" s="32" t="s">
        <v>1176</v>
      </c>
      <c r="B216">
        <v>0.33876426999999998</v>
      </c>
      <c r="C216">
        <v>-1.242171036</v>
      </c>
      <c r="E216" s="29">
        <f t="shared" si="3"/>
        <v>1.580935306</v>
      </c>
      <c r="F216" s="30">
        <v>42873</v>
      </c>
    </row>
    <row r="217" spans="1:6" x14ac:dyDescent="0.3">
      <c r="A217" s="32" t="s">
        <v>1177</v>
      </c>
      <c r="B217">
        <v>2.7565972300000001</v>
      </c>
      <c r="C217">
        <v>-2.3938739729999998</v>
      </c>
      <c r="E217" s="29">
        <f t="shared" si="3"/>
        <v>5.1504712030000004</v>
      </c>
      <c r="F217" s="30">
        <v>42874</v>
      </c>
    </row>
    <row r="218" spans="1:6" x14ac:dyDescent="0.3">
      <c r="A218" s="32" t="s">
        <v>1178</v>
      </c>
      <c r="B218">
        <v>2.5430053199999998</v>
      </c>
      <c r="C218">
        <v>-2.7991546669999998</v>
      </c>
      <c r="E218" s="29">
        <f t="shared" si="3"/>
        <v>5.3421599869999996</v>
      </c>
      <c r="F218" s="30">
        <v>42875</v>
      </c>
    </row>
    <row r="219" spans="1:6" x14ac:dyDescent="0.3">
      <c r="A219" s="32" t="s">
        <v>1179</v>
      </c>
      <c r="B219">
        <v>1.22979277</v>
      </c>
      <c r="C219">
        <v>-3.0900418840000001</v>
      </c>
      <c r="E219" s="29">
        <f t="shared" si="3"/>
        <v>4.3198346540000001</v>
      </c>
      <c r="F219" s="30">
        <v>42876</v>
      </c>
    </row>
    <row r="220" spans="1:6" x14ac:dyDescent="0.3">
      <c r="A220" s="32" t="s">
        <v>1180</v>
      </c>
      <c r="B220">
        <v>1.2901855499999999</v>
      </c>
      <c r="C220">
        <v>-1.692710666</v>
      </c>
      <c r="E220" s="29">
        <f t="shared" si="3"/>
        <v>2.9828962159999999</v>
      </c>
      <c r="F220" s="30">
        <v>42877</v>
      </c>
    </row>
    <row r="221" spans="1:6" x14ac:dyDescent="0.3">
      <c r="A221" s="32" t="s">
        <v>1181</v>
      </c>
      <c r="B221">
        <v>0.83849145999999997</v>
      </c>
      <c r="C221">
        <v>-1.580931807</v>
      </c>
      <c r="E221" s="29">
        <f t="shared" si="3"/>
        <v>2.419423267</v>
      </c>
      <c r="F221" s="30">
        <v>42878</v>
      </c>
    </row>
    <row r="222" spans="1:6" x14ac:dyDescent="0.3">
      <c r="A222" s="32" t="s">
        <v>1182</v>
      </c>
      <c r="B222">
        <v>1.47574271</v>
      </c>
      <c r="C222">
        <v>-1.39210524</v>
      </c>
      <c r="E222" s="29">
        <f t="shared" si="3"/>
        <v>2.8678479499999998</v>
      </c>
      <c r="F222" s="30">
        <v>42879</v>
      </c>
    </row>
    <row r="223" spans="1:6" x14ac:dyDescent="0.3">
      <c r="A223" s="32" t="s">
        <v>1183</v>
      </c>
      <c r="B223">
        <v>-0.18857947</v>
      </c>
      <c r="C223">
        <v>-0.51126733400000002</v>
      </c>
      <c r="E223" s="29">
        <f t="shared" si="3"/>
        <v>0.32268786400000005</v>
      </c>
      <c r="F223" s="30">
        <v>42880</v>
      </c>
    </row>
    <row r="224" spans="1:6" x14ac:dyDescent="0.3">
      <c r="A224" s="32" t="s">
        <v>1184</v>
      </c>
      <c r="B224">
        <v>-1.2610126399999999</v>
      </c>
      <c r="C224">
        <v>-1.4389122969999999</v>
      </c>
      <c r="E224" s="29">
        <f t="shared" si="3"/>
        <v>0.17789965699999999</v>
      </c>
      <c r="F224" s="30">
        <v>42881</v>
      </c>
    </row>
    <row r="225" spans="1:6" x14ac:dyDescent="0.3">
      <c r="A225" s="32" t="s">
        <v>1185</v>
      </c>
      <c r="B225">
        <v>-0.64884828000000005</v>
      </c>
      <c r="C225">
        <v>-2.2354101320000002</v>
      </c>
      <c r="E225" s="29">
        <f t="shared" si="3"/>
        <v>1.586561852</v>
      </c>
      <c r="F225" s="30">
        <v>42882</v>
      </c>
    </row>
    <row r="226" spans="1:6" x14ac:dyDescent="0.3">
      <c r="A226" s="32" t="s">
        <v>1186</v>
      </c>
      <c r="B226">
        <v>-0.80644528999999998</v>
      </c>
      <c r="C226">
        <v>-3.7540972770000001</v>
      </c>
      <c r="E226" s="29">
        <f t="shared" si="3"/>
        <v>2.947651987</v>
      </c>
      <c r="F226" s="30">
        <v>42883</v>
      </c>
    </row>
    <row r="227" spans="1:6" x14ac:dyDescent="0.3">
      <c r="A227" s="32" t="s">
        <v>1187</v>
      </c>
      <c r="B227">
        <v>-1.61206176</v>
      </c>
      <c r="C227">
        <v>-3.522679337</v>
      </c>
      <c r="E227" s="29">
        <f t="shared" si="3"/>
        <v>1.910617577</v>
      </c>
      <c r="F227" s="30">
        <v>42884</v>
      </c>
    </row>
    <row r="228" spans="1:6" x14ac:dyDescent="0.3">
      <c r="A228" s="32" t="s">
        <v>1188</v>
      </c>
      <c r="B228">
        <v>-2.7779148400000002</v>
      </c>
      <c r="C228">
        <v>-3.1112240089999998</v>
      </c>
      <c r="E228" s="29">
        <f t="shared" si="3"/>
        <v>0.33330916899999963</v>
      </c>
      <c r="F228" s="30">
        <v>42885</v>
      </c>
    </row>
    <row r="229" spans="1:6" x14ac:dyDescent="0.3">
      <c r="A229" s="32" t="s">
        <v>1189</v>
      </c>
      <c r="B229">
        <v>-3.59346714</v>
      </c>
      <c r="C229">
        <v>-3.9931192659999999</v>
      </c>
      <c r="E229" s="29">
        <f t="shared" si="3"/>
        <v>0.39965212599999989</v>
      </c>
      <c r="F229" s="30">
        <v>42886</v>
      </c>
    </row>
    <row r="230" spans="1:6" x14ac:dyDescent="0.3">
      <c r="A230" s="32" t="s">
        <v>1190</v>
      </c>
      <c r="B230">
        <v>-5.2849761300000004</v>
      </c>
      <c r="C230">
        <v>-3.2355272890000002</v>
      </c>
      <c r="E230" s="29">
        <f t="shared" si="3"/>
        <v>-2.0494488410000002</v>
      </c>
      <c r="F230" s="30">
        <v>42887</v>
      </c>
    </row>
    <row r="231" spans="1:6" x14ac:dyDescent="0.3">
      <c r="A231" s="32" t="s">
        <v>1191</v>
      </c>
      <c r="B231">
        <v>-7.4654253099999996</v>
      </c>
      <c r="C231">
        <v>-2.8956860770000001</v>
      </c>
      <c r="E231" s="29">
        <f t="shared" si="3"/>
        <v>-4.569739233</v>
      </c>
      <c r="F231" s="30">
        <v>42888</v>
      </c>
    </row>
    <row r="232" spans="1:6" x14ac:dyDescent="0.3">
      <c r="A232" s="32" t="s">
        <v>1192</v>
      </c>
      <c r="B232">
        <v>-6.5069014100000002</v>
      </c>
      <c r="C232">
        <v>-2.3132291770000002</v>
      </c>
      <c r="E232" s="29">
        <f t="shared" si="3"/>
        <v>-4.193672233</v>
      </c>
      <c r="F232" s="30">
        <v>42889</v>
      </c>
    </row>
    <row r="233" spans="1:6" x14ac:dyDescent="0.3">
      <c r="A233" s="32" t="s">
        <v>1193</v>
      </c>
      <c r="B233">
        <v>-6.5024680699999999</v>
      </c>
      <c r="C233">
        <v>-2.2750231080000001</v>
      </c>
      <c r="E233" s="29">
        <f t="shared" si="3"/>
        <v>-4.2274449619999999</v>
      </c>
      <c r="F233" s="30">
        <v>42890</v>
      </c>
    </row>
    <row r="234" spans="1:6" x14ac:dyDescent="0.3">
      <c r="A234" s="32" t="s">
        <v>1194</v>
      </c>
      <c r="B234">
        <v>-6.0371779099999996</v>
      </c>
      <c r="C234">
        <v>-1.9897792839999999</v>
      </c>
      <c r="E234" s="29">
        <f t="shared" si="3"/>
        <v>-4.0473986259999997</v>
      </c>
      <c r="F234" s="30">
        <v>42891</v>
      </c>
    </row>
    <row r="235" spans="1:6" x14ac:dyDescent="0.3">
      <c r="A235" s="32" t="s">
        <v>1195</v>
      </c>
      <c r="B235">
        <v>-6.8035424300000003</v>
      </c>
      <c r="C235">
        <v>-1.2437430300000001</v>
      </c>
      <c r="E235" s="29">
        <f t="shared" si="3"/>
        <v>-5.5597994000000002</v>
      </c>
      <c r="F235" s="30">
        <v>42892</v>
      </c>
    </row>
    <row r="236" spans="1:6" x14ac:dyDescent="0.3">
      <c r="A236" s="32" t="s">
        <v>1196</v>
      </c>
      <c r="B236">
        <v>-7.4726540799999999</v>
      </c>
      <c r="C236">
        <v>-0.52891943500000005</v>
      </c>
      <c r="E236" s="29">
        <f t="shared" si="3"/>
        <v>-6.9437346450000001</v>
      </c>
      <c r="F236" s="30">
        <v>42893</v>
      </c>
    </row>
    <row r="237" spans="1:6" x14ac:dyDescent="0.3">
      <c r="A237" s="32" t="s">
        <v>1197</v>
      </c>
      <c r="B237">
        <v>-7.4063833099999998</v>
      </c>
      <c r="C237">
        <v>-0.99183286699999995</v>
      </c>
      <c r="E237" s="29">
        <f t="shared" si="3"/>
        <v>-6.4145504429999995</v>
      </c>
      <c r="F237" s="30">
        <v>42894</v>
      </c>
    </row>
    <row r="238" spans="1:6" x14ac:dyDescent="0.3">
      <c r="A238" s="32" t="s">
        <v>1198</v>
      </c>
      <c r="B238">
        <v>-5.0769053099999999</v>
      </c>
      <c r="C238">
        <v>-2.3740162250000001</v>
      </c>
      <c r="E238" s="29">
        <f t="shared" si="3"/>
        <v>-2.7028890849999998</v>
      </c>
      <c r="F238" s="30">
        <v>42895</v>
      </c>
    </row>
    <row r="239" spans="1:6" x14ac:dyDescent="0.3">
      <c r="A239" s="32" t="s">
        <v>1199</v>
      </c>
      <c r="B239">
        <v>-4.9139819400000002</v>
      </c>
      <c r="C239">
        <v>-2.9188789580000001</v>
      </c>
      <c r="E239" s="29">
        <f t="shared" si="3"/>
        <v>-1.9951029820000001</v>
      </c>
      <c r="F239" s="30">
        <v>42896</v>
      </c>
    </row>
    <row r="240" spans="1:6" x14ac:dyDescent="0.3">
      <c r="A240" s="32" t="s">
        <v>1200</v>
      </c>
      <c r="B240">
        <v>-3.4509762500000001</v>
      </c>
      <c r="C240">
        <v>-1.4599059299999999</v>
      </c>
      <c r="E240" s="29">
        <f t="shared" si="3"/>
        <v>-1.9910703200000002</v>
      </c>
      <c r="F240" s="30">
        <v>42897</v>
      </c>
    </row>
    <row r="241" spans="1:6" x14ac:dyDescent="0.3">
      <c r="A241" s="32" t="s">
        <v>1201</v>
      </c>
      <c r="B241">
        <v>-2.7605727999999998</v>
      </c>
      <c r="C241">
        <v>5.9942439E-2</v>
      </c>
      <c r="E241" s="29">
        <f t="shared" si="3"/>
        <v>-2.8205152389999997</v>
      </c>
      <c r="F241" s="30">
        <v>42898</v>
      </c>
    </row>
    <row r="242" spans="1:6" x14ac:dyDescent="0.3">
      <c r="A242" s="32" t="s">
        <v>1202</v>
      </c>
      <c r="B242">
        <v>-2.9733311200000001</v>
      </c>
      <c r="C242">
        <v>-5.9972303999999997E-2</v>
      </c>
      <c r="E242" s="29">
        <f t="shared" si="3"/>
        <v>-2.9133588160000001</v>
      </c>
      <c r="F242" s="30">
        <v>42899</v>
      </c>
    </row>
    <row r="243" spans="1:6" x14ac:dyDescent="0.3">
      <c r="A243" s="32" t="s">
        <v>1203</v>
      </c>
      <c r="B243">
        <v>-3.3746351899999998</v>
      </c>
      <c r="C243">
        <v>-0.55408312599999998</v>
      </c>
      <c r="E243" s="29">
        <f t="shared" si="3"/>
        <v>-2.8205520639999997</v>
      </c>
      <c r="F243" s="30">
        <v>42900</v>
      </c>
    </row>
    <row r="244" spans="1:6" x14ac:dyDescent="0.3">
      <c r="A244" s="32" t="s">
        <v>1204</v>
      </c>
      <c r="B244">
        <v>-2.8232122199999998</v>
      </c>
      <c r="C244">
        <v>0.85041775500000005</v>
      </c>
      <c r="E244" s="29">
        <f t="shared" si="3"/>
        <v>-3.6736299749999999</v>
      </c>
      <c r="F244" s="30">
        <v>42901</v>
      </c>
    </row>
    <row r="245" spans="1:6" x14ac:dyDescent="0.3">
      <c r="A245" s="32" t="s">
        <v>1205</v>
      </c>
      <c r="B245">
        <v>-2.1972264699999999</v>
      </c>
      <c r="C245">
        <v>1.607017997</v>
      </c>
      <c r="E245" s="29">
        <f t="shared" si="3"/>
        <v>-3.8042444670000002</v>
      </c>
      <c r="F245" s="30">
        <v>42902</v>
      </c>
    </row>
    <row r="246" spans="1:6" x14ac:dyDescent="0.3">
      <c r="A246" s="32" t="s">
        <v>1206</v>
      </c>
      <c r="B246">
        <v>-1.5364136799999999</v>
      </c>
      <c r="C246">
        <v>3.6674463720000001</v>
      </c>
      <c r="E246" s="29">
        <f t="shared" si="3"/>
        <v>-5.2038600519999996</v>
      </c>
      <c r="F246" s="30">
        <v>42903</v>
      </c>
    </row>
    <row r="247" spans="1:6" x14ac:dyDescent="0.3">
      <c r="A247" s="32" t="s">
        <v>1207</v>
      </c>
      <c r="B247">
        <v>3.7994149999999997E-2</v>
      </c>
      <c r="C247">
        <v>3.4635359870000002</v>
      </c>
      <c r="E247" s="29">
        <f t="shared" si="3"/>
        <v>-3.4255418370000004</v>
      </c>
      <c r="F247" s="30">
        <v>42904</v>
      </c>
    </row>
    <row r="248" spans="1:6" x14ac:dyDescent="0.3">
      <c r="A248" s="32" t="s">
        <v>1208</v>
      </c>
      <c r="B248">
        <v>1.49602766</v>
      </c>
      <c r="C248">
        <v>5.8232515280000001</v>
      </c>
      <c r="E248" s="29">
        <f t="shared" si="3"/>
        <v>-4.3272238679999999</v>
      </c>
      <c r="F248" s="30">
        <v>42905</v>
      </c>
    </row>
    <row r="249" spans="1:6" x14ac:dyDescent="0.3">
      <c r="A249" s="32" t="s">
        <v>1209</v>
      </c>
      <c r="B249">
        <v>1.1317914499999999</v>
      </c>
      <c r="C249">
        <v>6.5538483300000001</v>
      </c>
      <c r="E249" s="29">
        <f t="shared" si="3"/>
        <v>-5.4220568800000004</v>
      </c>
      <c r="F249" s="30">
        <v>42906</v>
      </c>
    </row>
    <row r="250" spans="1:6" x14ac:dyDescent="0.3">
      <c r="A250" s="32" t="s">
        <v>1210</v>
      </c>
      <c r="B250">
        <v>2.6543141700000001</v>
      </c>
      <c r="C250">
        <v>7.2949863119999998</v>
      </c>
      <c r="E250" s="29">
        <f t="shared" si="3"/>
        <v>-4.6406721419999997</v>
      </c>
      <c r="F250" s="30">
        <v>42907</v>
      </c>
    </row>
    <row r="251" spans="1:6" x14ac:dyDescent="0.3">
      <c r="A251" s="32" t="s">
        <v>1211</v>
      </c>
      <c r="B251">
        <v>4.0333488099999997</v>
      </c>
      <c r="C251">
        <v>7.034650343</v>
      </c>
      <c r="E251" s="29">
        <f t="shared" si="3"/>
        <v>-3.0013015330000004</v>
      </c>
      <c r="F251" s="30">
        <v>42908</v>
      </c>
    </row>
    <row r="252" spans="1:6" x14ac:dyDescent="0.3">
      <c r="A252" s="32" t="s">
        <v>1212</v>
      </c>
      <c r="B252">
        <v>4.4260415200000001</v>
      </c>
      <c r="C252">
        <v>7.0328774269999998</v>
      </c>
      <c r="E252" s="29">
        <f t="shared" si="3"/>
        <v>-2.6068359069999998</v>
      </c>
      <c r="F252" s="30">
        <v>42909</v>
      </c>
    </row>
    <row r="253" spans="1:6" x14ac:dyDescent="0.3">
      <c r="A253" s="32" t="s">
        <v>1213</v>
      </c>
      <c r="B253">
        <v>4.8042550400000001</v>
      </c>
      <c r="C253">
        <v>8.5040770230000007</v>
      </c>
      <c r="E253" s="29">
        <f t="shared" si="3"/>
        <v>-3.6998219830000005</v>
      </c>
      <c r="F253" s="30">
        <v>42910</v>
      </c>
    </row>
    <row r="254" spans="1:6" x14ac:dyDescent="0.3">
      <c r="A254" s="32" t="s">
        <v>1214</v>
      </c>
      <c r="B254">
        <v>4.4758035600000001</v>
      </c>
      <c r="C254">
        <v>7.5409592569999999</v>
      </c>
      <c r="E254" s="29">
        <f t="shared" si="3"/>
        <v>-3.0651556969999998</v>
      </c>
      <c r="F254" s="30">
        <v>42911</v>
      </c>
    </row>
    <row r="255" spans="1:6" x14ac:dyDescent="0.3">
      <c r="A255" s="32" t="s">
        <v>1215</v>
      </c>
      <c r="B255">
        <v>5.7540322000000002</v>
      </c>
      <c r="C255">
        <v>9.1158105710000008</v>
      </c>
      <c r="E255" s="29">
        <f t="shared" si="3"/>
        <v>-3.3617783710000007</v>
      </c>
      <c r="F255" s="30">
        <v>42912</v>
      </c>
    </row>
    <row r="256" spans="1:6" x14ac:dyDescent="0.3">
      <c r="A256" s="32" t="s">
        <v>1216</v>
      </c>
      <c r="B256">
        <v>5.8656439999999996</v>
      </c>
      <c r="C256">
        <v>10.965899896</v>
      </c>
      <c r="E256" s="29">
        <f t="shared" si="3"/>
        <v>-5.1002558960000002</v>
      </c>
      <c r="F256" s="30">
        <v>42913</v>
      </c>
    </row>
    <row r="257" spans="1:6" x14ac:dyDescent="0.3">
      <c r="A257" s="32" t="s">
        <v>1217</v>
      </c>
      <c r="B257">
        <v>6.2201121300000004</v>
      </c>
      <c r="C257">
        <v>9.7100799230000003</v>
      </c>
      <c r="E257" s="29">
        <f t="shared" si="3"/>
        <v>-3.4899677929999999</v>
      </c>
      <c r="F257" s="30">
        <v>42914</v>
      </c>
    </row>
    <row r="258" spans="1:6" x14ac:dyDescent="0.3">
      <c r="A258" s="32" t="s">
        <v>1218</v>
      </c>
      <c r="B258">
        <v>7.6898633600000004</v>
      </c>
      <c r="C258">
        <v>8.6538479420000005</v>
      </c>
      <c r="E258" s="29">
        <f t="shared" si="3"/>
        <v>-0.96398458200000015</v>
      </c>
      <c r="F258" s="30">
        <v>42915</v>
      </c>
    </row>
    <row r="259" spans="1:6" x14ac:dyDescent="0.3">
      <c r="A259" s="32" t="s">
        <v>1219</v>
      </c>
      <c r="B259">
        <v>10.76787783</v>
      </c>
      <c r="C259">
        <v>10.162104886</v>
      </c>
      <c r="E259" s="29">
        <f t="shared" ref="E259:E322" si="4">B259-C259</f>
        <v>0.60577294399999992</v>
      </c>
      <c r="F259" s="30">
        <v>42916</v>
      </c>
    </row>
    <row r="260" spans="1:6" x14ac:dyDescent="0.3">
      <c r="A260" s="32" t="s">
        <v>1220</v>
      </c>
      <c r="B260">
        <v>10.204326399999999</v>
      </c>
      <c r="C260">
        <v>9.9301497199999993</v>
      </c>
      <c r="E260" s="29">
        <f t="shared" si="4"/>
        <v>0.27417668000000006</v>
      </c>
      <c r="F260" s="30">
        <v>42917</v>
      </c>
    </row>
    <row r="261" spans="1:6" x14ac:dyDescent="0.3">
      <c r="A261" s="32" t="s">
        <v>1221</v>
      </c>
      <c r="B261">
        <v>9.4694763700000006</v>
      </c>
      <c r="C261">
        <v>10.398232941</v>
      </c>
      <c r="E261" s="29">
        <f t="shared" si="4"/>
        <v>-0.9287565709999992</v>
      </c>
      <c r="F261" s="30">
        <v>42918</v>
      </c>
    </row>
    <row r="262" spans="1:6" x14ac:dyDescent="0.3">
      <c r="A262" s="32" t="s">
        <v>1222</v>
      </c>
      <c r="B262">
        <v>8.4899856400000004</v>
      </c>
      <c r="C262">
        <v>9.5207962570000007</v>
      </c>
      <c r="E262" s="29">
        <f t="shared" si="4"/>
        <v>-1.0308106170000002</v>
      </c>
      <c r="F262" s="30">
        <v>42919</v>
      </c>
    </row>
    <row r="263" spans="1:6" x14ac:dyDescent="0.3">
      <c r="A263" s="32" t="s">
        <v>1223</v>
      </c>
      <c r="B263">
        <v>8.2620091799999997</v>
      </c>
      <c r="C263">
        <v>9.4535931069999997</v>
      </c>
      <c r="E263" s="29">
        <f t="shared" si="4"/>
        <v>-1.1915839269999999</v>
      </c>
      <c r="F263" s="30">
        <v>42920</v>
      </c>
    </row>
    <row r="264" spans="1:6" x14ac:dyDescent="0.3">
      <c r="A264" s="32" t="s">
        <v>1224</v>
      </c>
      <c r="B264">
        <v>7.7882566799999999</v>
      </c>
      <c r="C264">
        <v>9.7712315400000005</v>
      </c>
      <c r="E264" s="29">
        <f t="shared" si="4"/>
        <v>-1.9829748600000006</v>
      </c>
      <c r="F264" s="30">
        <v>42921</v>
      </c>
    </row>
    <row r="265" spans="1:6" x14ac:dyDescent="0.3">
      <c r="A265" s="32" t="s">
        <v>1225</v>
      </c>
      <c r="B265">
        <v>8.3246831300000004</v>
      </c>
      <c r="C265">
        <v>10.677861702</v>
      </c>
      <c r="E265" s="29">
        <f t="shared" si="4"/>
        <v>-2.3531785719999991</v>
      </c>
      <c r="F265" s="30">
        <v>42922</v>
      </c>
    </row>
    <row r="266" spans="1:6" x14ac:dyDescent="0.3">
      <c r="A266" s="32" t="s">
        <v>1226</v>
      </c>
      <c r="B266">
        <v>7.00170241</v>
      </c>
      <c r="C266">
        <v>10.161175038</v>
      </c>
      <c r="E266" s="29">
        <f t="shared" si="4"/>
        <v>-3.1594726279999996</v>
      </c>
      <c r="F266" s="30">
        <v>42923</v>
      </c>
    </row>
    <row r="267" spans="1:6" x14ac:dyDescent="0.3">
      <c r="A267" s="32" t="s">
        <v>1227</v>
      </c>
      <c r="B267">
        <v>8.6614516300000002</v>
      </c>
      <c r="C267">
        <v>10.662239171</v>
      </c>
      <c r="E267" s="29">
        <f t="shared" si="4"/>
        <v>-2.0007875409999993</v>
      </c>
      <c r="F267" s="30">
        <v>42924</v>
      </c>
    </row>
    <row r="268" spans="1:6" x14ac:dyDescent="0.3">
      <c r="A268" s="32" t="s">
        <v>1228</v>
      </c>
      <c r="B268">
        <v>9.6358259299999993</v>
      </c>
      <c r="C268">
        <v>8.3822395239999992</v>
      </c>
      <c r="E268" s="29">
        <f t="shared" si="4"/>
        <v>1.2535864060000002</v>
      </c>
      <c r="F268" s="30">
        <v>42925</v>
      </c>
    </row>
    <row r="269" spans="1:6" x14ac:dyDescent="0.3">
      <c r="A269" s="32" t="s">
        <v>1229</v>
      </c>
      <c r="B269">
        <v>9.1905716500000008</v>
      </c>
      <c r="C269">
        <v>6.6976034090000001</v>
      </c>
      <c r="E269" s="29">
        <f t="shared" si="4"/>
        <v>2.4929682410000007</v>
      </c>
      <c r="F269" s="30">
        <v>42926</v>
      </c>
    </row>
    <row r="270" spans="1:6" x14ac:dyDescent="0.3">
      <c r="A270" s="32" t="s">
        <v>1230</v>
      </c>
      <c r="B270">
        <v>10.44163979</v>
      </c>
      <c r="C270">
        <v>6.8202645960000003</v>
      </c>
      <c r="E270" s="29">
        <f t="shared" si="4"/>
        <v>3.6213751939999996</v>
      </c>
      <c r="F270" s="30">
        <v>42927</v>
      </c>
    </row>
    <row r="271" spans="1:6" x14ac:dyDescent="0.3">
      <c r="A271" s="32" t="s">
        <v>1231</v>
      </c>
      <c r="B271">
        <v>10.42578078</v>
      </c>
      <c r="C271">
        <v>6.3884561560000002</v>
      </c>
      <c r="E271" s="29">
        <f t="shared" si="4"/>
        <v>4.037324624</v>
      </c>
      <c r="F271" s="30">
        <v>42928</v>
      </c>
    </row>
    <row r="272" spans="1:6" x14ac:dyDescent="0.3">
      <c r="A272" s="32" t="s">
        <v>1232</v>
      </c>
      <c r="B272">
        <v>10.636792229999999</v>
      </c>
      <c r="C272">
        <v>6.2205233360000003</v>
      </c>
      <c r="E272" s="29">
        <f t="shared" si="4"/>
        <v>4.416268893999999</v>
      </c>
      <c r="F272" s="30">
        <v>42929</v>
      </c>
    </row>
    <row r="273" spans="1:6" x14ac:dyDescent="0.3">
      <c r="A273" s="32" t="s">
        <v>1233</v>
      </c>
      <c r="B273">
        <v>11.303136439999999</v>
      </c>
      <c r="C273">
        <v>6.7824976069999998</v>
      </c>
      <c r="E273" s="29">
        <f t="shared" si="4"/>
        <v>4.5206388329999996</v>
      </c>
      <c r="F273" s="30">
        <v>42930</v>
      </c>
    </row>
    <row r="274" spans="1:6" x14ac:dyDescent="0.3">
      <c r="A274" s="32" t="s">
        <v>1234</v>
      </c>
      <c r="B274">
        <v>8.55891293</v>
      </c>
      <c r="C274">
        <v>7.7792974600000004</v>
      </c>
      <c r="E274" s="29">
        <f t="shared" si="4"/>
        <v>0.77961546999999953</v>
      </c>
      <c r="F274" s="30">
        <v>42931</v>
      </c>
    </row>
    <row r="275" spans="1:6" x14ac:dyDescent="0.3">
      <c r="A275" s="32" t="s">
        <v>1235</v>
      </c>
      <c r="B275">
        <v>9.3782739500000005</v>
      </c>
      <c r="C275">
        <v>7.5186315449999999</v>
      </c>
      <c r="E275" s="29">
        <f t="shared" si="4"/>
        <v>1.8596424050000007</v>
      </c>
      <c r="F275" s="30">
        <v>42932</v>
      </c>
    </row>
    <row r="276" spans="1:6" x14ac:dyDescent="0.3">
      <c r="A276" s="32" t="s">
        <v>1236</v>
      </c>
      <c r="B276">
        <v>9.0848482300000004</v>
      </c>
      <c r="C276">
        <v>6.0651209120000003</v>
      </c>
      <c r="E276" s="29">
        <f t="shared" si="4"/>
        <v>3.0197273180000002</v>
      </c>
      <c r="F276" s="30">
        <v>42933</v>
      </c>
    </row>
    <row r="277" spans="1:6" x14ac:dyDescent="0.3">
      <c r="A277" s="32" t="s">
        <v>1237</v>
      </c>
      <c r="B277">
        <v>9.2156532500000008</v>
      </c>
      <c r="C277">
        <v>7.6627307670000002</v>
      </c>
      <c r="E277" s="29">
        <f t="shared" si="4"/>
        <v>1.5529224830000006</v>
      </c>
      <c r="F277" s="30">
        <v>42934</v>
      </c>
    </row>
    <row r="278" spans="1:6" x14ac:dyDescent="0.3">
      <c r="A278" s="32" t="s">
        <v>1238</v>
      </c>
      <c r="B278">
        <v>9.4691178499999999</v>
      </c>
      <c r="C278">
        <v>7.3072444890000003</v>
      </c>
      <c r="E278" s="29">
        <f t="shared" si="4"/>
        <v>2.1618733609999996</v>
      </c>
      <c r="F278" s="30">
        <v>42935</v>
      </c>
    </row>
    <row r="279" spans="1:6" x14ac:dyDescent="0.3">
      <c r="A279" s="32" t="s">
        <v>1239</v>
      </c>
      <c r="B279">
        <v>8.0522257899999996</v>
      </c>
      <c r="C279">
        <v>6.7320088570000003</v>
      </c>
      <c r="E279" s="29">
        <f t="shared" si="4"/>
        <v>1.3202169329999993</v>
      </c>
      <c r="F279" s="30">
        <v>42936</v>
      </c>
    </row>
    <row r="280" spans="1:6" x14ac:dyDescent="0.3">
      <c r="A280" s="32" t="s">
        <v>1240</v>
      </c>
      <c r="B280">
        <v>7.9833339600000004</v>
      </c>
      <c r="C280">
        <v>6.6927768040000002</v>
      </c>
      <c r="E280" s="29">
        <f t="shared" si="4"/>
        <v>1.2905571560000002</v>
      </c>
      <c r="F280" s="30">
        <v>42937</v>
      </c>
    </row>
    <row r="281" spans="1:6" x14ac:dyDescent="0.3">
      <c r="A281" s="32" t="s">
        <v>1241</v>
      </c>
      <c r="B281">
        <v>7.1124697899999996</v>
      </c>
      <c r="C281">
        <v>5.7942885329999996</v>
      </c>
      <c r="E281" s="29">
        <f t="shared" si="4"/>
        <v>1.318181257</v>
      </c>
      <c r="F281" s="30">
        <v>42938</v>
      </c>
    </row>
    <row r="282" spans="1:6" x14ac:dyDescent="0.3">
      <c r="A282" s="32" t="s">
        <v>1242</v>
      </c>
      <c r="B282">
        <v>4.5976552599999998</v>
      </c>
      <c r="C282">
        <v>5.7063870740000002</v>
      </c>
      <c r="E282" s="29">
        <f t="shared" si="4"/>
        <v>-1.1087318140000004</v>
      </c>
      <c r="F282" s="30">
        <v>42939</v>
      </c>
    </row>
    <row r="283" spans="1:6" x14ac:dyDescent="0.3">
      <c r="A283" s="32" t="s">
        <v>1243</v>
      </c>
      <c r="B283">
        <v>4.1794816399999997</v>
      </c>
      <c r="C283">
        <v>6.4756218140000001</v>
      </c>
      <c r="E283" s="29">
        <f t="shared" si="4"/>
        <v>-2.2961401740000005</v>
      </c>
      <c r="F283" s="30">
        <v>42940</v>
      </c>
    </row>
    <row r="284" spans="1:6" x14ac:dyDescent="0.3">
      <c r="A284" s="32" t="s">
        <v>1244</v>
      </c>
      <c r="B284">
        <v>4.3086226700000001</v>
      </c>
      <c r="C284">
        <v>5.3145862839999998</v>
      </c>
      <c r="E284" s="29">
        <f t="shared" si="4"/>
        <v>-1.0059636139999997</v>
      </c>
      <c r="F284" s="30">
        <v>42941</v>
      </c>
    </row>
    <row r="285" spans="1:6" x14ac:dyDescent="0.3">
      <c r="A285" s="32" t="s">
        <v>1245</v>
      </c>
      <c r="B285">
        <v>2.6629145599999999</v>
      </c>
      <c r="C285">
        <v>4.7257946219999996</v>
      </c>
      <c r="E285" s="29">
        <f t="shared" si="4"/>
        <v>-2.0628800619999996</v>
      </c>
      <c r="F285" s="30">
        <v>42942</v>
      </c>
    </row>
    <row r="286" spans="1:6" x14ac:dyDescent="0.3">
      <c r="A286" s="32" t="s">
        <v>1246</v>
      </c>
      <c r="B286">
        <v>1.99811743</v>
      </c>
      <c r="C286">
        <v>4.5262887870000004</v>
      </c>
      <c r="E286" s="29">
        <f t="shared" si="4"/>
        <v>-2.5281713570000006</v>
      </c>
      <c r="F286" s="30">
        <v>42943</v>
      </c>
    </row>
    <row r="287" spans="1:6" x14ac:dyDescent="0.3">
      <c r="A287" s="32" t="s">
        <v>1247</v>
      </c>
      <c r="B287">
        <v>2.6618079300000002</v>
      </c>
      <c r="C287">
        <v>3.7035236280000001</v>
      </c>
      <c r="E287" s="29">
        <f t="shared" si="4"/>
        <v>-1.041715698</v>
      </c>
      <c r="F287" s="30">
        <v>42944</v>
      </c>
    </row>
    <row r="288" spans="1:6" x14ac:dyDescent="0.3">
      <c r="A288" s="32" t="s">
        <v>1248</v>
      </c>
      <c r="B288">
        <v>0.24893849000000001</v>
      </c>
      <c r="C288">
        <v>2.887554889</v>
      </c>
      <c r="E288" s="29">
        <f t="shared" si="4"/>
        <v>-2.638616399</v>
      </c>
      <c r="F288" s="30">
        <v>42945</v>
      </c>
    </row>
    <row r="289" spans="1:6" x14ac:dyDescent="0.3">
      <c r="A289" s="32" t="s">
        <v>1249</v>
      </c>
      <c r="B289">
        <v>-0.20040443999999999</v>
      </c>
      <c r="C289">
        <v>3.7615724250000002</v>
      </c>
      <c r="E289" s="29">
        <f t="shared" si="4"/>
        <v>-3.961976865</v>
      </c>
      <c r="F289" s="30">
        <v>42946</v>
      </c>
    </row>
    <row r="290" spans="1:6" x14ac:dyDescent="0.3">
      <c r="A290" s="32" t="s">
        <v>1250</v>
      </c>
      <c r="B290">
        <v>0.72022262999999997</v>
      </c>
      <c r="C290">
        <v>2.5387332690000002</v>
      </c>
      <c r="E290" s="29">
        <f t="shared" si="4"/>
        <v>-1.8185106390000003</v>
      </c>
      <c r="F290" s="30">
        <v>42947</v>
      </c>
    </row>
    <row r="291" spans="1:6" x14ac:dyDescent="0.3">
      <c r="A291" s="32" t="s">
        <v>1251</v>
      </c>
      <c r="B291">
        <v>-0.41930216999999997</v>
      </c>
      <c r="C291">
        <v>2.3405619440000001</v>
      </c>
      <c r="E291" s="29">
        <f t="shared" si="4"/>
        <v>-2.759864114</v>
      </c>
      <c r="F291" s="30">
        <v>42948</v>
      </c>
    </row>
    <row r="292" spans="1:6" x14ac:dyDescent="0.3">
      <c r="A292" s="32" t="s">
        <v>1252</v>
      </c>
      <c r="B292">
        <v>0.41572153000000001</v>
      </c>
      <c r="C292">
        <v>3.03060135</v>
      </c>
      <c r="E292" s="29">
        <f t="shared" si="4"/>
        <v>-2.6148798200000001</v>
      </c>
      <c r="F292" s="30">
        <v>42949</v>
      </c>
    </row>
    <row r="293" spans="1:6" x14ac:dyDescent="0.3">
      <c r="A293" s="32" t="s">
        <v>1253</v>
      </c>
      <c r="B293">
        <v>0.35541825999999999</v>
      </c>
      <c r="C293">
        <v>3.3312460499999998</v>
      </c>
      <c r="E293" s="29">
        <f t="shared" si="4"/>
        <v>-2.9758277899999999</v>
      </c>
      <c r="F293" s="30">
        <v>42950</v>
      </c>
    </row>
    <row r="294" spans="1:6" x14ac:dyDescent="0.3">
      <c r="A294" s="32" t="s">
        <v>1254</v>
      </c>
      <c r="B294">
        <v>2.09921245</v>
      </c>
      <c r="C294">
        <v>5.1522329969999996</v>
      </c>
      <c r="E294" s="29">
        <f t="shared" si="4"/>
        <v>-3.0530205469999996</v>
      </c>
      <c r="F294" s="30">
        <v>42951</v>
      </c>
    </row>
    <row r="295" spans="1:6" x14ac:dyDescent="0.3">
      <c r="A295" s="32" t="s">
        <v>1255</v>
      </c>
      <c r="B295">
        <v>2.0538264800000001</v>
      </c>
      <c r="C295">
        <v>6.4331399710000001</v>
      </c>
      <c r="E295" s="29">
        <f t="shared" si="4"/>
        <v>-4.3793134909999996</v>
      </c>
      <c r="F295" s="30">
        <v>42952</v>
      </c>
    </row>
    <row r="296" spans="1:6" x14ac:dyDescent="0.3">
      <c r="A296" s="32" t="s">
        <v>1256</v>
      </c>
      <c r="B296">
        <v>1.11033984</v>
      </c>
      <c r="C296">
        <v>7.3436338609999998</v>
      </c>
      <c r="E296" s="29">
        <f t="shared" si="4"/>
        <v>-6.2332940209999999</v>
      </c>
      <c r="F296" s="30">
        <v>42953</v>
      </c>
    </row>
    <row r="297" spans="1:6" x14ac:dyDescent="0.3">
      <c r="A297" s="32" t="s">
        <v>1257</v>
      </c>
      <c r="B297">
        <v>0.21239822</v>
      </c>
      <c r="C297">
        <v>7.4670406979999999</v>
      </c>
      <c r="E297" s="29">
        <f t="shared" si="4"/>
        <v>-7.2546424780000001</v>
      </c>
      <c r="F297" s="30">
        <v>42954</v>
      </c>
    </row>
    <row r="298" spans="1:6" x14ac:dyDescent="0.3">
      <c r="A298" s="32" t="s">
        <v>1258</v>
      </c>
      <c r="B298">
        <v>0.89370139999999998</v>
      </c>
      <c r="C298">
        <v>7.5543169749999999</v>
      </c>
      <c r="E298" s="29">
        <f t="shared" si="4"/>
        <v>-6.6606155749999996</v>
      </c>
      <c r="F298" s="30">
        <v>42955</v>
      </c>
    </row>
    <row r="299" spans="1:6" x14ac:dyDescent="0.3">
      <c r="A299" s="32" t="s">
        <v>1259</v>
      </c>
      <c r="B299">
        <v>2.4123493699999998</v>
      </c>
      <c r="C299">
        <v>6.889140501</v>
      </c>
      <c r="E299" s="29">
        <f t="shared" si="4"/>
        <v>-4.4767911310000006</v>
      </c>
      <c r="F299" s="30">
        <v>42956</v>
      </c>
    </row>
    <row r="300" spans="1:6" x14ac:dyDescent="0.3">
      <c r="A300" s="32" t="s">
        <v>1260</v>
      </c>
      <c r="B300">
        <v>3.2052259900000002</v>
      </c>
      <c r="C300">
        <v>5.6753518539999996</v>
      </c>
      <c r="E300" s="29">
        <f t="shared" si="4"/>
        <v>-2.4701258639999994</v>
      </c>
      <c r="F300" s="30">
        <v>42957</v>
      </c>
    </row>
    <row r="301" spans="1:6" x14ac:dyDescent="0.3">
      <c r="A301" s="32" t="s">
        <v>1261</v>
      </c>
      <c r="B301">
        <v>1.97545214</v>
      </c>
      <c r="C301">
        <v>3.8181202079999998</v>
      </c>
      <c r="E301" s="29">
        <f t="shared" si="4"/>
        <v>-1.8426680679999998</v>
      </c>
      <c r="F301" s="30">
        <v>42958</v>
      </c>
    </row>
    <row r="302" spans="1:6" x14ac:dyDescent="0.3">
      <c r="A302" s="32" t="s">
        <v>1262</v>
      </c>
      <c r="B302">
        <v>2.4722562300000002</v>
      </c>
      <c r="C302">
        <v>4.3117638229999997</v>
      </c>
      <c r="E302" s="29">
        <f t="shared" si="4"/>
        <v>-1.8395075929999996</v>
      </c>
      <c r="F302" s="30">
        <v>42959</v>
      </c>
    </row>
    <row r="303" spans="1:6" x14ac:dyDescent="0.3">
      <c r="A303" s="32" t="s">
        <v>1263</v>
      </c>
      <c r="B303">
        <v>2.4218175</v>
      </c>
      <c r="C303">
        <v>4.3369398659999998</v>
      </c>
      <c r="E303" s="29">
        <f t="shared" si="4"/>
        <v>-1.9151223659999999</v>
      </c>
      <c r="F303" s="30">
        <v>42960</v>
      </c>
    </row>
    <row r="304" spans="1:6" x14ac:dyDescent="0.3">
      <c r="A304" s="32" t="s">
        <v>1264</v>
      </c>
      <c r="B304">
        <v>2.7494744899999999</v>
      </c>
      <c r="C304">
        <v>4.5295305770000001</v>
      </c>
      <c r="E304" s="29">
        <f t="shared" si="4"/>
        <v>-1.7800560870000002</v>
      </c>
      <c r="F304" s="30">
        <v>42961</v>
      </c>
    </row>
    <row r="305" spans="1:6" x14ac:dyDescent="0.3">
      <c r="A305" s="32" t="s">
        <v>1265</v>
      </c>
      <c r="B305">
        <v>3.8277337</v>
      </c>
      <c r="C305">
        <v>5.5059912969999996</v>
      </c>
      <c r="E305" s="29">
        <f t="shared" si="4"/>
        <v>-1.6782575969999995</v>
      </c>
      <c r="F305" s="30">
        <v>42962</v>
      </c>
    </row>
    <row r="306" spans="1:6" x14ac:dyDescent="0.3">
      <c r="A306" s="32" t="s">
        <v>1266</v>
      </c>
      <c r="B306">
        <v>2.9392874999999998</v>
      </c>
      <c r="C306">
        <v>5.3211681979999996</v>
      </c>
      <c r="E306" s="29">
        <f t="shared" si="4"/>
        <v>-2.3818806979999998</v>
      </c>
      <c r="F306" s="30">
        <v>42963</v>
      </c>
    </row>
    <row r="307" spans="1:6" x14ac:dyDescent="0.3">
      <c r="A307" s="32" t="s">
        <v>1267</v>
      </c>
      <c r="B307">
        <v>3.2026884099999999</v>
      </c>
      <c r="C307">
        <v>5.6199171410000002</v>
      </c>
      <c r="E307" s="29">
        <f t="shared" si="4"/>
        <v>-2.4172287310000002</v>
      </c>
      <c r="F307" s="30">
        <v>42964</v>
      </c>
    </row>
    <row r="308" spans="1:6" x14ac:dyDescent="0.3">
      <c r="A308" s="32" t="s">
        <v>1268</v>
      </c>
      <c r="B308">
        <v>4.8202019600000003</v>
      </c>
      <c r="C308">
        <v>5.1586942029999996</v>
      </c>
      <c r="E308" s="29">
        <f t="shared" si="4"/>
        <v>-0.33849224299999925</v>
      </c>
      <c r="F308" s="30">
        <v>42965</v>
      </c>
    </row>
    <row r="309" spans="1:6" x14ac:dyDescent="0.3">
      <c r="A309" s="32" t="s">
        <v>1269</v>
      </c>
      <c r="B309">
        <v>5.3083330699999998</v>
      </c>
      <c r="C309">
        <v>4.7097259649999996</v>
      </c>
      <c r="E309" s="29">
        <f t="shared" si="4"/>
        <v>0.59860710500000014</v>
      </c>
      <c r="F309" s="30">
        <v>42966</v>
      </c>
    </row>
    <row r="310" spans="1:6" x14ac:dyDescent="0.3">
      <c r="A310" s="32" t="s">
        <v>1270</v>
      </c>
      <c r="B310">
        <v>6.5184241700000003</v>
      </c>
      <c r="C310">
        <v>3.351995794</v>
      </c>
      <c r="E310" s="29">
        <f t="shared" si="4"/>
        <v>3.1664283760000003</v>
      </c>
      <c r="F310" s="30">
        <v>42967</v>
      </c>
    </row>
    <row r="311" spans="1:6" x14ac:dyDescent="0.3">
      <c r="A311" s="32" t="s">
        <v>1271</v>
      </c>
      <c r="B311">
        <v>5.5873297600000003</v>
      </c>
      <c r="C311">
        <v>2.6026825690000002</v>
      </c>
      <c r="E311" s="29">
        <f t="shared" si="4"/>
        <v>2.9846471910000001</v>
      </c>
      <c r="F311" s="30">
        <v>42968</v>
      </c>
    </row>
    <row r="312" spans="1:6" x14ac:dyDescent="0.3">
      <c r="A312" s="32" t="s">
        <v>1272</v>
      </c>
      <c r="B312">
        <v>6.3217182899999997</v>
      </c>
      <c r="C312">
        <v>3.248821038</v>
      </c>
      <c r="E312" s="29">
        <f t="shared" si="4"/>
        <v>3.0728972519999997</v>
      </c>
      <c r="F312" s="30">
        <v>42969</v>
      </c>
    </row>
    <row r="313" spans="1:6" x14ac:dyDescent="0.3">
      <c r="A313" s="32" t="s">
        <v>1273</v>
      </c>
      <c r="B313">
        <v>4.6168273800000001</v>
      </c>
      <c r="C313">
        <v>2.8726268410000002</v>
      </c>
      <c r="E313" s="29">
        <f t="shared" si="4"/>
        <v>1.7442005389999999</v>
      </c>
      <c r="F313" s="30">
        <v>42970</v>
      </c>
    </row>
    <row r="314" spans="1:6" x14ac:dyDescent="0.3">
      <c r="A314" s="32" t="s">
        <v>1274</v>
      </c>
      <c r="B314">
        <v>5.6386872600000002</v>
      </c>
      <c r="C314">
        <v>3.7594274620000001</v>
      </c>
      <c r="E314" s="29">
        <f t="shared" si="4"/>
        <v>1.8792597980000001</v>
      </c>
      <c r="F314" s="30">
        <v>42971</v>
      </c>
    </row>
    <row r="315" spans="1:6" x14ac:dyDescent="0.3">
      <c r="A315" s="32" t="s">
        <v>1275</v>
      </c>
      <c r="B315">
        <v>7.2449095200000002</v>
      </c>
      <c r="C315">
        <v>3.6662181390000002</v>
      </c>
      <c r="E315" s="29">
        <f t="shared" si="4"/>
        <v>3.5786913810000001</v>
      </c>
      <c r="F315" s="30">
        <v>42972</v>
      </c>
    </row>
    <row r="316" spans="1:6" x14ac:dyDescent="0.3">
      <c r="A316" s="32" t="s">
        <v>1276</v>
      </c>
      <c r="B316">
        <v>6.9880472500000002</v>
      </c>
      <c r="C316">
        <v>4.3360340700000002</v>
      </c>
      <c r="E316" s="29">
        <f t="shared" si="4"/>
        <v>2.65201318</v>
      </c>
      <c r="F316" s="30">
        <v>42973</v>
      </c>
    </row>
    <row r="317" spans="1:6" x14ac:dyDescent="0.3">
      <c r="A317" s="32" t="s">
        <v>1277</v>
      </c>
      <c r="B317">
        <v>6.3269791099999999</v>
      </c>
      <c r="C317">
        <v>4.9699008229999997</v>
      </c>
      <c r="E317" s="29">
        <f t="shared" si="4"/>
        <v>1.3570782870000002</v>
      </c>
      <c r="F317" s="30">
        <v>42974</v>
      </c>
    </row>
    <row r="318" spans="1:6" x14ac:dyDescent="0.3">
      <c r="A318" s="32" t="s">
        <v>1278</v>
      </c>
      <c r="B318">
        <v>7.29583168</v>
      </c>
      <c r="C318">
        <v>2.2064243779999999</v>
      </c>
      <c r="E318" s="29">
        <f t="shared" si="4"/>
        <v>5.0894073019999997</v>
      </c>
      <c r="F318" s="30">
        <v>42975</v>
      </c>
    </row>
    <row r="319" spans="1:6" x14ac:dyDescent="0.3">
      <c r="A319" s="32" t="s">
        <v>1279</v>
      </c>
      <c r="B319">
        <v>7.9021882000000003</v>
      </c>
      <c r="C319">
        <v>2.1824253370000002</v>
      </c>
      <c r="E319" s="29">
        <f t="shared" si="4"/>
        <v>5.7197628629999997</v>
      </c>
      <c r="F319" s="30">
        <v>42976</v>
      </c>
    </row>
    <row r="320" spans="1:6" x14ac:dyDescent="0.3">
      <c r="A320" s="32" t="s">
        <v>1280</v>
      </c>
      <c r="B320">
        <v>7.3808107300000003</v>
      </c>
      <c r="C320">
        <v>2.697428296</v>
      </c>
      <c r="E320" s="29">
        <f t="shared" si="4"/>
        <v>4.6833824340000003</v>
      </c>
      <c r="F320" s="30">
        <v>42977</v>
      </c>
    </row>
    <row r="321" spans="1:6" x14ac:dyDescent="0.3">
      <c r="A321" s="32" t="s">
        <v>1281</v>
      </c>
      <c r="B321">
        <v>6.6575723399999998</v>
      </c>
      <c r="C321">
        <v>4.2790439070000001</v>
      </c>
      <c r="E321" s="29">
        <f t="shared" si="4"/>
        <v>2.3785284329999996</v>
      </c>
      <c r="F321" s="30">
        <v>42978</v>
      </c>
    </row>
    <row r="322" spans="1:6" x14ac:dyDescent="0.3">
      <c r="A322" s="32" t="s">
        <v>1282</v>
      </c>
      <c r="B322">
        <v>6.4344416200000003</v>
      </c>
      <c r="C322">
        <v>5.9422837030000002</v>
      </c>
      <c r="E322" s="29">
        <f t="shared" si="4"/>
        <v>0.49215791700000011</v>
      </c>
      <c r="F322" s="30">
        <v>42979</v>
      </c>
    </row>
    <row r="323" spans="1:6" x14ac:dyDescent="0.3">
      <c r="A323" s="32" t="s">
        <v>1283</v>
      </c>
      <c r="B323">
        <v>5.9789910900000001</v>
      </c>
      <c r="C323">
        <v>5.1530097709999998</v>
      </c>
      <c r="E323" s="29">
        <f t="shared" ref="E323:E331" si="5">B323-C323</f>
        <v>0.82598131900000027</v>
      </c>
      <c r="F323" s="30">
        <v>42980</v>
      </c>
    </row>
    <row r="324" spans="1:6" x14ac:dyDescent="0.3">
      <c r="A324" s="32" t="s">
        <v>1284</v>
      </c>
      <c r="B324">
        <v>6.7158779900000001</v>
      </c>
      <c r="C324">
        <v>5.5735491860000002</v>
      </c>
      <c r="E324" s="29">
        <f t="shared" si="5"/>
        <v>1.1423288039999999</v>
      </c>
      <c r="F324" s="30">
        <v>42981</v>
      </c>
    </row>
    <row r="325" spans="1:6" x14ac:dyDescent="0.3">
      <c r="A325" s="32" t="s">
        <v>1285</v>
      </c>
      <c r="B325">
        <v>7.1912495700000001</v>
      </c>
      <c r="C325">
        <v>3.4180491310000001</v>
      </c>
      <c r="E325" s="29">
        <f t="shared" si="5"/>
        <v>3.773200439</v>
      </c>
      <c r="F325" s="30">
        <v>42982</v>
      </c>
    </row>
    <row r="326" spans="1:6" x14ac:dyDescent="0.3">
      <c r="A326" s="32" t="s">
        <v>1286</v>
      </c>
      <c r="B326">
        <v>7.7806684500000003</v>
      </c>
      <c r="C326">
        <v>3.6211086720000001</v>
      </c>
      <c r="E326" s="29">
        <f t="shared" si="5"/>
        <v>4.1595597780000002</v>
      </c>
      <c r="F326" s="30">
        <v>42983</v>
      </c>
    </row>
    <row r="327" spans="1:6" x14ac:dyDescent="0.3">
      <c r="A327" s="32" t="s">
        <v>1287</v>
      </c>
      <c r="B327">
        <v>7.0518925100000001</v>
      </c>
      <c r="C327">
        <v>3.5560223350000002</v>
      </c>
      <c r="E327" s="29">
        <f t="shared" si="5"/>
        <v>3.4958701749999999</v>
      </c>
      <c r="F327" s="30">
        <v>42984</v>
      </c>
    </row>
    <row r="328" spans="1:6" x14ac:dyDescent="0.3">
      <c r="A328" s="32" t="s">
        <v>1288</v>
      </c>
      <c r="B328">
        <v>8.3483536199999993</v>
      </c>
      <c r="C328">
        <v>1.787663848</v>
      </c>
      <c r="E328" s="29">
        <f t="shared" si="5"/>
        <v>6.560689771999999</v>
      </c>
      <c r="F328" s="30">
        <v>42985</v>
      </c>
    </row>
    <row r="329" spans="1:6" x14ac:dyDescent="0.3">
      <c r="A329" s="32" t="s">
        <v>1289</v>
      </c>
      <c r="B329">
        <v>8.8627361800000006</v>
      </c>
      <c r="C329">
        <v>1.6406501899999999</v>
      </c>
      <c r="E329" s="29">
        <f t="shared" si="5"/>
        <v>7.222085990000001</v>
      </c>
      <c r="F329" s="30">
        <v>42986</v>
      </c>
    </row>
    <row r="330" spans="1:6" x14ac:dyDescent="0.3">
      <c r="A330" s="32" t="s">
        <v>1290</v>
      </c>
      <c r="B330">
        <v>8.5384260399999992</v>
      </c>
      <c r="C330">
        <v>1.890967367</v>
      </c>
      <c r="E330" s="29">
        <f t="shared" si="5"/>
        <v>6.6474586729999992</v>
      </c>
      <c r="F330" s="30">
        <v>42987</v>
      </c>
    </row>
    <row r="331" spans="1:6" x14ac:dyDescent="0.3">
      <c r="A331" s="32" t="s">
        <v>1291</v>
      </c>
      <c r="B331">
        <v>8.5120543299999998</v>
      </c>
      <c r="C331">
        <v>2.2348669719999998</v>
      </c>
      <c r="E331" s="29">
        <f t="shared" si="5"/>
        <v>6.2771873579999999</v>
      </c>
      <c r="F331" s="30">
        <v>42988</v>
      </c>
    </row>
    <row r="332" spans="1:6" x14ac:dyDescent="0.3">
      <c r="A332" s="29" t="s">
        <v>750</v>
      </c>
      <c r="F332" s="30"/>
    </row>
    <row r="333" spans="1:6" x14ac:dyDescent="0.3">
      <c r="A333" s="29" t="s">
        <v>751</v>
      </c>
      <c r="F333" s="30"/>
    </row>
    <row r="334" spans="1:6" x14ac:dyDescent="0.3">
      <c r="A334" s="29" t="s">
        <v>752</v>
      </c>
      <c r="F334" s="30"/>
    </row>
    <row r="335" spans="1:6" x14ac:dyDescent="0.3">
      <c r="A335" s="29" t="s">
        <v>753</v>
      </c>
      <c r="F335" s="30"/>
    </row>
    <row r="336" spans="1:6" x14ac:dyDescent="0.3">
      <c r="A336" s="29" t="s">
        <v>754</v>
      </c>
      <c r="F336" s="30"/>
    </row>
    <row r="337" spans="1:6" x14ac:dyDescent="0.3">
      <c r="A337" s="29" t="s">
        <v>755</v>
      </c>
      <c r="F337" s="30"/>
    </row>
    <row r="338" spans="1:6" x14ac:dyDescent="0.3">
      <c r="A338" s="29" t="s">
        <v>756</v>
      </c>
      <c r="F338" s="30"/>
    </row>
    <row r="339" spans="1:6" x14ac:dyDescent="0.3">
      <c r="A339" s="29" t="s">
        <v>757</v>
      </c>
      <c r="F339" s="30"/>
    </row>
    <row r="340" spans="1:6" x14ac:dyDescent="0.3">
      <c r="A340" s="29" t="s">
        <v>758</v>
      </c>
      <c r="F340" s="30"/>
    </row>
    <row r="341" spans="1:6" x14ac:dyDescent="0.3">
      <c r="A341" s="29" t="s">
        <v>759</v>
      </c>
      <c r="F341" s="30"/>
    </row>
    <row r="342" spans="1:6" x14ac:dyDescent="0.3">
      <c r="A342" s="29" t="s">
        <v>760</v>
      </c>
      <c r="F342" s="30"/>
    </row>
    <row r="343" spans="1:6" x14ac:dyDescent="0.3">
      <c r="A343" s="29" t="s">
        <v>761</v>
      </c>
      <c r="F343" s="30"/>
    </row>
    <row r="344" spans="1:6" x14ac:dyDescent="0.3">
      <c r="A344" s="29" t="s">
        <v>762</v>
      </c>
      <c r="F344" s="30"/>
    </row>
    <row r="345" spans="1:6" x14ac:dyDescent="0.3">
      <c r="A345" s="29" t="s">
        <v>763</v>
      </c>
      <c r="F345" s="30"/>
    </row>
    <row r="346" spans="1:6" x14ac:dyDescent="0.3">
      <c r="A346" s="29" t="s">
        <v>764</v>
      </c>
      <c r="F346" s="30"/>
    </row>
    <row r="347" spans="1:6" x14ac:dyDescent="0.3">
      <c r="A347" s="29" t="s">
        <v>765</v>
      </c>
      <c r="F347" s="30"/>
    </row>
    <row r="348" spans="1:6" x14ac:dyDescent="0.3">
      <c r="A348" s="29" t="s">
        <v>766</v>
      </c>
      <c r="F348" s="30"/>
    </row>
    <row r="349" spans="1:6" x14ac:dyDescent="0.3">
      <c r="A349" s="29" t="s">
        <v>767</v>
      </c>
      <c r="F349" s="30"/>
    </row>
    <row r="350" spans="1:6" x14ac:dyDescent="0.3">
      <c r="A350" s="29" t="s">
        <v>768</v>
      </c>
      <c r="F350" s="30"/>
    </row>
    <row r="351" spans="1:6" x14ac:dyDescent="0.3">
      <c r="A351" s="29" t="s">
        <v>769</v>
      </c>
      <c r="F351" s="30"/>
    </row>
    <row r="352" spans="1:6" x14ac:dyDescent="0.3">
      <c r="A352" s="29" t="s">
        <v>770</v>
      </c>
      <c r="F352" s="30"/>
    </row>
    <row r="353" spans="1:6" x14ac:dyDescent="0.3">
      <c r="A353" s="29" t="s">
        <v>771</v>
      </c>
      <c r="F353" s="30"/>
    </row>
    <row r="354" spans="1:6" x14ac:dyDescent="0.3">
      <c r="A354" s="29" t="s">
        <v>772</v>
      </c>
      <c r="F354" s="30"/>
    </row>
    <row r="355" spans="1:6" x14ac:dyDescent="0.3">
      <c r="A355" s="29" t="s">
        <v>773</v>
      </c>
      <c r="F355" s="30"/>
    </row>
    <row r="356" spans="1:6" x14ac:dyDescent="0.3">
      <c r="A356" s="29" t="s">
        <v>774</v>
      </c>
      <c r="F356" s="30"/>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3003AC-1E1C-446C-9AE5-B26884E8F51B}">
  <sheetPr codeName="Sheet10"/>
  <dimension ref="A1:F356"/>
  <sheetViews>
    <sheetView topLeftCell="A330" workbookViewId="0">
      <selection activeCell="I12" sqref="I12"/>
    </sheetView>
  </sheetViews>
  <sheetFormatPr defaultRowHeight="14.4" x14ac:dyDescent="0.3"/>
  <cols>
    <col min="1" max="1" width="37.21875" style="29" bestFit="1" customWidth="1"/>
    <col min="4" max="5" width="8.88671875" style="29"/>
    <col min="6" max="6" width="9.88671875" style="29" bestFit="1" customWidth="1"/>
    <col min="7" max="16384" width="8.88671875" style="29"/>
  </cols>
  <sheetData>
    <row r="1" spans="1:6" x14ac:dyDescent="0.3">
      <c r="A1" s="32"/>
      <c r="E1" s="29" t="s">
        <v>776</v>
      </c>
      <c r="F1" s="29" t="s">
        <v>775</v>
      </c>
    </row>
    <row r="2" spans="1:6" x14ac:dyDescent="0.3">
      <c r="A2" s="32" t="s">
        <v>1296</v>
      </c>
      <c r="B2">
        <v>2.2526130000000002</v>
      </c>
      <c r="C2">
        <v>12.456401</v>
      </c>
      <c r="E2" s="29">
        <f>B2-C2</f>
        <v>-10.203787999999999</v>
      </c>
      <c r="F2" s="30">
        <v>42659</v>
      </c>
    </row>
    <row r="3" spans="1:6" x14ac:dyDescent="0.3">
      <c r="A3" s="32" t="s">
        <v>1292</v>
      </c>
      <c r="B3">
        <v>3.1869930000000002</v>
      </c>
      <c r="C3">
        <v>11.505647</v>
      </c>
      <c r="E3" s="29">
        <f t="shared" ref="E3:E66" si="0">B3-C3</f>
        <v>-8.3186539999999987</v>
      </c>
      <c r="F3" s="30">
        <v>42660</v>
      </c>
    </row>
    <row r="4" spans="1:6" x14ac:dyDescent="0.3">
      <c r="A4" s="32" t="s">
        <v>1293</v>
      </c>
      <c r="B4">
        <v>3.9988649999999999</v>
      </c>
      <c r="C4">
        <v>10.695147</v>
      </c>
      <c r="E4" s="29">
        <f t="shared" si="0"/>
        <v>-6.6962820000000001</v>
      </c>
      <c r="F4" s="30">
        <v>42661</v>
      </c>
    </row>
    <row r="5" spans="1:6" x14ac:dyDescent="0.3">
      <c r="A5" s="32" t="s">
        <v>1294</v>
      </c>
      <c r="B5">
        <v>4.8670099999999996</v>
      </c>
      <c r="C5">
        <v>10.239311000000001</v>
      </c>
      <c r="E5" s="29">
        <f t="shared" si="0"/>
        <v>-5.3723010000000011</v>
      </c>
      <c r="F5" s="30">
        <v>42662</v>
      </c>
    </row>
    <row r="6" spans="1:6" x14ac:dyDescent="0.3">
      <c r="A6" s="32" t="s">
        <v>1295</v>
      </c>
      <c r="B6">
        <v>3.8145959999999999</v>
      </c>
      <c r="C6">
        <v>11.102455000000001</v>
      </c>
      <c r="E6" s="29">
        <f t="shared" si="0"/>
        <v>-7.287859000000001</v>
      </c>
      <c r="F6" s="30">
        <v>42663</v>
      </c>
    </row>
    <row r="7" spans="1:6" x14ac:dyDescent="0.3">
      <c r="A7" s="32" t="s">
        <v>1297</v>
      </c>
      <c r="B7">
        <v>2.9769000000000001</v>
      </c>
      <c r="C7">
        <v>11.052861</v>
      </c>
      <c r="E7" s="29">
        <f t="shared" si="0"/>
        <v>-8.0759609999999995</v>
      </c>
      <c r="F7" s="30">
        <v>42664</v>
      </c>
    </row>
    <row r="8" spans="1:6" x14ac:dyDescent="0.3">
      <c r="A8" s="32" t="s">
        <v>1298</v>
      </c>
      <c r="B8">
        <v>3.1158920000000001</v>
      </c>
      <c r="C8">
        <v>10.637551</v>
      </c>
      <c r="E8" s="29">
        <f t="shared" si="0"/>
        <v>-7.5216589999999997</v>
      </c>
      <c r="F8" s="30">
        <v>42665</v>
      </c>
    </row>
    <row r="9" spans="1:6" x14ac:dyDescent="0.3">
      <c r="A9" s="32" t="s">
        <v>1299</v>
      </c>
      <c r="B9">
        <v>2.630903</v>
      </c>
      <c r="C9">
        <v>11.184661</v>
      </c>
      <c r="E9" s="29">
        <f t="shared" si="0"/>
        <v>-8.5537580000000002</v>
      </c>
      <c r="F9" s="30">
        <v>42666</v>
      </c>
    </row>
    <row r="10" spans="1:6" x14ac:dyDescent="0.3">
      <c r="A10" s="32" t="s">
        <v>1300</v>
      </c>
      <c r="B10">
        <v>2.2774860000000001</v>
      </c>
      <c r="C10">
        <v>12.021298</v>
      </c>
      <c r="E10" s="29">
        <f t="shared" si="0"/>
        <v>-9.7438120000000001</v>
      </c>
      <c r="F10" s="30">
        <v>42667</v>
      </c>
    </row>
    <row r="11" spans="1:6" x14ac:dyDescent="0.3">
      <c r="A11" s="32" t="s">
        <v>1301</v>
      </c>
      <c r="B11">
        <v>1.97828</v>
      </c>
      <c r="C11">
        <v>11.398121</v>
      </c>
      <c r="E11" s="29">
        <f t="shared" si="0"/>
        <v>-9.4198409999999999</v>
      </c>
      <c r="F11" s="30">
        <v>42668</v>
      </c>
    </row>
    <row r="12" spans="1:6" x14ac:dyDescent="0.3">
      <c r="A12" s="32" t="s">
        <v>1302</v>
      </c>
      <c r="B12">
        <v>1.634379</v>
      </c>
      <c r="C12">
        <v>12.595696</v>
      </c>
      <c r="E12" s="29">
        <f t="shared" si="0"/>
        <v>-10.961317000000001</v>
      </c>
      <c r="F12" s="30">
        <v>42669</v>
      </c>
    </row>
    <row r="13" spans="1:6" x14ac:dyDescent="0.3">
      <c r="A13" s="32" t="s">
        <v>1303</v>
      </c>
      <c r="B13">
        <v>2.4571329999999998</v>
      </c>
      <c r="C13">
        <v>12.696797999999999</v>
      </c>
      <c r="E13" s="29">
        <f t="shared" si="0"/>
        <v>-10.239664999999999</v>
      </c>
      <c r="F13" s="30">
        <v>42670</v>
      </c>
    </row>
    <row r="14" spans="1:6" x14ac:dyDescent="0.3">
      <c r="A14" s="32" t="s">
        <v>1304</v>
      </c>
      <c r="B14">
        <v>3.9496280000000001</v>
      </c>
      <c r="C14">
        <v>13.329755</v>
      </c>
      <c r="E14" s="29">
        <f t="shared" si="0"/>
        <v>-9.3801269999999999</v>
      </c>
      <c r="F14" s="30">
        <v>42671</v>
      </c>
    </row>
    <row r="15" spans="1:6" x14ac:dyDescent="0.3">
      <c r="A15" s="32" t="s">
        <v>1305</v>
      </c>
      <c r="B15">
        <v>4.976648</v>
      </c>
      <c r="C15">
        <v>11.670605999999999</v>
      </c>
      <c r="E15" s="29">
        <f t="shared" si="0"/>
        <v>-6.6939579999999994</v>
      </c>
      <c r="F15" s="30">
        <v>42672</v>
      </c>
    </row>
    <row r="16" spans="1:6" x14ac:dyDescent="0.3">
      <c r="A16" s="32" t="s">
        <v>1306</v>
      </c>
      <c r="B16">
        <v>5.2329639999999999</v>
      </c>
      <c r="C16">
        <v>10.975318</v>
      </c>
      <c r="E16" s="29">
        <f t="shared" si="0"/>
        <v>-5.7423539999999997</v>
      </c>
      <c r="F16" s="30">
        <v>42673</v>
      </c>
    </row>
    <row r="17" spans="1:6" x14ac:dyDescent="0.3">
      <c r="A17" s="32" t="s">
        <v>1316</v>
      </c>
      <c r="B17">
        <v>4.7957039999999997</v>
      </c>
      <c r="C17">
        <v>12.229149</v>
      </c>
      <c r="E17" s="29">
        <f t="shared" si="0"/>
        <v>-7.4334449999999999</v>
      </c>
      <c r="F17" s="30">
        <v>42674</v>
      </c>
    </row>
    <row r="18" spans="1:6" x14ac:dyDescent="0.3">
      <c r="A18" s="32" t="s">
        <v>1317</v>
      </c>
      <c r="B18">
        <v>4.9848420000000004</v>
      </c>
      <c r="C18">
        <v>13.257289999999999</v>
      </c>
      <c r="E18" s="29">
        <f t="shared" si="0"/>
        <v>-8.2724479999999989</v>
      </c>
      <c r="F18" s="30">
        <v>42675</v>
      </c>
    </row>
    <row r="19" spans="1:6" x14ac:dyDescent="0.3">
      <c r="A19" s="32" t="s">
        <v>1318</v>
      </c>
      <c r="B19">
        <v>3.1274679999999999</v>
      </c>
      <c r="C19">
        <v>14.116063</v>
      </c>
      <c r="E19" s="29">
        <f t="shared" si="0"/>
        <v>-10.988595</v>
      </c>
      <c r="F19" s="30">
        <v>42676</v>
      </c>
    </row>
    <row r="20" spans="1:6" x14ac:dyDescent="0.3">
      <c r="A20" s="32" t="s">
        <v>1319</v>
      </c>
      <c r="B20">
        <v>1.7694319999999999</v>
      </c>
      <c r="C20">
        <v>15.138120000000001</v>
      </c>
      <c r="E20" s="29">
        <f t="shared" si="0"/>
        <v>-13.368688000000001</v>
      </c>
      <c r="F20" s="30">
        <v>42677</v>
      </c>
    </row>
    <row r="21" spans="1:6" x14ac:dyDescent="0.3">
      <c r="A21" s="32" t="s">
        <v>1320</v>
      </c>
      <c r="B21">
        <v>1.171068</v>
      </c>
      <c r="C21">
        <v>15.241167000000001</v>
      </c>
      <c r="E21" s="29">
        <f t="shared" si="0"/>
        <v>-14.070099000000001</v>
      </c>
      <c r="F21" s="30">
        <v>42678</v>
      </c>
    </row>
    <row r="22" spans="1:6" x14ac:dyDescent="0.3">
      <c r="A22" s="32" t="s">
        <v>1321</v>
      </c>
      <c r="B22">
        <v>1.2061599999999999</v>
      </c>
      <c r="C22">
        <v>14.890482</v>
      </c>
      <c r="E22" s="29">
        <f t="shared" si="0"/>
        <v>-13.684322</v>
      </c>
      <c r="F22" s="30">
        <v>42679</v>
      </c>
    </row>
    <row r="23" spans="1:6" x14ac:dyDescent="0.3">
      <c r="A23" s="32" t="s">
        <v>1322</v>
      </c>
      <c r="B23">
        <v>1.2116020000000001</v>
      </c>
      <c r="C23">
        <v>16.602257999999999</v>
      </c>
      <c r="E23" s="29">
        <f t="shared" si="0"/>
        <v>-15.390656</v>
      </c>
      <c r="F23" s="30">
        <v>42680</v>
      </c>
    </row>
    <row r="24" spans="1:6" x14ac:dyDescent="0.3">
      <c r="A24" s="32" t="s">
        <v>1323</v>
      </c>
      <c r="B24">
        <v>1.235995</v>
      </c>
      <c r="C24">
        <v>17.018744999999999</v>
      </c>
      <c r="E24" s="29">
        <f t="shared" si="0"/>
        <v>-15.78275</v>
      </c>
      <c r="F24" s="30">
        <v>42681</v>
      </c>
    </row>
    <row r="25" spans="1:6" x14ac:dyDescent="0.3">
      <c r="A25" s="32" t="s">
        <v>1324</v>
      </c>
      <c r="B25">
        <v>1.429986</v>
      </c>
      <c r="C25">
        <v>16.858018999999999</v>
      </c>
      <c r="E25" s="29">
        <f t="shared" si="0"/>
        <v>-15.428032999999999</v>
      </c>
      <c r="F25" s="30">
        <v>42682</v>
      </c>
    </row>
    <row r="26" spans="1:6" x14ac:dyDescent="0.3">
      <c r="A26" s="32" t="s">
        <v>1325</v>
      </c>
      <c r="B26">
        <v>1.1030949999999999</v>
      </c>
      <c r="C26">
        <v>14.80175</v>
      </c>
      <c r="E26" s="29">
        <f t="shared" si="0"/>
        <v>-13.698655</v>
      </c>
      <c r="F26" s="30">
        <v>42683</v>
      </c>
    </row>
    <row r="27" spans="1:6" x14ac:dyDescent="0.3">
      <c r="A27" s="32" t="s">
        <v>1326</v>
      </c>
      <c r="B27">
        <v>1.0995189999999999</v>
      </c>
      <c r="C27">
        <v>14.412698000000001</v>
      </c>
      <c r="E27" s="29">
        <f t="shared" si="0"/>
        <v>-13.313179000000002</v>
      </c>
      <c r="F27" s="30">
        <v>42684</v>
      </c>
    </row>
    <row r="28" spans="1:6" x14ac:dyDescent="0.3">
      <c r="A28" s="32" t="s">
        <v>1327</v>
      </c>
      <c r="B28">
        <v>0.50310100000000002</v>
      </c>
      <c r="C28">
        <v>14.930137999999999</v>
      </c>
      <c r="E28" s="29">
        <f t="shared" si="0"/>
        <v>-14.427036999999999</v>
      </c>
      <c r="F28" s="30">
        <v>42685</v>
      </c>
    </row>
    <row r="29" spans="1:6" x14ac:dyDescent="0.3">
      <c r="A29" s="32" t="s">
        <v>1328</v>
      </c>
      <c r="B29">
        <v>1.7202249999999999</v>
      </c>
      <c r="C29">
        <v>15.780559</v>
      </c>
      <c r="E29" s="29">
        <f t="shared" si="0"/>
        <v>-14.060334000000001</v>
      </c>
      <c r="F29" s="30">
        <v>42686</v>
      </c>
    </row>
    <row r="30" spans="1:6" x14ac:dyDescent="0.3">
      <c r="A30" s="32" t="s">
        <v>1329</v>
      </c>
      <c r="B30">
        <v>1.219581</v>
      </c>
      <c r="C30">
        <v>15.915931</v>
      </c>
      <c r="E30" s="29">
        <f t="shared" si="0"/>
        <v>-14.696350000000001</v>
      </c>
      <c r="F30" s="30">
        <v>42687</v>
      </c>
    </row>
    <row r="31" spans="1:6" x14ac:dyDescent="0.3">
      <c r="A31" s="32" t="s">
        <v>1330</v>
      </c>
      <c r="B31">
        <v>1.1868110000000001</v>
      </c>
      <c r="C31">
        <v>15.875719</v>
      </c>
      <c r="E31" s="29">
        <f t="shared" si="0"/>
        <v>-14.688908</v>
      </c>
      <c r="F31" s="30">
        <v>42688</v>
      </c>
    </row>
    <row r="32" spans="1:6" x14ac:dyDescent="0.3">
      <c r="A32" s="32" t="s">
        <v>1331</v>
      </c>
      <c r="B32">
        <v>-0.88537699999999997</v>
      </c>
      <c r="C32">
        <v>16.142833</v>
      </c>
      <c r="E32" s="29">
        <f t="shared" si="0"/>
        <v>-17.028209999999998</v>
      </c>
      <c r="F32" s="30">
        <v>42689</v>
      </c>
    </row>
    <row r="33" spans="1:6" x14ac:dyDescent="0.3">
      <c r="A33" s="32" t="s">
        <v>1332</v>
      </c>
      <c r="B33">
        <v>-0.88734299999999999</v>
      </c>
      <c r="C33">
        <v>15.696194999999999</v>
      </c>
      <c r="E33" s="29">
        <f t="shared" si="0"/>
        <v>-16.583538000000001</v>
      </c>
      <c r="F33" s="30">
        <v>42690</v>
      </c>
    </row>
    <row r="34" spans="1:6" x14ac:dyDescent="0.3">
      <c r="A34" s="32" t="s">
        <v>1333</v>
      </c>
      <c r="B34">
        <v>-1.2908029999999999</v>
      </c>
      <c r="C34">
        <v>15.492826000000001</v>
      </c>
      <c r="E34" s="29">
        <f t="shared" si="0"/>
        <v>-16.783629000000001</v>
      </c>
      <c r="F34" s="30">
        <v>42691</v>
      </c>
    </row>
    <row r="35" spans="1:6" x14ac:dyDescent="0.3">
      <c r="A35" s="32" t="s">
        <v>1334</v>
      </c>
      <c r="B35">
        <v>-2.5212020000000002</v>
      </c>
      <c r="C35">
        <v>14.310198</v>
      </c>
      <c r="E35" s="29">
        <f t="shared" si="0"/>
        <v>-16.831399999999999</v>
      </c>
      <c r="F35" s="30">
        <v>42692</v>
      </c>
    </row>
    <row r="36" spans="1:6" x14ac:dyDescent="0.3">
      <c r="A36" s="32" t="s">
        <v>1335</v>
      </c>
      <c r="B36">
        <v>-2.7685149999999998</v>
      </c>
      <c r="C36">
        <v>14.964091</v>
      </c>
      <c r="E36" s="29">
        <f t="shared" si="0"/>
        <v>-17.732606000000001</v>
      </c>
      <c r="F36" s="30">
        <v>42693</v>
      </c>
    </row>
    <row r="37" spans="1:6" x14ac:dyDescent="0.3">
      <c r="A37" s="32" t="s">
        <v>1336</v>
      </c>
      <c r="B37">
        <v>-1.97241</v>
      </c>
      <c r="C37">
        <v>14.811749000000001</v>
      </c>
      <c r="E37" s="29">
        <f t="shared" si="0"/>
        <v>-16.784159000000002</v>
      </c>
      <c r="F37" s="30">
        <v>42694</v>
      </c>
    </row>
    <row r="38" spans="1:6" x14ac:dyDescent="0.3">
      <c r="A38" s="32" t="s">
        <v>1337</v>
      </c>
      <c r="B38">
        <v>-2.7164929999999998</v>
      </c>
      <c r="C38">
        <v>15.796443</v>
      </c>
      <c r="E38" s="29">
        <f t="shared" si="0"/>
        <v>-18.512936</v>
      </c>
      <c r="F38" s="30">
        <v>42695</v>
      </c>
    </row>
    <row r="39" spans="1:6" x14ac:dyDescent="0.3">
      <c r="A39" s="32" t="s">
        <v>1338</v>
      </c>
      <c r="B39">
        <v>-3.5555210000000002</v>
      </c>
      <c r="C39">
        <v>15.208682</v>
      </c>
      <c r="E39" s="29">
        <f t="shared" si="0"/>
        <v>-18.764202999999998</v>
      </c>
      <c r="F39" s="30">
        <v>42696</v>
      </c>
    </row>
    <row r="40" spans="1:6" x14ac:dyDescent="0.3">
      <c r="A40" s="32" t="s">
        <v>1339</v>
      </c>
      <c r="B40">
        <v>-3.0192519999999998</v>
      </c>
      <c r="C40">
        <v>16.200702</v>
      </c>
      <c r="E40" s="29">
        <f t="shared" si="0"/>
        <v>-19.219954000000001</v>
      </c>
      <c r="F40" s="30">
        <v>42697</v>
      </c>
    </row>
    <row r="41" spans="1:6" x14ac:dyDescent="0.3">
      <c r="A41" s="32" t="s">
        <v>1340</v>
      </c>
      <c r="B41">
        <v>-2.311982</v>
      </c>
      <c r="C41">
        <v>17.062660000000001</v>
      </c>
      <c r="E41" s="29">
        <f t="shared" si="0"/>
        <v>-19.374642000000001</v>
      </c>
      <c r="F41" s="30">
        <v>42698</v>
      </c>
    </row>
    <row r="42" spans="1:6" x14ac:dyDescent="0.3">
      <c r="A42" s="32" t="s">
        <v>1341</v>
      </c>
      <c r="B42">
        <v>-2.916569</v>
      </c>
      <c r="C42">
        <v>15.979754</v>
      </c>
      <c r="E42" s="29">
        <f t="shared" si="0"/>
        <v>-18.896322999999999</v>
      </c>
      <c r="F42" s="30">
        <v>42699</v>
      </c>
    </row>
    <row r="43" spans="1:6" x14ac:dyDescent="0.3">
      <c r="A43" s="32" t="s">
        <v>1342</v>
      </c>
      <c r="B43">
        <v>-1.668911</v>
      </c>
      <c r="C43">
        <v>16.771252</v>
      </c>
      <c r="E43" s="29">
        <f t="shared" si="0"/>
        <v>-18.440163000000002</v>
      </c>
      <c r="F43" s="30">
        <v>42700</v>
      </c>
    </row>
    <row r="44" spans="1:6" x14ac:dyDescent="0.3">
      <c r="A44" s="32" t="s">
        <v>1343</v>
      </c>
      <c r="B44">
        <v>-0.58941600000000005</v>
      </c>
      <c r="C44">
        <v>17.402555</v>
      </c>
      <c r="E44" s="29">
        <f t="shared" si="0"/>
        <v>-17.991970999999999</v>
      </c>
      <c r="F44" s="30">
        <v>42701</v>
      </c>
    </row>
    <row r="45" spans="1:6" x14ac:dyDescent="0.3">
      <c r="A45" s="32" t="s">
        <v>1344</v>
      </c>
      <c r="B45">
        <v>-1.4249890000000001</v>
      </c>
      <c r="C45">
        <v>18.808958000000001</v>
      </c>
      <c r="E45" s="29">
        <f t="shared" si="0"/>
        <v>-20.233947000000001</v>
      </c>
      <c r="F45" s="30">
        <v>42702</v>
      </c>
    </row>
    <row r="46" spans="1:6" x14ac:dyDescent="0.3">
      <c r="A46" s="32" t="s">
        <v>1345</v>
      </c>
      <c r="B46">
        <v>-2.0049299999999999</v>
      </c>
      <c r="C46">
        <v>19.419471000000001</v>
      </c>
      <c r="E46" s="29">
        <f t="shared" si="0"/>
        <v>-21.424401000000003</v>
      </c>
      <c r="F46" s="30">
        <v>42703</v>
      </c>
    </row>
    <row r="47" spans="1:6" x14ac:dyDescent="0.3">
      <c r="A47" s="32" t="s">
        <v>1346</v>
      </c>
      <c r="B47">
        <v>-0.32779199999999997</v>
      </c>
      <c r="C47">
        <v>18.848375000000001</v>
      </c>
      <c r="E47" s="29">
        <f t="shared" si="0"/>
        <v>-19.176167</v>
      </c>
      <c r="F47" s="30">
        <v>42704</v>
      </c>
    </row>
    <row r="48" spans="1:6" x14ac:dyDescent="0.3">
      <c r="A48" s="32" t="s">
        <v>1347</v>
      </c>
      <c r="B48">
        <v>-1.256931</v>
      </c>
      <c r="C48">
        <v>19.848770999999999</v>
      </c>
      <c r="E48" s="29">
        <f t="shared" si="0"/>
        <v>-21.105702000000001</v>
      </c>
      <c r="F48" s="30">
        <v>42705</v>
      </c>
    </row>
    <row r="49" spans="1:6" x14ac:dyDescent="0.3">
      <c r="A49" s="32" t="s">
        <v>1348</v>
      </c>
      <c r="B49">
        <v>0.838391</v>
      </c>
      <c r="C49">
        <v>21.173624</v>
      </c>
      <c r="E49" s="29">
        <f t="shared" si="0"/>
        <v>-20.335232999999999</v>
      </c>
      <c r="F49" s="30">
        <v>42706</v>
      </c>
    </row>
    <row r="50" spans="1:6" x14ac:dyDescent="0.3">
      <c r="A50" s="32" t="s">
        <v>1349</v>
      </c>
      <c r="B50">
        <v>-4.9609E-2</v>
      </c>
      <c r="C50">
        <v>23.031925000000001</v>
      </c>
      <c r="E50" s="29">
        <f t="shared" si="0"/>
        <v>-23.081534000000001</v>
      </c>
      <c r="F50" s="30">
        <v>42707</v>
      </c>
    </row>
    <row r="51" spans="1:6" x14ac:dyDescent="0.3">
      <c r="A51" s="32" t="s">
        <v>1350</v>
      </c>
      <c r="B51">
        <v>-0.97616499999999995</v>
      </c>
      <c r="C51">
        <v>24.746974999999999</v>
      </c>
      <c r="E51" s="29">
        <f t="shared" si="0"/>
        <v>-25.723140000000001</v>
      </c>
      <c r="F51" s="30">
        <v>42708</v>
      </c>
    </row>
    <row r="52" spans="1:6" x14ac:dyDescent="0.3">
      <c r="A52" s="32" t="s">
        <v>1351</v>
      </c>
      <c r="B52">
        <v>-0.618892</v>
      </c>
      <c r="C52">
        <v>24.699221999999999</v>
      </c>
      <c r="E52" s="29">
        <f t="shared" si="0"/>
        <v>-25.318113999999998</v>
      </c>
      <c r="F52" s="30">
        <v>42709</v>
      </c>
    </row>
    <row r="53" spans="1:6" x14ac:dyDescent="0.3">
      <c r="A53" s="32" t="s">
        <v>1352</v>
      </c>
      <c r="B53">
        <v>-0.55249599999999999</v>
      </c>
      <c r="C53">
        <v>24.312932</v>
      </c>
      <c r="E53" s="29">
        <f t="shared" si="0"/>
        <v>-24.865428000000001</v>
      </c>
      <c r="F53" s="30">
        <v>42710</v>
      </c>
    </row>
    <row r="54" spans="1:6" x14ac:dyDescent="0.3">
      <c r="A54" s="32" t="s">
        <v>1353</v>
      </c>
      <c r="B54">
        <v>1.9515999999999999E-2</v>
      </c>
      <c r="C54">
        <v>23.684350999999999</v>
      </c>
      <c r="E54" s="29">
        <f t="shared" si="0"/>
        <v>-23.664835</v>
      </c>
      <c r="F54" s="30">
        <v>42711</v>
      </c>
    </row>
    <row r="55" spans="1:6" x14ac:dyDescent="0.3">
      <c r="A55" s="32" t="s">
        <v>1354</v>
      </c>
      <c r="B55">
        <v>0.11615300000000001</v>
      </c>
      <c r="C55">
        <v>25.014344000000001</v>
      </c>
      <c r="E55" s="29">
        <f t="shared" si="0"/>
        <v>-24.898191000000001</v>
      </c>
      <c r="F55" s="30">
        <v>42712</v>
      </c>
    </row>
    <row r="56" spans="1:6" x14ac:dyDescent="0.3">
      <c r="A56" s="32" t="s">
        <v>1355</v>
      </c>
      <c r="B56">
        <v>-0.89594099999999999</v>
      </c>
      <c r="C56">
        <v>27.073184000000001</v>
      </c>
      <c r="E56" s="29">
        <f t="shared" si="0"/>
        <v>-27.969125000000002</v>
      </c>
      <c r="F56" s="30">
        <v>42713</v>
      </c>
    </row>
    <row r="57" spans="1:6" x14ac:dyDescent="0.3">
      <c r="A57" s="32" t="s">
        <v>1356</v>
      </c>
      <c r="B57">
        <v>-1.5622529999999999</v>
      </c>
      <c r="C57">
        <v>25.934481999999999</v>
      </c>
      <c r="E57" s="29">
        <f t="shared" si="0"/>
        <v>-27.496734999999997</v>
      </c>
      <c r="F57" s="30">
        <v>42714</v>
      </c>
    </row>
    <row r="58" spans="1:6" x14ac:dyDescent="0.3">
      <c r="A58" s="32" t="s">
        <v>1357</v>
      </c>
      <c r="B58">
        <v>-0.14404500000000001</v>
      </c>
      <c r="C58">
        <v>26.474924000000001</v>
      </c>
      <c r="E58" s="29">
        <f t="shared" si="0"/>
        <v>-26.618969</v>
      </c>
      <c r="F58" s="30">
        <v>42715</v>
      </c>
    </row>
    <row r="59" spans="1:6" x14ac:dyDescent="0.3">
      <c r="A59" s="32" t="s">
        <v>1358</v>
      </c>
      <c r="B59">
        <v>-0.60747600000000002</v>
      </c>
      <c r="C59">
        <v>27.518034</v>
      </c>
      <c r="E59" s="29">
        <f t="shared" si="0"/>
        <v>-28.125509999999998</v>
      </c>
      <c r="F59" s="30">
        <v>42716</v>
      </c>
    </row>
    <row r="60" spans="1:6" x14ac:dyDescent="0.3">
      <c r="A60" s="32" t="s">
        <v>1359</v>
      </c>
      <c r="B60">
        <v>-0.135267</v>
      </c>
      <c r="C60">
        <v>27.654779000000001</v>
      </c>
      <c r="E60" s="29">
        <f t="shared" si="0"/>
        <v>-27.790046</v>
      </c>
      <c r="F60" s="30">
        <v>42717</v>
      </c>
    </row>
    <row r="61" spans="1:6" x14ac:dyDescent="0.3">
      <c r="A61" s="32" t="s">
        <v>1360</v>
      </c>
      <c r="B61">
        <v>-1.0661</v>
      </c>
      <c r="C61">
        <v>28.225328000000001</v>
      </c>
      <c r="E61" s="29">
        <f t="shared" si="0"/>
        <v>-29.291428</v>
      </c>
      <c r="F61" s="30">
        <v>42718</v>
      </c>
    </row>
    <row r="62" spans="1:6" x14ac:dyDescent="0.3">
      <c r="A62" s="32" t="s">
        <v>1361</v>
      </c>
      <c r="B62">
        <v>-1.115056</v>
      </c>
      <c r="C62">
        <v>29.228992000000002</v>
      </c>
      <c r="E62" s="29">
        <f t="shared" si="0"/>
        <v>-30.344048000000001</v>
      </c>
      <c r="F62" s="30">
        <v>42719</v>
      </c>
    </row>
    <row r="63" spans="1:6" x14ac:dyDescent="0.3">
      <c r="A63" s="32" t="s">
        <v>1362</v>
      </c>
      <c r="B63">
        <v>-3.7971999999999999E-2</v>
      </c>
      <c r="C63">
        <v>28.466225999999999</v>
      </c>
      <c r="E63" s="29">
        <f t="shared" si="0"/>
        <v>-28.504197999999999</v>
      </c>
      <c r="F63" s="30">
        <v>42720</v>
      </c>
    </row>
    <row r="64" spans="1:6" x14ac:dyDescent="0.3">
      <c r="A64" s="32" t="s">
        <v>1363</v>
      </c>
      <c r="B64">
        <v>-0.99172199999999999</v>
      </c>
      <c r="C64">
        <v>29.758602</v>
      </c>
      <c r="E64" s="29">
        <f t="shared" si="0"/>
        <v>-30.750323999999999</v>
      </c>
      <c r="F64" s="30">
        <v>42721</v>
      </c>
    </row>
    <row r="65" spans="1:6" x14ac:dyDescent="0.3">
      <c r="A65" s="32" t="s">
        <v>1364</v>
      </c>
      <c r="B65">
        <v>-0.47300999999999999</v>
      </c>
      <c r="C65">
        <v>30.963526000000002</v>
      </c>
      <c r="E65" s="29">
        <f t="shared" si="0"/>
        <v>-31.436536</v>
      </c>
      <c r="F65" s="30">
        <v>42722</v>
      </c>
    </row>
    <row r="66" spans="1:6" x14ac:dyDescent="0.3">
      <c r="A66" s="32" t="s">
        <v>1365</v>
      </c>
      <c r="B66">
        <v>-1.3990929999999999</v>
      </c>
      <c r="C66">
        <v>31.486101999999999</v>
      </c>
      <c r="E66" s="29">
        <f t="shared" si="0"/>
        <v>-32.885194999999996</v>
      </c>
      <c r="F66" s="30">
        <v>42723</v>
      </c>
    </row>
    <row r="67" spans="1:6" x14ac:dyDescent="0.3">
      <c r="A67" s="32" t="s">
        <v>1366</v>
      </c>
      <c r="B67">
        <v>-1.048611</v>
      </c>
      <c r="C67">
        <v>33.076627999999999</v>
      </c>
      <c r="E67" s="29">
        <f t="shared" ref="E67:E130" si="1">B67-C67</f>
        <v>-34.125239000000001</v>
      </c>
      <c r="F67" s="30">
        <v>42724</v>
      </c>
    </row>
    <row r="68" spans="1:6" x14ac:dyDescent="0.3">
      <c r="A68" s="32" t="s">
        <v>1367</v>
      </c>
      <c r="B68">
        <v>-1.38547</v>
      </c>
      <c r="C68">
        <v>35.705388999999997</v>
      </c>
      <c r="E68" s="29">
        <f t="shared" si="1"/>
        <v>-37.090858999999995</v>
      </c>
      <c r="F68" s="30">
        <v>42725</v>
      </c>
    </row>
    <row r="69" spans="1:6" x14ac:dyDescent="0.3">
      <c r="A69" s="32" t="s">
        <v>1368</v>
      </c>
      <c r="B69">
        <v>-1.8990720000000001</v>
      </c>
      <c r="C69">
        <v>34.512334000000003</v>
      </c>
      <c r="E69" s="29">
        <f t="shared" si="1"/>
        <v>-36.411405999999999</v>
      </c>
      <c r="F69" s="30">
        <v>42726</v>
      </c>
    </row>
    <row r="70" spans="1:6" x14ac:dyDescent="0.3">
      <c r="A70" s="32" t="s">
        <v>1369</v>
      </c>
      <c r="B70">
        <v>-2.6881949999999999</v>
      </c>
      <c r="C70">
        <v>35.054631000000001</v>
      </c>
      <c r="E70" s="29">
        <f t="shared" si="1"/>
        <v>-37.742826000000001</v>
      </c>
      <c r="F70" s="30">
        <v>42727</v>
      </c>
    </row>
    <row r="71" spans="1:6" x14ac:dyDescent="0.3">
      <c r="A71" s="32" t="s">
        <v>1370</v>
      </c>
      <c r="B71">
        <v>-1.9869300000000001</v>
      </c>
      <c r="C71">
        <v>35.580865000000003</v>
      </c>
      <c r="E71" s="29">
        <f t="shared" si="1"/>
        <v>-37.567795000000004</v>
      </c>
      <c r="F71" s="30">
        <v>42728</v>
      </c>
    </row>
    <row r="72" spans="1:6" x14ac:dyDescent="0.3">
      <c r="A72" s="32" t="s">
        <v>1371</v>
      </c>
      <c r="B72">
        <v>-1.7215780000000001</v>
      </c>
      <c r="C72">
        <v>35.907532000000003</v>
      </c>
      <c r="E72" s="29">
        <f t="shared" si="1"/>
        <v>-37.629110000000004</v>
      </c>
      <c r="F72" s="30">
        <v>42729</v>
      </c>
    </row>
    <row r="73" spans="1:6" x14ac:dyDescent="0.3">
      <c r="A73" s="32" t="s">
        <v>1372</v>
      </c>
      <c r="B73">
        <v>6.5697000000000005E-2</v>
      </c>
      <c r="C73">
        <v>36.757798999999999</v>
      </c>
      <c r="E73" s="29">
        <f t="shared" si="1"/>
        <v>-36.692101999999998</v>
      </c>
      <c r="F73" s="30">
        <v>42730</v>
      </c>
    </row>
    <row r="74" spans="1:6" x14ac:dyDescent="0.3">
      <c r="A74" s="32" t="s">
        <v>1373</v>
      </c>
      <c r="B74">
        <v>-0.13378899999999999</v>
      </c>
      <c r="C74">
        <v>36.345793999999998</v>
      </c>
      <c r="E74" s="29">
        <f t="shared" si="1"/>
        <v>-36.479582999999998</v>
      </c>
      <c r="F74" s="30">
        <v>42731</v>
      </c>
    </row>
    <row r="75" spans="1:6" x14ac:dyDescent="0.3">
      <c r="A75" s="32" t="s">
        <v>1374</v>
      </c>
      <c r="B75">
        <v>-0.95713400000000004</v>
      </c>
      <c r="C75">
        <v>36.761778</v>
      </c>
      <c r="E75" s="29">
        <f t="shared" si="1"/>
        <v>-37.718912000000003</v>
      </c>
      <c r="F75" s="30">
        <v>42732</v>
      </c>
    </row>
    <row r="76" spans="1:6" x14ac:dyDescent="0.3">
      <c r="A76" s="32" t="s">
        <v>1375</v>
      </c>
      <c r="B76">
        <v>-0.96808700000000003</v>
      </c>
      <c r="C76">
        <v>36.633752999999999</v>
      </c>
      <c r="E76" s="29">
        <f t="shared" si="1"/>
        <v>-37.601839999999996</v>
      </c>
      <c r="F76" s="30">
        <v>42733</v>
      </c>
    </row>
    <row r="77" spans="1:6" x14ac:dyDescent="0.3">
      <c r="A77" s="32" t="s">
        <v>1376</v>
      </c>
      <c r="B77">
        <v>-1.4587030000000001</v>
      </c>
      <c r="C77">
        <v>34.369582999999999</v>
      </c>
      <c r="E77" s="29">
        <f t="shared" si="1"/>
        <v>-35.828285999999999</v>
      </c>
      <c r="F77" s="30">
        <v>42734</v>
      </c>
    </row>
    <row r="78" spans="1:6" x14ac:dyDescent="0.3">
      <c r="A78" s="32" t="s">
        <v>1377</v>
      </c>
      <c r="B78">
        <v>-8.2986000000000004E-2</v>
      </c>
      <c r="C78">
        <v>33.791293000000003</v>
      </c>
      <c r="E78" s="29">
        <f t="shared" si="1"/>
        <v>-33.874279000000001</v>
      </c>
      <c r="F78" s="30">
        <v>42735</v>
      </c>
    </row>
    <row r="79" spans="1:6" x14ac:dyDescent="0.3">
      <c r="A79" s="32" t="s">
        <v>1378</v>
      </c>
      <c r="B79">
        <v>-1.2294069999999999</v>
      </c>
      <c r="C79">
        <v>32.990684000000002</v>
      </c>
      <c r="E79" s="29">
        <f t="shared" si="1"/>
        <v>-34.220091000000004</v>
      </c>
      <c r="F79" s="30">
        <v>42736</v>
      </c>
    </row>
    <row r="80" spans="1:6" x14ac:dyDescent="0.3">
      <c r="A80" s="32" t="s">
        <v>1379</v>
      </c>
      <c r="B80">
        <v>-1.7463310000000001</v>
      </c>
      <c r="C80">
        <v>31.793984999999999</v>
      </c>
      <c r="E80" s="29">
        <f t="shared" si="1"/>
        <v>-33.540315999999997</v>
      </c>
      <c r="F80" s="30">
        <v>42737</v>
      </c>
    </row>
    <row r="81" spans="1:6" x14ac:dyDescent="0.3">
      <c r="A81" s="32" t="s">
        <v>1380</v>
      </c>
      <c r="B81">
        <v>-2.5724710000000002</v>
      </c>
      <c r="C81">
        <v>30.873674999999999</v>
      </c>
      <c r="E81" s="29">
        <f t="shared" si="1"/>
        <v>-33.446145999999999</v>
      </c>
      <c r="F81" s="30">
        <v>42738</v>
      </c>
    </row>
    <row r="82" spans="1:6" x14ac:dyDescent="0.3">
      <c r="A82" s="32" t="s">
        <v>1381</v>
      </c>
      <c r="B82">
        <v>-1.98421</v>
      </c>
      <c r="C82">
        <v>32.716540000000002</v>
      </c>
      <c r="E82" s="29">
        <f t="shared" si="1"/>
        <v>-34.700749999999999</v>
      </c>
      <c r="F82" s="30">
        <v>42739</v>
      </c>
    </row>
    <row r="83" spans="1:6" x14ac:dyDescent="0.3">
      <c r="A83" s="32" t="s">
        <v>1382</v>
      </c>
      <c r="B83">
        <v>-0.92889600000000005</v>
      </c>
      <c r="C83">
        <v>32.069304000000002</v>
      </c>
      <c r="E83" s="29">
        <f t="shared" si="1"/>
        <v>-32.998200000000004</v>
      </c>
      <c r="F83" s="30">
        <v>42740</v>
      </c>
    </row>
    <row r="84" spans="1:6" x14ac:dyDescent="0.3">
      <c r="A84" s="32" t="s">
        <v>1383</v>
      </c>
      <c r="B84">
        <v>-2.0953059999999999</v>
      </c>
      <c r="C84">
        <v>33.372850999999997</v>
      </c>
      <c r="E84" s="29">
        <f t="shared" si="1"/>
        <v>-35.468156999999998</v>
      </c>
      <c r="F84" s="30">
        <v>42741</v>
      </c>
    </row>
    <row r="85" spans="1:6" x14ac:dyDescent="0.3">
      <c r="A85" s="32" t="s">
        <v>1384</v>
      </c>
      <c r="B85">
        <v>-1.976456</v>
      </c>
      <c r="C85">
        <v>32.541606000000002</v>
      </c>
      <c r="E85" s="29">
        <f t="shared" si="1"/>
        <v>-34.518062</v>
      </c>
      <c r="F85" s="30">
        <v>42742</v>
      </c>
    </row>
    <row r="86" spans="1:6" x14ac:dyDescent="0.3">
      <c r="A86" s="32" t="s">
        <v>1385</v>
      </c>
      <c r="B86">
        <v>-1.357451</v>
      </c>
      <c r="C86">
        <v>34.712434999999999</v>
      </c>
      <c r="E86" s="29">
        <f t="shared" si="1"/>
        <v>-36.069885999999997</v>
      </c>
      <c r="F86" s="30">
        <v>42743</v>
      </c>
    </row>
    <row r="87" spans="1:6" x14ac:dyDescent="0.3">
      <c r="A87" s="32" t="s">
        <v>1386</v>
      </c>
      <c r="B87">
        <v>0.23909900000000001</v>
      </c>
      <c r="C87">
        <v>33.119559000000002</v>
      </c>
      <c r="E87" s="29">
        <f t="shared" si="1"/>
        <v>-32.880459999999999</v>
      </c>
      <c r="F87" s="30">
        <v>42744</v>
      </c>
    </row>
    <row r="88" spans="1:6" x14ac:dyDescent="0.3">
      <c r="A88" s="32" t="s">
        <v>1387</v>
      </c>
      <c r="B88">
        <v>-1.0862350000000001</v>
      </c>
      <c r="C88">
        <v>32.391215000000003</v>
      </c>
      <c r="E88" s="29">
        <f t="shared" si="1"/>
        <v>-33.477450000000005</v>
      </c>
      <c r="F88" s="30">
        <v>42745</v>
      </c>
    </row>
    <row r="89" spans="1:6" x14ac:dyDescent="0.3">
      <c r="A89" s="32" t="s">
        <v>1388</v>
      </c>
      <c r="B89">
        <v>-2.633705</v>
      </c>
      <c r="C89">
        <v>32.502729000000002</v>
      </c>
      <c r="E89" s="29">
        <f t="shared" si="1"/>
        <v>-35.136434000000001</v>
      </c>
      <c r="F89" s="30">
        <v>42746</v>
      </c>
    </row>
    <row r="90" spans="1:6" x14ac:dyDescent="0.3">
      <c r="A90" s="32" t="s">
        <v>1389</v>
      </c>
      <c r="B90">
        <v>-2.1088300000000002</v>
      </c>
      <c r="C90">
        <v>30.718533999999998</v>
      </c>
      <c r="E90" s="29">
        <f t="shared" si="1"/>
        <v>-32.827363999999996</v>
      </c>
      <c r="F90" s="30">
        <v>42747</v>
      </c>
    </row>
    <row r="91" spans="1:6" x14ac:dyDescent="0.3">
      <c r="A91" s="32" t="s">
        <v>1390</v>
      </c>
      <c r="B91">
        <v>-0.85597400000000001</v>
      </c>
      <c r="C91">
        <v>32.093890000000002</v>
      </c>
      <c r="E91" s="29">
        <f t="shared" si="1"/>
        <v>-32.949864000000005</v>
      </c>
      <c r="F91" s="30">
        <v>42748</v>
      </c>
    </row>
    <row r="92" spans="1:6" x14ac:dyDescent="0.3">
      <c r="A92" s="32" t="s">
        <v>1391</v>
      </c>
      <c r="B92">
        <v>-2.3831289999999998</v>
      </c>
      <c r="C92">
        <v>31.568769</v>
      </c>
      <c r="E92" s="29">
        <f t="shared" si="1"/>
        <v>-33.951898</v>
      </c>
      <c r="F92" s="30">
        <v>42749</v>
      </c>
    </row>
    <row r="93" spans="1:6" x14ac:dyDescent="0.3">
      <c r="A93" s="32" t="s">
        <v>1392</v>
      </c>
      <c r="B93">
        <v>-2.2860149999999999</v>
      </c>
      <c r="C93">
        <v>32.603011000000002</v>
      </c>
      <c r="E93" s="29">
        <f t="shared" si="1"/>
        <v>-34.889026000000001</v>
      </c>
      <c r="F93" s="30">
        <v>42750</v>
      </c>
    </row>
    <row r="94" spans="1:6" x14ac:dyDescent="0.3">
      <c r="A94" s="32" t="s">
        <v>1393</v>
      </c>
      <c r="B94">
        <v>-2.5911529999999998</v>
      </c>
      <c r="C94">
        <v>31.465537999999999</v>
      </c>
      <c r="E94" s="29">
        <f t="shared" si="1"/>
        <v>-34.056691000000001</v>
      </c>
      <c r="F94" s="30">
        <v>42751</v>
      </c>
    </row>
    <row r="95" spans="1:6" x14ac:dyDescent="0.3">
      <c r="A95" s="32" t="s">
        <v>1394</v>
      </c>
      <c r="B95">
        <v>-3.9536630000000001</v>
      </c>
      <c r="C95">
        <v>31.640467999999998</v>
      </c>
      <c r="E95" s="29">
        <f t="shared" si="1"/>
        <v>-35.594130999999997</v>
      </c>
      <c r="F95" s="30">
        <v>42752</v>
      </c>
    </row>
    <row r="96" spans="1:6" x14ac:dyDescent="0.3">
      <c r="A96" s="32" t="s">
        <v>1395</v>
      </c>
      <c r="B96">
        <v>-1.4630620000000001</v>
      </c>
      <c r="C96">
        <v>31.490966</v>
      </c>
      <c r="E96" s="29">
        <f t="shared" si="1"/>
        <v>-32.954028000000001</v>
      </c>
      <c r="F96" s="30">
        <v>42753</v>
      </c>
    </row>
    <row r="97" spans="1:6" x14ac:dyDescent="0.3">
      <c r="A97" s="32" t="s">
        <v>1396</v>
      </c>
      <c r="B97">
        <v>-1.471733</v>
      </c>
      <c r="C97">
        <v>32.287278000000001</v>
      </c>
      <c r="E97" s="29">
        <f t="shared" si="1"/>
        <v>-33.759011000000001</v>
      </c>
      <c r="F97" s="30">
        <v>42754</v>
      </c>
    </row>
    <row r="98" spans="1:6" x14ac:dyDescent="0.3">
      <c r="A98" s="32" t="s">
        <v>1397</v>
      </c>
      <c r="B98">
        <v>-1.1534519999999999</v>
      </c>
      <c r="C98">
        <v>31.103202</v>
      </c>
      <c r="E98" s="29">
        <f t="shared" si="1"/>
        <v>-32.256653999999997</v>
      </c>
      <c r="F98" s="30">
        <v>42755</v>
      </c>
    </row>
    <row r="99" spans="1:6" x14ac:dyDescent="0.3">
      <c r="A99" s="32" t="s">
        <v>1398</v>
      </c>
      <c r="B99">
        <v>-0.404221</v>
      </c>
      <c r="C99">
        <v>30.431771999999999</v>
      </c>
      <c r="E99" s="29">
        <f t="shared" si="1"/>
        <v>-30.835992999999998</v>
      </c>
      <c r="F99" s="30">
        <v>42756</v>
      </c>
    </row>
    <row r="100" spans="1:6" x14ac:dyDescent="0.3">
      <c r="A100" s="32" t="s">
        <v>1399</v>
      </c>
      <c r="B100">
        <v>-0.94268300000000005</v>
      </c>
      <c r="C100">
        <v>31.008447</v>
      </c>
      <c r="E100" s="29">
        <f t="shared" si="1"/>
        <v>-31.951129999999999</v>
      </c>
      <c r="F100" s="30">
        <v>42757</v>
      </c>
    </row>
    <row r="101" spans="1:6" x14ac:dyDescent="0.3">
      <c r="A101" s="32" t="s">
        <v>1400</v>
      </c>
      <c r="B101">
        <v>-0.23861199999999999</v>
      </c>
      <c r="C101">
        <v>31.275410999999998</v>
      </c>
      <c r="E101" s="29">
        <f t="shared" si="1"/>
        <v>-31.514022999999998</v>
      </c>
      <c r="F101" s="30">
        <v>42758</v>
      </c>
    </row>
    <row r="102" spans="1:6" x14ac:dyDescent="0.3">
      <c r="A102" s="32" t="s">
        <v>1401</v>
      </c>
      <c r="B102">
        <v>1.400377</v>
      </c>
      <c r="C102">
        <v>32.845519000000003</v>
      </c>
      <c r="E102" s="29">
        <f t="shared" si="1"/>
        <v>-31.445142000000004</v>
      </c>
      <c r="F102" s="30">
        <v>42759</v>
      </c>
    </row>
    <row r="103" spans="1:6" x14ac:dyDescent="0.3">
      <c r="A103" s="32" t="s">
        <v>1402</v>
      </c>
      <c r="B103">
        <v>0.94935800000000004</v>
      </c>
      <c r="C103">
        <v>30.823998</v>
      </c>
      <c r="E103" s="29">
        <f t="shared" si="1"/>
        <v>-29.874639999999999</v>
      </c>
      <c r="F103" s="30">
        <v>42760</v>
      </c>
    </row>
    <row r="104" spans="1:6" x14ac:dyDescent="0.3">
      <c r="A104" s="32" t="s">
        <v>1403</v>
      </c>
      <c r="B104">
        <v>1.3729789999999999</v>
      </c>
      <c r="C104">
        <v>31.074041000000001</v>
      </c>
      <c r="E104" s="29">
        <f t="shared" si="1"/>
        <v>-29.701062</v>
      </c>
      <c r="F104" s="30">
        <v>42761</v>
      </c>
    </row>
    <row r="105" spans="1:6" x14ac:dyDescent="0.3">
      <c r="A105" s="32" t="s">
        <v>1404</v>
      </c>
      <c r="B105">
        <v>1.768203</v>
      </c>
      <c r="C105">
        <v>30.866824000000001</v>
      </c>
      <c r="E105" s="29">
        <f t="shared" si="1"/>
        <v>-29.098621000000001</v>
      </c>
      <c r="F105" s="30">
        <v>42762</v>
      </c>
    </row>
    <row r="106" spans="1:6" x14ac:dyDescent="0.3">
      <c r="A106" s="32" t="s">
        <v>1405</v>
      </c>
      <c r="B106">
        <v>1.749814</v>
      </c>
      <c r="C106">
        <v>29.917190000000002</v>
      </c>
      <c r="E106" s="29">
        <f t="shared" si="1"/>
        <v>-28.167376000000001</v>
      </c>
      <c r="F106" s="30">
        <v>42763</v>
      </c>
    </row>
    <row r="107" spans="1:6" x14ac:dyDescent="0.3">
      <c r="A107" s="32" t="s">
        <v>1406</v>
      </c>
      <c r="B107">
        <v>1.0277369999999999</v>
      </c>
      <c r="C107">
        <v>30.052675000000001</v>
      </c>
      <c r="E107" s="29">
        <f t="shared" si="1"/>
        <v>-29.024938000000002</v>
      </c>
      <c r="F107" s="30">
        <v>42764</v>
      </c>
    </row>
    <row r="108" spans="1:6" x14ac:dyDescent="0.3">
      <c r="A108" s="32" t="s">
        <v>1407</v>
      </c>
      <c r="B108">
        <v>0.80178700000000003</v>
      </c>
      <c r="C108">
        <v>28.433554999999998</v>
      </c>
      <c r="E108" s="29">
        <f t="shared" si="1"/>
        <v>-27.631767999999997</v>
      </c>
      <c r="F108" s="30">
        <v>42765</v>
      </c>
    </row>
    <row r="109" spans="1:6" x14ac:dyDescent="0.3">
      <c r="A109" s="32" t="s">
        <v>1408</v>
      </c>
      <c r="B109">
        <v>1.9030940000000001</v>
      </c>
      <c r="C109">
        <v>28.870867000000001</v>
      </c>
      <c r="E109" s="29">
        <f t="shared" si="1"/>
        <v>-26.967773000000001</v>
      </c>
      <c r="F109" s="30">
        <v>42766</v>
      </c>
    </row>
    <row r="110" spans="1:6" x14ac:dyDescent="0.3">
      <c r="A110" s="32" t="s">
        <v>1409</v>
      </c>
      <c r="B110">
        <v>1.8412470000000001</v>
      </c>
      <c r="C110">
        <v>29.647258999999998</v>
      </c>
      <c r="E110" s="29">
        <f t="shared" si="1"/>
        <v>-27.806011999999999</v>
      </c>
      <c r="F110" s="30">
        <v>42767</v>
      </c>
    </row>
    <row r="111" spans="1:6" x14ac:dyDescent="0.3">
      <c r="A111" s="32" t="s">
        <v>1410</v>
      </c>
      <c r="B111">
        <v>2.0740669999999999</v>
      </c>
      <c r="C111">
        <v>30.310601999999999</v>
      </c>
      <c r="E111" s="29">
        <f t="shared" si="1"/>
        <v>-28.236535</v>
      </c>
      <c r="F111" s="30">
        <v>42768</v>
      </c>
    </row>
    <row r="112" spans="1:6" x14ac:dyDescent="0.3">
      <c r="A112" s="32" t="s">
        <v>1411</v>
      </c>
      <c r="B112">
        <v>1.8538289999999999</v>
      </c>
      <c r="C112">
        <v>31.011718999999999</v>
      </c>
      <c r="E112" s="29">
        <f t="shared" si="1"/>
        <v>-29.157889999999998</v>
      </c>
      <c r="F112" s="30">
        <v>42769</v>
      </c>
    </row>
    <row r="113" spans="1:6" x14ac:dyDescent="0.3">
      <c r="A113" s="32" t="s">
        <v>1412</v>
      </c>
      <c r="B113">
        <v>1.33327</v>
      </c>
      <c r="C113">
        <v>30.351777999999999</v>
      </c>
      <c r="E113" s="29">
        <f t="shared" si="1"/>
        <v>-29.018508000000001</v>
      </c>
      <c r="F113" s="30">
        <v>42770</v>
      </c>
    </row>
    <row r="114" spans="1:6" x14ac:dyDescent="0.3">
      <c r="A114" s="32" t="s">
        <v>1413</v>
      </c>
      <c r="B114">
        <v>3.6966070000000002</v>
      </c>
      <c r="C114">
        <v>30.686679999999999</v>
      </c>
      <c r="E114" s="29">
        <f t="shared" si="1"/>
        <v>-26.990072999999999</v>
      </c>
      <c r="F114" s="30">
        <v>42771</v>
      </c>
    </row>
    <row r="115" spans="1:6" x14ac:dyDescent="0.3">
      <c r="A115" s="32" t="s">
        <v>1414</v>
      </c>
      <c r="B115">
        <v>4.6198750000000004</v>
      </c>
      <c r="C115">
        <v>30.458918000000001</v>
      </c>
      <c r="E115" s="29">
        <f t="shared" si="1"/>
        <v>-25.839043</v>
      </c>
      <c r="F115" s="30">
        <v>42772</v>
      </c>
    </row>
    <row r="116" spans="1:6" x14ac:dyDescent="0.3">
      <c r="A116" s="32" t="s">
        <v>1415</v>
      </c>
      <c r="B116">
        <v>3.3606639999999999</v>
      </c>
      <c r="C116">
        <v>29.437351</v>
      </c>
      <c r="E116" s="29">
        <f t="shared" si="1"/>
        <v>-26.076687</v>
      </c>
      <c r="F116" s="30">
        <v>42773</v>
      </c>
    </row>
    <row r="117" spans="1:6" x14ac:dyDescent="0.3">
      <c r="A117" s="32" t="s">
        <v>1416</v>
      </c>
      <c r="B117">
        <v>4.1738429999999997</v>
      </c>
      <c r="C117">
        <v>29.603812000000001</v>
      </c>
      <c r="E117" s="29">
        <f t="shared" si="1"/>
        <v>-25.429969</v>
      </c>
      <c r="F117" s="30">
        <v>42774</v>
      </c>
    </row>
    <row r="118" spans="1:6" x14ac:dyDescent="0.3">
      <c r="A118" s="32" t="s">
        <v>1417</v>
      </c>
      <c r="B118">
        <v>4.3848320000000003</v>
      </c>
      <c r="C118">
        <v>31.789548</v>
      </c>
      <c r="E118" s="29">
        <f t="shared" si="1"/>
        <v>-27.404716000000001</v>
      </c>
      <c r="F118" s="30">
        <v>42775</v>
      </c>
    </row>
    <row r="119" spans="1:6" x14ac:dyDescent="0.3">
      <c r="A119" s="32" t="s">
        <v>1418</v>
      </c>
      <c r="B119">
        <v>5.5170269999999997</v>
      </c>
      <c r="C119">
        <v>33.175249999999998</v>
      </c>
      <c r="E119" s="29">
        <f t="shared" si="1"/>
        <v>-27.658223</v>
      </c>
      <c r="F119" s="30">
        <v>42776</v>
      </c>
    </row>
    <row r="120" spans="1:6" x14ac:dyDescent="0.3">
      <c r="A120" s="32" t="s">
        <v>1419</v>
      </c>
      <c r="B120">
        <v>5.3810399999999996</v>
      </c>
      <c r="C120">
        <v>32.127490999999999</v>
      </c>
      <c r="E120" s="29">
        <f t="shared" si="1"/>
        <v>-26.746451</v>
      </c>
      <c r="F120" s="30">
        <v>42777</v>
      </c>
    </row>
    <row r="121" spans="1:6" x14ac:dyDescent="0.3">
      <c r="A121" s="32" t="s">
        <v>1420</v>
      </c>
      <c r="B121">
        <v>3.0056880000000001</v>
      </c>
      <c r="C121">
        <v>31.780498000000001</v>
      </c>
      <c r="E121" s="29">
        <f t="shared" si="1"/>
        <v>-28.774810000000002</v>
      </c>
      <c r="F121" s="30">
        <v>42778</v>
      </c>
    </row>
    <row r="122" spans="1:6" x14ac:dyDescent="0.3">
      <c r="A122" s="32" t="s">
        <v>1421</v>
      </c>
      <c r="B122">
        <v>1.8727149999999999</v>
      </c>
      <c r="C122">
        <v>34.197820999999998</v>
      </c>
      <c r="E122" s="29">
        <f t="shared" si="1"/>
        <v>-32.325105999999998</v>
      </c>
      <c r="F122" s="30">
        <v>42779</v>
      </c>
    </row>
    <row r="123" spans="1:6" x14ac:dyDescent="0.3">
      <c r="A123" s="32" t="s">
        <v>1422</v>
      </c>
      <c r="B123">
        <v>2.4775299999999998</v>
      </c>
      <c r="C123">
        <v>33.343739999999997</v>
      </c>
      <c r="E123" s="29">
        <f t="shared" si="1"/>
        <v>-30.866209999999995</v>
      </c>
      <c r="F123" s="30">
        <v>42780</v>
      </c>
    </row>
    <row r="124" spans="1:6" x14ac:dyDescent="0.3">
      <c r="A124" s="32" t="s">
        <v>1423</v>
      </c>
      <c r="B124">
        <v>1.7629429999999999</v>
      </c>
      <c r="C124">
        <v>33.867443999999999</v>
      </c>
      <c r="E124" s="29">
        <f t="shared" si="1"/>
        <v>-32.104500999999999</v>
      </c>
      <c r="F124" s="30">
        <v>42781</v>
      </c>
    </row>
    <row r="125" spans="1:6" x14ac:dyDescent="0.3">
      <c r="A125" s="32" t="s">
        <v>1424</v>
      </c>
      <c r="B125">
        <v>1.1246689999999999</v>
      </c>
      <c r="C125">
        <v>34.073723000000001</v>
      </c>
      <c r="E125" s="29">
        <f t="shared" si="1"/>
        <v>-32.949054000000004</v>
      </c>
      <c r="F125" s="30">
        <v>42782</v>
      </c>
    </row>
    <row r="126" spans="1:6" x14ac:dyDescent="0.3">
      <c r="A126" s="32" t="s">
        <v>1425</v>
      </c>
      <c r="B126">
        <v>3.0703999999999998</v>
      </c>
      <c r="C126">
        <v>33.83905</v>
      </c>
      <c r="E126" s="29">
        <f t="shared" si="1"/>
        <v>-30.768650000000001</v>
      </c>
      <c r="F126" s="30">
        <v>42783</v>
      </c>
    </row>
    <row r="127" spans="1:6" x14ac:dyDescent="0.3">
      <c r="A127" s="32" t="s">
        <v>1426</v>
      </c>
      <c r="B127">
        <v>3.6650870000000002</v>
      </c>
      <c r="C127">
        <v>32.628993999999999</v>
      </c>
      <c r="E127" s="29">
        <f t="shared" si="1"/>
        <v>-28.963906999999999</v>
      </c>
      <c r="F127" s="30">
        <v>42784</v>
      </c>
    </row>
    <row r="128" spans="1:6" x14ac:dyDescent="0.3">
      <c r="A128" s="32" t="s">
        <v>1427</v>
      </c>
      <c r="B128">
        <v>4.503997</v>
      </c>
      <c r="C128">
        <v>33.387898999999997</v>
      </c>
      <c r="E128" s="29">
        <f t="shared" si="1"/>
        <v>-28.883901999999999</v>
      </c>
      <c r="F128" s="30">
        <v>42785</v>
      </c>
    </row>
    <row r="129" spans="1:6" x14ac:dyDescent="0.3">
      <c r="A129" s="32" t="s">
        <v>1428</v>
      </c>
      <c r="B129">
        <v>4.4934479999999999</v>
      </c>
      <c r="C129">
        <v>34.103966</v>
      </c>
      <c r="E129" s="29">
        <f t="shared" si="1"/>
        <v>-29.610517999999999</v>
      </c>
      <c r="F129" s="30">
        <v>42786</v>
      </c>
    </row>
    <row r="130" spans="1:6" x14ac:dyDescent="0.3">
      <c r="A130" s="32" t="s">
        <v>1429</v>
      </c>
      <c r="B130">
        <v>4.5803890000000003</v>
      </c>
      <c r="C130">
        <v>32.881903000000001</v>
      </c>
      <c r="E130" s="29">
        <f t="shared" si="1"/>
        <v>-28.301514000000001</v>
      </c>
      <c r="F130" s="30">
        <v>42787</v>
      </c>
    </row>
    <row r="131" spans="1:6" x14ac:dyDescent="0.3">
      <c r="A131" s="32" t="s">
        <v>1430</v>
      </c>
      <c r="B131">
        <v>5.7059740000000003</v>
      </c>
      <c r="C131">
        <v>34.129012000000003</v>
      </c>
      <c r="E131" s="29">
        <f t="shared" ref="E131:E194" si="2">B131-C131</f>
        <v>-28.423038000000002</v>
      </c>
      <c r="F131" s="30">
        <v>42788</v>
      </c>
    </row>
    <row r="132" spans="1:6" x14ac:dyDescent="0.3">
      <c r="A132" s="32" t="s">
        <v>1431</v>
      </c>
      <c r="B132">
        <v>5.7930039999999998</v>
      </c>
      <c r="C132">
        <v>35.028246000000003</v>
      </c>
      <c r="E132" s="29">
        <f t="shared" si="2"/>
        <v>-29.235242000000003</v>
      </c>
      <c r="F132" s="30">
        <v>42789</v>
      </c>
    </row>
    <row r="133" spans="1:6" x14ac:dyDescent="0.3">
      <c r="A133" s="32" t="s">
        <v>1432</v>
      </c>
      <c r="B133">
        <v>3.520499</v>
      </c>
      <c r="C133">
        <v>34.085906999999999</v>
      </c>
      <c r="E133" s="29">
        <f t="shared" si="2"/>
        <v>-30.565407999999998</v>
      </c>
      <c r="F133" s="30">
        <v>42790</v>
      </c>
    </row>
    <row r="134" spans="1:6" x14ac:dyDescent="0.3">
      <c r="A134" s="32" t="s">
        <v>1433</v>
      </c>
      <c r="B134">
        <v>2.2606030000000001</v>
      </c>
      <c r="C134">
        <v>35.770960000000002</v>
      </c>
      <c r="E134" s="29">
        <f t="shared" si="2"/>
        <v>-33.510356999999999</v>
      </c>
      <c r="F134" s="30">
        <v>42791</v>
      </c>
    </row>
    <row r="135" spans="1:6" x14ac:dyDescent="0.3">
      <c r="A135" s="32" t="s">
        <v>1434</v>
      </c>
      <c r="B135">
        <v>0.65715800000000002</v>
      </c>
      <c r="C135">
        <v>35.610554999999998</v>
      </c>
      <c r="E135" s="29">
        <f t="shared" si="2"/>
        <v>-34.953396999999995</v>
      </c>
      <c r="F135" s="30">
        <v>42792</v>
      </c>
    </row>
    <row r="136" spans="1:6" x14ac:dyDescent="0.3">
      <c r="A136" s="32" t="s">
        <v>1435</v>
      </c>
      <c r="B136">
        <v>1.905057</v>
      </c>
      <c r="C136">
        <v>35.413702999999998</v>
      </c>
      <c r="E136" s="29">
        <f t="shared" si="2"/>
        <v>-33.508645999999999</v>
      </c>
      <c r="F136" s="30">
        <v>42793</v>
      </c>
    </row>
    <row r="137" spans="1:6" x14ac:dyDescent="0.3">
      <c r="A137" s="32" t="s">
        <v>1436</v>
      </c>
      <c r="B137">
        <v>3.600222</v>
      </c>
      <c r="C137">
        <v>34.472138000000001</v>
      </c>
      <c r="E137" s="29">
        <f t="shared" si="2"/>
        <v>-30.871916000000002</v>
      </c>
      <c r="F137" s="30">
        <v>42794</v>
      </c>
    </row>
    <row r="138" spans="1:6" x14ac:dyDescent="0.3">
      <c r="A138" s="32" t="s">
        <v>1437</v>
      </c>
      <c r="B138">
        <v>3.221746</v>
      </c>
      <c r="C138">
        <v>34.259321</v>
      </c>
      <c r="E138" s="29">
        <f t="shared" si="2"/>
        <v>-31.037575</v>
      </c>
      <c r="F138" s="30">
        <v>42795</v>
      </c>
    </row>
    <row r="139" spans="1:6" x14ac:dyDescent="0.3">
      <c r="A139" s="32" t="s">
        <v>1438</v>
      </c>
      <c r="B139">
        <v>1.227382</v>
      </c>
      <c r="C139">
        <v>33.973165000000002</v>
      </c>
      <c r="E139" s="29">
        <f t="shared" si="2"/>
        <v>-32.745783000000003</v>
      </c>
      <c r="F139" s="30">
        <v>42796</v>
      </c>
    </row>
    <row r="140" spans="1:6" x14ac:dyDescent="0.3">
      <c r="A140" s="32" t="s">
        <v>1439</v>
      </c>
      <c r="B140">
        <v>4.4422000000000003E-2</v>
      </c>
      <c r="C140">
        <v>34.540030999999999</v>
      </c>
      <c r="E140" s="29">
        <f t="shared" si="2"/>
        <v>-34.495609000000002</v>
      </c>
      <c r="F140" s="30">
        <v>42797</v>
      </c>
    </row>
    <row r="141" spans="1:6" x14ac:dyDescent="0.3">
      <c r="A141" s="32" t="s">
        <v>1440</v>
      </c>
      <c r="B141">
        <v>-0.59692000000000001</v>
      </c>
      <c r="C141">
        <v>36.368637</v>
      </c>
      <c r="E141" s="29">
        <f t="shared" si="2"/>
        <v>-36.965556999999997</v>
      </c>
      <c r="F141" s="30">
        <v>42798</v>
      </c>
    </row>
    <row r="142" spans="1:6" x14ac:dyDescent="0.3">
      <c r="A142" s="32" t="s">
        <v>1441</v>
      </c>
      <c r="B142">
        <v>-1.6220540000000001</v>
      </c>
      <c r="C142">
        <v>36.759889000000001</v>
      </c>
      <c r="E142" s="29">
        <f t="shared" si="2"/>
        <v>-38.381943</v>
      </c>
      <c r="F142" s="30">
        <v>42799</v>
      </c>
    </row>
    <row r="143" spans="1:6" x14ac:dyDescent="0.3">
      <c r="A143" s="32" t="s">
        <v>1442</v>
      </c>
      <c r="B143">
        <v>-1.189643</v>
      </c>
      <c r="C143">
        <v>36.851131000000002</v>
      </c>
      <c r="E143" s="29">
        <f t="shared" si="2"/>
        <v>-38.040773999999999</v>
      </c>
      <c r="F143" s="30">
        <v>42800</v>
      </c>
    </row>
    <row r="144" spans="1:6" x14ac:dyDescent="0.3">
      <c r="A144" s="32" t="s">
        <v>1443</v>
      </c>
      <c r="B144">
        <v>-2.8770349999999998</v>
      </c>
      <c r="C144">
        <v>37.749091</v>
      </c>
      <c r="E144" s="29">
        <f t="shared" si="2"/>
        <v>-40.626125999999999</v>
      </c>
      <c r="F144" s="30">
        <v>42801</v>
      </c>
    </row>
    <row r="145" spans="1:6" x14ac:dyDescent="0.3">
      <c r="A145" s="32" t="s">
        <v>1444</v>
      </c>
      <c r="B145">
        <v>-2.4462280000000001</v>
      </c>
      <c r="C145">
        <v>36.209474999999998</v>
      </c>
      <c r="E145" s="29">
        <f t="shared" si="2"/>
        <v>-38.655702999999995</v>
      </c>
      <c r="F145" s="30">
        <v>42802</v>
      </c>
    </row>
    <row r="146" spans="1:6" x14ac:dyDescent="0.3">
      <c r="A146" s="32" t="s">
        <v>1445</v>
      </c>
      <c r="B146">
        <v>-2.842883</v>
      </c>
      <c r="C146">
        <v>37.437655999999997</v>
      </c>
      <c r="E146" s="29">
        <f t="shared" si="2"/>
        <v>-40.280538999999997</v>
      </c>
      <c r="F146" s="30">
        <v>42803</v>
      </c>
    </row>
    <row r="147" spans="1:6" x14ac:dyDescent="0.3">
      <c r="A147" s="32" t="s">
        <v>1446</v>
      </c>
      <c r="B147">
        <v>-3.9469470000000002</v>
      </c>
      <c r="C147">
        <v>36.928714999999997</v>
      </c>
      <c r="E147" s="29">
        <f t="shared" si="2"/>
        <v>-40.875661999999998</v>
      </c>
      <c r="F147" s="30">
        <v>42804</v>
      </c>
    </row>
    <row r="148" spans="1:6" x14ac:dyDescent="0.3">
      <c r="A148" s="32" t="s">
        <v>1447</v>
      </c>
      <c r="B148">
        <v>-5.4041680000000003</v>
      </c>
      <c r="C148">
        <v>37.023145</v>
      </c>
      <c r="E148" s="29">
        <f t="shared" si="2"/>
        <v>-42.427312999999998</v>
      </c>
      <c r="F148" s="30">
        <v>42805</v>
      </c>
    </row>
    <row r="149" spans="1:6" x14ac:dyDescent="0.3">
      <c r="A149" s="32" t="s">
        <v>1448</v>
      </c>
      <c r="B149">
        <v>-5.460661</v>
      </c>
      <c r="C149">
        <v>36.775467999999996</v>
      </c>
      <c r="E149" s="29">
        <f t="shared" si="2"/>
        <v>-42.236128999999998</v>
      </c>
      <c r="F149" s="30">
        <v>42806</v>
      </c>
    </row>
    <row r="150" spans="1:6" x14ac:dyDescent="0.3">
      <c r="A150" s="32" t="s">
        <v>1449</v>
      </c>
      <c r="B150">
        <v>-7.2170009999999998</v>
      </c>
      <c r="C150">
        <v>37.719963</v>
      </c>
      <c r="E150" s="29">
        <f t="shared" si="2"/>
        <v>-44.936964000000003</v>
      </c>
      <c r="F150" s="30">
        <v>42807</v>
      </c>
    </row>
    <row r="151" spans="1:6" x14ac:dyDescent="0.3">
      <c r="A151" s="32" t="s">
        <v>1450</v>
      </c>
      <c r="B151">
        <v>-5.6948629999999998</v>
      </c>
      <c r="C151">
        <v>38.355156999999998</v>
      </c>
      <c r="E151" s="29">
        <f t="shared" si="2"/>
        <v>-44.050019999999996</v>
      </c>
      <c r="F151" s="30">
        <v>42808</v>
      </c>
    </row>
    <row r="152" spans="1:6" x14ac:dyDescent="0.3">
      <c r="A152" s="32" t="s">
        <v>1451</v>
      </c>
      <c r="B152">
        <v>-5.1005820000000002</v>
      </c>
      <c r="C152">
        <v>39.234910999999997</v>
      </c>
      <c r="E152" s="29">
        <f t="shared" si="2"/>
        <v>-44.335493</v>
      </c>
      <c r="F152" s="30">
        <v>42809</v>
      </c>
    </row>
    <row r="153" spans="1:6" x14ac:dyDescent="0.3">
      <c r="A153" s="32" t="s">
        <v>1452</v>
      </c>
      <c r="B153">
        <v>-3.453068</v>
      </c>
      <c r="C153">
        <v>40.836008999999997</v>
      </c>
      <c r="E153" s="29">
        <f t="shared" si="2"/>
        <v>-44.289076999999999</v>
      </c>
      <c r="F153" s="30">
        <v>42810</v>
      </c>
    </row>
    <row r="154" spans="1:6" x14ac:dyDescent="0.3">
      <c r="A154" s="32" t="s">
        <v>1453</v>
      </c>
      <c r="B154">
        <v>-2.1360260000000002</v>
      </c>
      <c r="C154">
        <v>42.030351000000003</v>
      </c>
      <c r="E154" s="29">
        <f t="shared" si="2"/>
        <v>-44.166377000000004</v>
      </c>
      <c r="F154" s="30">
        <v>42811</v>
      </c>
    </row>
    <row r="155" spans="1:6" x14ac:dyDescent="0.3">
      <c r="A155" s="32" t="s">
        <v>1454</v>
      </c>
      <c r="B155">
        <v>-0.99929900000000005</v>
      </c>
      <c r="C155">
        <v>42.720300000000002</v>
      </c>
      <c r="E155" s="29">
        <f t="shared" si="2"/>
        <v>-43.719599000000002</v>
      </c>
      <c r="F155" s="30">
        <v>42812</v>
      </c>
    </row>
    <row r="156" spans="1:6" x14ac:dyDescent="0.3">
      <c r="A156" s="32" t="s">
        <v>1455</v>
      </c>
      <c r="B156">
        <v>0.29901499999999998</v>
      </c>
      <c r="C156">
        <v>41.544415000000001</v>
      </c>
      <c r="E156" s="29">
        <f t="shared" si="2"/>
        <v>-41.245400000000004</v>
      </c>
      <c r="F156" s="30">
        <v>42813</v>
      </c>
    </row>
    <row r="157" spans="1:6" x14ac:dyDescent="0.3">
      <c r="A157" s="32" t="s">
        <v>1456</v>
      </c>
      <c r="B157">
        <v>8.6192000000000005E-2</v>
      </c>
      <c r="C157">
        <v>42.219284000000002</v>
      </c>
      <c r="E157" s="29">
        <f t="shared" si="2"/>
        <v>-42.133092000000005</v>
      </c>
      <c r="F157" s="30">
        <v>42814</v>
      </c>
    </row>
    <row r="158" spans="1:6" x14ac:dyDescent="0.3">
      <c r="A158" s="32" t="s">
        <v>1457</v>
      </c>
      <c r="B158">
        <v>0.61077400000000004</v>
      </c>
      <c r="C158">
        <v>44.124521999999999</v>
      </c>
      <c r="E158" s="29">
        <f t="shared" si="2"/>
        <v>-43.513748</v>
      </c>
      <c r="F158" s="30">
        <v>42815</v>
      </c>
    </row>
    <row r="159" spans="1:6" x14ac:dyDescent="0.3">
      <c r="A159" s="32" t="s">
        <v>1458</v>
      </c>
      <c r="B159">
        <v>-0.27927400000000002</v>
      </c>
      <c r="C159">
        <v>43.019435999999999</v>
      </c>
      <c r="E159" s="29">
        <f t="shared" si="2"/>
        <v>-43.29871</v>
      </c>
      <c r="F159" s="30">
        <v>42816</v>
      </c>
    </row>
    <row r="160" spans="1:6" x14ac:dyDescent="0.3">
      <c r="A160" s="32" t="s">
        <v>1459</v>
      </c>
      <c r="B160">
        <v>-1.5564389999999999</v>
      </c>
      <c r="C160">
        <v>43.843983000000001</v>
      </c>
      <c r="E160" s="29">
        <f t="shared" si="2"/>
        <v>-45.400421999999999</v>
      </c>
      <c r="F160" s="30">
        <v>42817</v>
      </c>
    </row>
    <row r="161" spans="1:6" x14ac:dyDescent="0.3">
      <c r="A161" s="32" t="s">
        <v>1460</v>
      </c>
      <c r="B161">
        <v>-0.85159799999999997</v>
      </c>
      <c r="C161">
        <v>44.645614999999999</v>
      </c>
      <c r="E161" s="29">
        <f t="shared" si="2"/>
        <v>-45.497213000000002</v>
      </c>
      <c r="F161" s="30">
        <v>42818</v>
      </c>
    </row>
    <row r="162" spans="1:6" x14ac:dyDescent="0.3">
      <c r="A162" s="32" t="s">
        <v>1461</v>
      </c>
      <c r="B162">
        <v>-0.37667499999999998</v>
      </c>
      <c r="C162">
        <v>44.640217999999997</v>
      </c>
      <c r="E162" s="29">
        <f t="shared" si="2"/>
        <v>-45.016892999999996</v>
      </c>
      <c r="F162" s="30">
        <v>42819</v>
      </c>
    </row>
    <row r="163" spans="1:6" x14ac:dyDescent="0.3">
      <c r="A163" s="32" t="s">
        <v>1462</v>
      </c>
      <c r="B163">
        <v>-1.2310509999999999</v>
      </c>
      <c r="C163">
        <v>44.161451999999997</v>
      </c>
      <c r="E163" s="29">
        <f t="shared" si="2"/>
        <v>-45.392502999999998</v>
      </c>
      <c r="F163" s="30">
        <v>42820</v>
      </c>
    </row>
    <row r="164" spans="1:6" x14ac:dyDescent="0.3">
      <c r="A164" s="32" t="s">
        <v>1463</v>
      </c>
      <c r="B164">
        <v>-0.96278600000000003</v>
      </c>
      <c r="C164">
        <v>43.839008</v>
      </c>
      <c r="E164" s="29">
        <f t="shared" si="2"/>
        <v>-44.801794000000001</v>
      </c>
      <c r="F164" s="30">
        <v>42821</v>
      </c>
    </row>
    <row r="165" spans="1:6" x14ac:dyDescent="0.3">
      <c r="A165" s="32" t="s">
        <v>1464</v>
      </c>
      <c r="B165">
        <v>-1.8370340000000001</v>
      </c>
      <c r="C165">
        <v>42.621858000000003</v>
      </c>
      <c r="E165" s="29">
        <f t="shared" si="2"/>
        <v>-44.458892000000006</v>
      </c>
      <c r="F165" s="30">
        <v>42822</v>
      </c>
    </row>
    <row r="166" spans="1:6" x14ac:dyDescent="0.3">
      <c r="A166" s="32" t="s">
        <v>1465</v>
      </c>
      <c r="B166">
        <v>-1.359022</v>
      </c>
      <c r="C166">
        <v>41.263696000000003</v>
      </c>
      <c r="E166" s="29">
        <f t="shared" si="2"/>
        <v>-42.622718000000006</v>
      </c>
      <c r="F166" s="30">
        <v>42823</v>
      </c>
    </row>
    <row r="167" spans="1:6" x14ac:dyDescent="0.3">
      <c r="A167" s="32" t="s">
        <v>1466</v>
      </c>
      <c r="B167">
        <v>-2.5307620000000002</v>
      </c>
      <c r="C167">
        <v>42.564957999999997</v>
      </c>
      <c r="E167" s="29">
        <f t="shared" si="2"/>
        <v>-45.09572</v>
      </c>
      <c r="F167" s="30">
        <v>42824</v>
      </c>
    </row>
    <row r="168" spans="1:6" x14ac:dyDescent="0.3">
      <c r="A168" s="32" t="s">
        <v>1467</v>
      </c>
      <c r="B168">
        <v>-1.5907210000000001</v>
      </c>
      <c r="C168">
        <v>44.082793000000002</v>
      </c>
      <c r="E168" s="29">
        <f t="shared" si="2"/>
        <v>-45.673514000000004</v>
      </c>
      <c r="F168" s="30">
        <v>42825</v>
      </c>
    </row>
    <row r="169" spans="1:6" x14ac:dyDescent="0.3">
      <c r="A169" s="32" t="s">
        <v>1468</v>
      </c>
      <c r="B169">
        <v>-0.48680600000000002</v>
      </c>
      <c r="C169">
        <v>44.729036000000001</v>
      </c>
      <c r="E169" s="29">
        <f t="shared" si="2"/>
        <v>-45.215842000000002</v>
      </c>
      <c r="F169" s="30">
        <v>42826</v>
      </c>
    </row>
    <row r="170" spans="1:6" x14ac:dyDescent="0.3">
      <c r="A170" s="32" t="s">
        <v>1469</v>
      </c>
      <c r="B170">
        <v>0.134765</v>
      </c>
      <c r="C170">
        <v>43.230037000000003</v>
      </c>
      <c r="E170" s="29">
        <f t="shared" si="2"/>
        <v>-43.095272000000001</v>
      </c>
      <c r="F170" s="30">
        <v>42827</v>
      </c>
    </row>
    <row r="171" spans="1:6" x14ac:dyDescent="0.3">
      <c r="A171" s="32" t="s">
        <v>1470</v>
      </c>
      <c r="B171">
        <v>0.45399800000000001</v>
      </c>
      <c r="C171">
        <v>43.398364000000001</v>
      </c>
      <c r="E171" s="29">
        <f t="shared" si="2"/>
        <v>-42.944366000000002</v>
      </c>
      <c r="F171" s="30">
        <v>42828</v>
      </c>
    </row>
    <row r="172" spans="1:6" x14ac:dyDescent="0.3">
      <c r="A172" s="32" t="s">
        <v>1471</v>
      </c>
      <c r="B172">
        <v>-0.89938200000000001</v>
      </c>
      <c r="C172">
        <v>42.368966</v>
      </c>
      <c r="E172" s="29">
        <f t="shared" si="2"/>
        <v>-43.268348000000003</v>
      </c>
      <c r="F172" s="30">
        <v>42829</v>
      </c>
    </row>
    <row r="173" spans="1:6" x14ac:dyDescent="0.3">
      <c r="A173" s="32" t="s">
        <v>1472</v>
      </c>
      <c r="B173">
        <v>-0.91112199999999999</v>
      </c>
      <c r="C173">
        <v>42.020923000000003</v>
      </c>
      <c r="E173" s="29">
        <f t="shared" si="2"/>
        <v>-42.932045000000002</v>
      </c>
      <c r="F173" s="30">
        <v>42830</v>
      </c>
    </row>
    <row r="174" spans="1:6" x14ac:dyDescent="0.3">
      <c r="A174" s="32" t="s">
        <v>1473</v>
      </c>
      <c r="B174">
        <v>-0.74798900000000001</v>
      </c>
      <c r="C174">
        <v>40.304310000000001</v>
      </c>
      <c r="E174" s="29">
        <f t="shared" si="2"/>
        <v>-41.052298999999998</v>
      </c>
      <c r="F174" s="30">
        <v>42831</v>
      </c>
    </row>
    <row r="175" spans="1:6" x14ac:dyDescent="0.3">
      <c r="A175" s="32" t="s">
        <v>1474</v>
      </c>
      <c r="B175">
        <v>-1.6826239999999999</v>
      </c>
      <c r="C175">
        <v>38.363674000000003</v>
      </c>
      <c r="E175" s="29">
        <f t="shared" si="2"/>
        <v>-40.046298</v>
      </c>
      <c r="F175" s="30">
        <v>42832</v>
      </c>
    </row>
    <row r="176" spans="1:6" x14ac:dyDescent="0.3">
      <c r="A176" s="32" t="s">
        <v>1475</v>
      </c>
      <c r="B176">
        <v>-2.1351460000000002</v>
      </c>
      <c r="C176">
        <v>37.579618000000004</v>
      </c>
      <c r="E176" s="29">
        <f t="shared" si="2"/>
        <v>-39.714764000000002</v>
      </c>
      <c r="F176" s="30">
        <v>42833</v>
      </c>
    </row>
    <row r="177" spans="1:6" x14ac:dyDescent="0.3">
      <c r="A177" s="32" t="s">
        <v>1476</v>
      </c>
      <c r="B177">
        <v>-3.269196</v>
      </c>
      <c r="C177">
        <v>37.846395000000001</v>
      </c>
      <c r="E177" s="29">
        <f t="shared" si="2"/>
        <v>-41.115591000000002</v>
      </c>
      <c r="F177" s="30">
        <v>42834</v>
      </c>
    </row>
    <row r="178" spans="1:6" x14ac:dyDescent="0.3">
      <c r="A178" s="32" t="s">
        <v>1477</v>
      </c>
      <c r="B178">
        <v>-3.5369380000000001</v>
      </c>
      <c r="C178">
        <v>37.468291000000001</v>
      </c>
      <c r="E178" s="29">
        <f t="shared" si="2"/>
        <v>-41.005229</v>
      </c>
      <c r="F178" s="30">
        <v>42835</v>
      </c>
    </row>
    <row r="179" spans="1:6" x14ac:dyDescent="0.3">
      <c r="A179" s="32" t="s">
        <v>1478</v>
      </c>
      <c r="B179">
        <v>-4.9591120000000002</v>
      </c>
      <c r="C179">
        <v>36.904580000000003</v>
      </c>
      <c r="E179" s="29">
        <f t="shared" si="2"/>
        <v>-41.863692</v>
      </c>
      <c r="F179" s="30">
        <v>42836</v>
      </c>
    </row>
    <row r="180" spans="1:6" x14ac:dyDescent="0.3">
      <c r="A180" s="32" t="s">
        <v>1479</v>
      </c>
      <c r="B180">
        <v>-4.2710889999999999</v>
      </c>
      <c r="C180">
        <v>37.962480999999997</v>
      </c>
      <c r="E180" s="29">
        <f t="shared" si="2"/>
        <v>-42.23357</v>
      </c>
      <c r="F180" s="30">
        <v>42837</v>
      </c>
    </row>
    <row r="181" spans="1:6" x14ac:dyDescent="0.3">
      <c r="A181" s="32" t="s">
        <v>1480</v>
      </c>
      <c r="B181">
        <v>-5.2529110000000001</v>
      </c>
      <c r="C181">
        <v>36.456833000000003</v>
      </c>
      <c r="E181" s="29">
        <f t="shared" si="2"/>
        <v>-41.709744000000001</v>
      </c>
      <c r="F181" s="30">
        <v>42838</v>
      </c>
    </row>
    <row r="182" spans="1:6" x14ac:dyDescent="0.3">
      <c r="A182" s="32" t="s">
        <v>1481</v>
      </c>
      <c r="B182">
        <v>-6.060092</v>
      </c>
      <c r="C182">
        <v>39.638809000000002</v>
      </c>
      <c r="E182" s="29">
        <f t="shared" si="2"/>
        <v>-45.698900999999999</v>
      </c>
      <c r="F182" s="30">
        <v>42839</v>
      </c>
    </row>
    <row r="183" spans="1:6" x14ac:dyDescent="0.3">
      <c r="A183" s="32" t="s">
        <v>1482</v>
      </c>
      <c r="B183">
        <v>-6.5120139999999997</v>
      </c>
      <c r="C183">
        <v>42.804093000000002</v>
      </c>
      <c r="E183" s="29">
        <f t="shared" si="2"/>
        <v>-49.316107000000002</v>
      </c>
      <c r="F183" s="30">
        <v>42840</v>
      </c>
    </row>
    <row r="184" spans="1:6" x14ac:dyDescent="0.3">
      <c r="A184" s="32" t="s">
        <v>1483</v>
      </c>
      <c r="B184">
        <v>-6.9331060000000004</v>
      </c>
      <c r="C184">
        <v>42.229937</v>
      </c>
      <c r="E184" s="29">
        <f t="shared" si="2"/>
        <v>-49.163043000000002</v>
      </c>
      <c r="F184" s="30">
        <v>42841</v>
      </c>
    </row>
    <row r="185" spans="1:6" x14ac:dyDescent="0.3">
      <c r="A185" s="32" t="s">
        <v>1484</v>
      </c>
      <c r="B185">
        <v>-8.5317799999999995</v>
      </c>
      <c r="C185">
        <v>41.791938999999999</v>
      </c>
      <c r="E185" s="29">
        <f t="shared" si="2"/>
        <v>-50.323718999999997</v>
      </c>
      <c r="F185" s="30">
        <v>42842</v>
      </c>
    </row>
    <row r="186" spans="1:6" x14ac:dyDescent="0.3">
      <c r="A186" s="32" t="s">
        <v>1485</v>
      </c>
      <c r="B186">
        <v>-8.0304570000000002</v>
      </c>
      <c r="C186">
        <v>41.888399</v>
      </c>
      <c r="E186" s="29">
        <f t="shared" si="2"/>
        <v>-49.918855999999998</v>
      </c>
      <c r="F186" s="30">
        <v>42843</v>
      </c>
    </row>
    <row r="187" spans="1:6" x14ac:dyDescent="0.3">
      <c r="A187" s="32" t="s">
        <v>1486</v>
      </c>
      <c r="B187">
        <v>-7.5322449999999996</v>
      </c>
      <c r="C187">
        <v>41.742885999999999</v>
      </c>
      <c r="E187" s="29">
        <f t="shared" si="2"/>
        <v>-49.275131000000002</v>
      </c>
      <c r="F187" s="30">
        <v>42844</v>
      </c>
    </row>
    <row r="188" spans="1:6" x14ac:dyDescent="0.3">
      <c r="A188" s="32" t="s">
        <v>1487</v>
      </c>
      <c r="B188">
        <v>-7.5315709999999996</v>
      </c>
      <c r="C188">
        <v>42.566968000000003</v>
      </c>
      <c r="E188" s="29">
        <f t="shared" si="2"/>
        <v>-50.098539000000002</v>
      </c>
      <c r="F188" s="30">
        <v>42845</v>
      </c>
    </row>
    <row r="189" spans="1:6" x14ac:dyDescent="0.3">
      <c r="A189" s="32" t="s">
        <v>1488</v>
      </c>
      <c r="B189">
        <v>-7.0518260000000001</v>
      </c>
      <c r="C189">
        <v>42.823709000000001</v>
      </c>
      <c r="E189" s="29">
        <f t="shared" si="2"/>
        <v>-49.875534999999999</v>
      </c>
      <c r="F189" s="30">
        <v>42846</v>
      </c>
    </row>
    <row r="190" spans="1:6" x14ac:dyDescent="0.3">
      <c r="A190" s="32" t="s">
        <v>1489</v>
      </c>
      <c r="B190">
        <v>-7.177619</v>
      </c>
      <c r="C190">
        <v>44.045363000000002</v>
      </c>
      <c r="E190" s="29">
        <f t="shared" si="2"/>
        <v>-51.222982000000002</v>
      </c>
      <c r="F190" s="30">
        <v>42847</v>
      </c>
    </row>
    <row r="191" spans="1:6" x14ac:dyDescent="0.3">
      <c r="A191" s="32" t="s">
        <v>1490</v>
      </c>
      <c r="B191">
        <v>-7.0271559999999997</v>
      </c>
      <c r="C191">
        <v>43.542945000000003</v>
      </c>
      <c r="E191" s="29">
        <f t="shared" si="2"/>
        <v>-50.570101000000001</v>
      </c>
      <c r="F191" s="30">
        <v>42848</v>
      </c>
    </row>
    <row r="192" spans="1:6" x14ac:dyDescent="0.3">
      <c r="A192" s="32" t="s">
        <v>1491</v>
      </c>
      <c r="B192">
        <v>-6.4907839999999997</v>
      </c>
      <c r="C192">
        <v>44.643014999999998</v>
      </c>
      <c r="E192" s="29">
        <f t="shared" si="2"/>
        <v>-51.133798999999996</v>
      </c>
      <c r="F192" s="30">
        <v>42849</v>
      </c>
    </row>
    <row r="193" spans="1:6" x14ac:dyDescent="0.3">
      <c r="A193" s="32" t="s">
        <v>1492</v>
      </c>
      <c r="B193">
        <v>-7.3083080000000002</v>
      </c>
      <c r="C193">
        <v>45.454349000000001</v>
      </c>
      <c r="E193" s="29">
        <f t="shared" si="2"/>
        <v>-52.762657000000004</v>
      </c>
      <c r="F193" s="30">
        <v>42850</v>
      </c>
    </row>
    <row r="194" spans="1:6" x14ac:dyDescent="0.3">
      <c r="A194" s="32" t="s">
        <v>1493</v>
      </c>
      <c r="B194">
        <v>-6.7767860000000004</v>
      </c>
      <c r="C194">
        <v>44.282997000000002</v>
      </c>
      <c r="E194" s="29">
        <f t="shared" si="2"/>
        <v>-51.059783000000003</v>
      </c>
      <c r="F194" s="30">
        <v>42851</v>
      </c>
    </row>
    <row r="195" spans="1:6" x14ac:dyDescent="0.3">
      <c r="A195" s="32" t="s">
        <v>1494</v>
      </c>
      <c r="B195">
        <v>-5.1839599999999999</v>
      </c>
      <c r="C195">
        <v>45.713709999999999</v>
      </c>
      <c r="E195" s="29">
        <f t="shared" ref="E195:E258" si="3">B195-C195</f>
        <v>-50.897669999999998</v>
      </c>
      <c r="F195" s="30">
        <v>42852</v>
      </c>
    </row>
    <row r="196" spans="1:6" x14ac:dyDescent="0.3">
      <c r="A196" s="32" t="s">
        <v>1495</v>
      </c>
      <c r="B196">
        <v>-2.6547109999999998</v>
      </c>
      <c r="C196">
        <v>45.348686000000001</v>
      </c>
      <c r="E196" s="29">
        <f t="shared" si="3"/>
        <v>-48.003397</v>
      </c>
      <c r="F196" s="30">
        <v>42853</v>
      </c>
    </row>
    <row r="197" spans="1:6" x14ac:dyDescent="0.3">
      <c r="A197" s="32" t="s">
        <v>1496</v>
      </c>
      <c r="B197">
        <v>-2.5666359999999999</v>
      </c>
      <c r="C197">
        <v>45.805697000000002</v>
      </c>
      <c r="E197" s="29">
        <f t="shared" si="3"/>
        <v>-48.372333000000005</v>
      </c>
      <c r="F197" s="30">
        <v>42854</v>
      </c>
    </row>
    <row r="198" spans="1:6" x14ac:dyDescent="0.3">
      <c r="A198" s="32" t="s">
        <v>1497</v>
      </c>
      <c r="B198">
        <v>-4.1093479999999998</v>
      </c>
      <c r="C198">
        <v>46.152338</v>
      </c>
      <c r="E198" s="29">
        <f t="shared" si="3"/>
        <v>-50.261685999999997</v>
      </c>
      <c r="F198" s="30">
        <v>42855</v>
      </c>
    </row>
    <row r="199" spans="1:6" x14ac:dyDescent="0.3">
      <c r="A199" s="32" t="s">
        <v>1498</v>
      </c>
      <c r="B199">
        <v>-5.516356</v>
      </c>
      <c r="C199">
        <v>45.04054</v>
      </c>
      <c r="E199" s="29">
        <f t="shared" si="3"/>
        <v>-50.556896000000002</v>
      </c>
      <c r="F199" s="30">
        <v>42856</v>
      </c>
    </row>
    <row r="200" spans="1:6" x14ac:dyDescent="0.3">
      <c r="A200" s="32" t="s">
        <v>1499</v>
      </c>
      <c r="B200">
        <v>-3.3955839999999999</v>
      </c>
      <c r="C200">
        <v>47.386178999999998</v>
      </c>
      <c r="E200" s="29">
        <f t="shared" si="3"/>
        <v>-50.781762999999998</v>
      </c>
      <c r="F200" s="30">
        <v>42857</v>
      </c>
    </row>
    <row r="201" spans="1:6" x14ac:dyDescent="0.3">
      <c r="A201" s="32" t="s">
        <v>1500</v>
      </c>
      <c r="B201">
        <v>-3.6280350000000001</v>
      </c>
      <c r="C201">
        <v>48.695008000000001</v>
      </c>
      <c r="E201" s="29">
        <f t="shared" si="3"/>
        <v>-52.323042999999998</v>
      </c>
      <c r="F201" s="30">
        <v>42858</v>
      </c>
    </row>
    <row r="202" spans="1:6" x14ac:dyDescent="0.3">
      <c r="A202" s="32" t="s">
        <v>1501</v>
      </c>
      <c r="B202">
        <v>-3.856614</v>
      </c>
      <c r="C202">
        <v>48.114561000000002</v>
      </c>
      <c r="E202" s="29">
        <f t="shared" si="3"/>
        <v>-51.971175000000002</v>
      </c>
      <c r="F202" s="30">
        <v>42859</v>
      </c>
    </row>
    <row r="203" spans="1:6" x14ac:dyDescent="0.3">
      <c r="A203" s="32" t="s">
        <v>1502</v>
      </c>
      <c r="B203">
        <v>-3.2770320000000002</v>
      </c>
      <c r="C203">
        <v>48.697318000000003</v>
      </c>
      <c r="E203" s="29">
        <f t="shared" si="3"/>
        <v>-51.974350000000001</v>
      </c>
      <c r="F203" s="30">
        <v>42860</v>
      </c>
    </row>
    <row r="204" spans="1:6" x14ac:dyDescent="0.3">
      <c r="A204" s="32" t="s">
        <v>1503</v>
      </c>
      <c r="B204">
        <v>-1.4388270000000001</v>
      </c>
      <c r="C204">
        <v>47.091506000000003</v>
      </c>
      <c r="E204" s="29">
        <f t="shared" si="3"/>
        <v>-48.530333000000006</v>
      </c>
      <c r="F204" s="30">
        <v>42861</v>
      </c>
    </row>
    <row r="205" spans="1:6" x14ac:dyDescent="0.3">
      <c r="A205" s="32" t="s">
        <v>1504</v>
      </c>
      <c r="B205">
        <v>-1.7342120000000001</v>
      </c>
      <c r="C205">
        <v>44.829039999999999</v>
      </c>
      <c r="E205" s="29">
        <f t="shared" si="3"/>
        <v>-46.563251999999999</v>
      </c>
      <c r="F205" s="30">
        <v>42862</v>
      </c>
    </row>
    <row r="206" spans="1:6" x14ac:dyDescent="0.3">
      <c r="A206" s="32" t="s">
        <v>1505</v>
      </c>
      <c r="B206">
        <v>-0.57176300000000002</v>
      </c>
      <c r="C206">
        <v>46.221570999999997</v>
      </c>
      <c r="E206" s="29">
        <f t="shared" si="3"/>
        <v>-46.793333999999994</v>
      </c>
      <c r="F206" s="30">
        <v>42863</v>
      </c>
    </row>
    <row r="207" spans="1:6" x14ac:dyDescent="0.3">
      <c r="A207" s="32" t="s">
        <v>1506</v>
      </c>
      <c r="B207">
        <v>-1.588641</v>
      </c>
      <c r="C207">
        <v>46.169738000000002</v>
      </c>
      <c r="E207" s="29">
        <f t="shared" si="3"/>
        <v>-47.758379000000005</v>
      </c>
      <c r="F207" s="30">
        <v>42864</v>
      </c>
    </row>
    <row r="208" spans="1:6" x14ac:dyDescent="0.3">
      <c r="A208" s="32" t="s">
        <v>1507</v>
      </c>
      <c r="B208">
        <v>0.123002</v>
      </c>
      <c r="C208">
        <v>47.685242000000002</v>
      </c>
      <c r="E208" s="29">
        <f t="shared" si="3"/>
        <v>-47.562240000000003</v>
      </c>
      <c r="F208" s="30">
        <v>42865</v>
      </c>
    </row>
    <row r="209" spans="1:6" x14ac:dyDescent="0.3">
      <c r="A209" s="32" t="s">
        <v>1508</v>
      </c>
      <c r="B209">
        <v>-2.554986</v>
      </c>
      <c r="C209">
        <v>46.789439000000002</v>
      </c>
      <c r="E209" s="29">
        <f t="shared" si="3"/>
        <v>-49.344425000000001</v>
      </c>
      <c r="F209" s="30">
        <v>42866</v>
      </c>
    </row>
    <row r="210" spans="1:6" x14ac:dyDescent="0.3">
      <c r="A210" s="32" t="s">
        <v>1509</v>
      </c>
      <c r="B210">
        <v>-4.5949720000000003</v>
      </c>
      <c r="C210">
        <v>44.909494000000002</v>
      </c>
      <c r="E210" s="29">
        <f t="shared" si="3"/>
        <v>-49.504466000000001</v>
      </c>
      <c r="F210" s="30">
        <v>42867</v>
      </c>
    </row>
    <row r="211" spans="1:6" x14ac:dyDescent="0.3">
      <c r="A211" s="32" t="s">
        <v>1510</v>
      </c>
      <c r="B211">
        <v>-4.8038309999999997</v>
      </c>
      <c r="C211">
        <v>43.516067999999997</v>
      </c>
      <c r="E211" s="29">
        <f t="shared" si="3"/>
        <v>-48.319898999999999</v>
      </c>
      <c r="F211" s="30">
        <v>42868</v>
      </c>
    </row>
    <row r="212" spans="1:6" x14ac:dyDescent="0.3">
      <c r="A212" s="32" t="s">
        <v>1511</v>
      </c>
      <c r="B212">
        <v>-6.3603199999999998</v>
      </c>
      <c r="C212">
        <v>42.503332</v>
      </c>
      <c r="E212" s="29">
        <f t="shared" si="3"/>
        <v>-48.863652000000002</v>
      </c>
      <c r="F212" s="30">
        <v>42869</v>
      </c>
    </row>
    <row r="213" spans="1:6" x14ac:dyDescent="0.3">
      <c r="A213" s="32" t="s">
        <v>1512</v>
      </c>
      <c r="B213">
        <v>-6.1045870000000004</v>
      </c>
      <c r="C213">
        <v>44.841678000000002</v>
      </c>
      <c r="E213" s="29">
        <f t="shared" si="3"/>
        <v>-50.946265000000004</v>
      </c>
      <c r="F213" s="30">
        <v>42870</v>
      </c>
    </row>
    <row r="214" spans="1:6" x14ac:dyDescent="0.3">
      <c r="A214" s="32" t="s">
        <v>1513</v>
      </c>
      <c r="B214">
        <v>-5.257409</v>
      </c>
      <c r="C214">
        <v>45.890400999999997</v>
      </c>
      <c r="E214" s="29">
        <f t="shared" si="3"/>
        <v>-51.14781</v>
      </c>
      <c r="F214" s="30">
        <v>42871</v>
      </c>
    </row>
    <row r="215" spans="1:6" x14ac:dyDescent="0.3">
      <c r="A215" s="32" t="s">
        <v>1307</v>
      </c>
      <c r="B215">
        <v>-4.3517609999999998</v>
      </c>
      <c r="C215">
        <v>45.410097</v>
      </c>
      <c r="E215" s="29">
        <f t="shared" si="3"/>
        <v>-49.761858000000004</v>
      </c>
      <c r="F215" s="30">
        <v>42872</v>
      </c>
    </row>
    <row r="216" spans="1:6" x14ac:dyDescent="0.3">
      <c r="A216" s="32" t="s">
        <v>1308</v>
      </c>
      <c r="B216">
        <v>-3.890736</v>
      </c>
      <c r="C216">
        <v>44.597825999999998</v>
      </c>
      <c r="E216" s="29">
        <f t="shared" si="3"/>
        <v>-48.488561999999995</v>
      </c>
      <c r="F216" s="30">
        <v>42873</v>
      </c>
    </row>
    <row r="217" spans="1:6" x14ac:dyDescent="0.3">
      <c r="A217" s="32" t="s">
        <v>1309</v>
      </c>
      <c r="B217">
        <v>-4.4533339999999999</v>
      </c>
      <c r="C217">
        <v>44.474411000000003</v>
      </c>
      <c r="E217" s="29">
        <f t="shared" si="3"/>
        <v>-48.927745000000002</v>
      </c>
      <c r="F217" s="30">
        <v>42874</v>
      </c>
    </row>
    <row r="218" spans="1:6" x14ac:dyDescent="0.3">
      <c r="A218" s="32" t="s">
        <v>1310</v>
      </c>
      <c r="B218">
        <v>-5.3209030000000004</v>
      </c>
      <c r="C218">
        <v>44.33849</v>
      </c>
      <c r="E218" s="29">
        <f t="shared" si="3"/>
        <v>-49.659393000000001</v>
      </c>
      <c r="F218" s="30">
        <v>42875</v>
      </c>
    </row>
    <row r="219" spans="1:6" x14ac:dyDescent="0.3">
      <c r="A219" s="32" t="s">
        <v>1311</v>
      </c>
      <c r="B219">
        <v>-4.6153690000000003</v>
      </c>
      <c r="C219">
        <v>43.106926999999999</v>
      </c>
      <c r="E219" s="29">
        <f t="shared" si="3"/>
        <v>-47.722296</v>
      </c>
      <c r="F219" s="30">
        <v>42876</v>
      </c>
    </row>
    <row r="220" spans="1:6" x14ac:dyDescent="0.3">
      <c r="A220" s="32" t="s">
        <v>1312</v>
      </c>
      <c r="B220">
        <v>-4.5661589999999999</v>
      </c>
      <c r="C220">
        <v>42.673672000000003</v>
      </c>
      <c r="E220" s="29">
        <f t="shared" si="3"/>
        <v>-47.239831000000002</v>
      </c>
      <c r="F220" s="30">
        <v>42877</v>
      </c>
    </row>
    <row r="221" spans="1:6" x14ac:dyDescent="0.3">
      <c r="A221" s="32" t="s">
        <v>1313</v>
      </c>
      <c r="B221">
        <v>-5.3862030000000001</v>
      </c>
      <c r="C221">
        <v>41.288122000000001</v>
      </c>
      <c r="E221" s="29">
        <f t="shared" si="3"/>
        <v>-46.674325000000003</v>
      </c>
      <c r="F221" s="30">
        <v>42878</v>
      </c>
    </row>
    <row r="222" spans="1:6" x14ac:dyDescent="0.3">
      <c r="A222" s="32" t="s">
        <v>1314</v>
      </c>
      <c r="B222">
        <v>-4.3146789999999999</v>
      </c>
      <c r="C222">
        <v>38.674615000000003</v>
      </c>
      <c r="E222" s="29">
        <f t="shared" si="3"/>
        <v>-42.989294000000001</v>
      </c>
      <c r="F222" s="30">
        <v>42879</v>
      </c>
    </row>
    <row r="223" spans="1:6" x14ac:dyDescent="0.3">
      <c r="A223" s="32" t="s">
        <v>1315</v>
      </c>
      <c r="B223">
        <v>-4.3645870000000002</v>
      </c>
      <c r="C223">
        <v>38.055675999999998</v>
      </c>
      <c r="E223" s="29">
        <f t="shared" si="3"/>
        <v>-42.420262999999998</v>
      </c>
      <c r="F223" s="30">
        <v>42880</v>
      </c>
    </row>
    <row r="224" spans="1:6" x14ac:dyDescent="0.3">
      <c r="A224" s="32" t="s">
        <v>1514</v>
      </c>
      <c r="B224">
        <v>-6.1173960000000003</v>
      </c>
      <c r="C224">
        <v>38.826179000000003</v>
      </c>
      <c r="E224" s="29">
        <f t="shared" si="3"/>
        <v>-44.943575000000003</v>
      </c>
      <c r="F224" s="30">
        <v>42881</v>
      </c>
    </row>
    <row r="225" spans="1:6" x14ac:dyDescent="0.3">
      <c r="A225" s="32" t="s">
        <v>1515</v>
      </c>
      <c r="B225">
        <v>-5.279458</v>
      </c>
      <c r="C225">
        <v>38.141900999999997</v>
      </c>
      <c r="E225" s="29">
        <f t="shared" si="3"/>
        <v>-43.421358999999995</v>
      </c>
      <c r="F225" s="30">
        <v>42882</v>
      </c>
    </row>
    <row r="226" spans="1:6" x14ac:dyDescent="0.3">
      <c r="A226" s="32" t="s">
        <v>1516</v>
      </c>
      <c r="B226">
        <v>-4.9860499999999996</v>
      </c>
      <c r="C226">
        <v>37.359085999999998</v>
      </c>
      <c r="E226" s="29">
        <f t="shared" si="3"/>
        <v>-42.345135999999997</v>
      </c>
      <c r="F226" s="30">
        <v>42883</v>
      </c>
    </row>
    <row r="227" spans="1:6" x14ac:dyDescent="0.3">
      <c r="A227" s="32" t="s">
        <v>1517</v>
      </c>
      <c r="B227">
        <v>-4.4892180000000002</v>
      </c>
      <c r="C227">
        <v>37.228932</v>
      </c>
      <c r="E227" s="29">
        <f t="shared" si="3"/>
        <v>-41.718150000000001</v>
      </c>
      <c r="F227" s="30">
        <v>42884</v>
      </c>
    </row>
    <row r="228" spans="1:6" x14ac:dyDescent="0.3">
      <c r="A228" s="32" t="s">
        <v>1518</v>
      </c>
      <c r="B228">
        <v>-5.9295179999999998</v>
      </c>
      <c r="C228">
        <v>36.955976</v>
      </c>
      <c r="E228" s="29">
        <f t="shared" si="3"/>
        <v>-42.885494000000001</v>
      </c>
      <c r="F228" s="30">
        <v>42885</v>
      </c>
    </row>
    <row r="229" spans="1:6" x14ac:dyDescent="0.3">
      <c r="A229" s="32" t="s">
        <v>1519</v>
      </c>
      <c r="B229">
        <v>-4.4007509999999996</v>
      </c>
      <c r="C229">
        <v>34.046543999999997</v>
      </c>
      <c r="E229" s="29">
        <f t="shared" si="3"/>
        <v>-38.447294999999997</v>
      </c>
      <c r="F229" s="30">
        <v>42886</v>
      </c>
    </row>
    <row r="230" spans="1:6" x14ac:dyDescent="0.3">
      <c r="A230" s="32" t="s">
        <v>1520</v>
      </c>
      <c r="B230">
        <v>-5.495743</v>
      </c>
      <c r="C230">
        <v>31.776482999999999</v>
      </c>
      <c r="E230" s="29">
        <f t="shared" si="3"/>
        <v>-37.272225999999996</v>
      </c>
      <c r="F230" s="30">
        <v>42887</v>
      </c>
    </row>
    <row r="231" spans="1:6" x14ac:dyDescent="0.3">
      <c r="A231" s="32" t="s">
        <v>1521</v>
      </c>
      <c r="B231">
        <v>-5.9096690000000001</v>
      </c>
      <c r="C231">
        <v>31.780550999999999</v>
      </c>
      <c r="E231" s="29">
        <f t="shared" si="3"/>
        <v>-37.690219999999997</v>
      </c>
      <c r="F231" s="30">
        <v>42888</v>
      </c>
    </row>
    <row r="232" spans="1:6" x14ac:dyDescent="0.3">
      <c r="A232" s="32" t="s">
        <v>1522</v>
      </c>
      <c r="B232">
        <v>-6.8174830000000002</v>
      </c>
      <c r="C232">
        <v>31.288795</v>
      </c>
      <c r="E232" s="29">
        <f t="shared" si="3"/>
        <v>-38.106278000000003</v>
      </c>
      <c r="F232" s="30">
        <v>42889</v>
      </c>
    </row>
    <row r="233" spans="1:6" x14ac:dyDescent="0.3">
      <c r="A233" s="32" t="s">
        <v>1523</v>
      </c>
      <c r="B233">
        <v>-8.2389220000000005</v>
      </c>
      <c r="C233">
        <v>29.786004999999999</v>
      </c>
      <c r="E233" s="29">
        <f t="shared" si="3"/>
        <v>-38.024926999999998</v>
      </c>
      <c r="F233" s="30">
        <v>42890</v>
      </c>
    </row>
    <row r="234" spans="1:6" x14ac:dyDescent="0.3">
      <c r="A234" s="32" t="s">
        <v>1524</v>
      </c>
      <c r="B234">
        <v>-7.2379259999999999</v>
      </c>
      <c r="C234">
        <v>29.991959000000001</v>
      </c>
      <c r="E234" s="29">
        <f t="shared" si="3"/>
        <v>-37.229885000000003</v>
      </c>
      <c r="F234" s="30">
        <v>42891</v>
      </c>
    </row>
    <row r="235" spans="1:6" x14ac:dyDescent="0.3">
      <c r="A235" s="32" t="s">
        <v>1525</v>
      </c>
      <c r="B235">
        <v>-6.4625849999999998</v>
      </c>
      <c r="C235">
        <v>29.838946</v>
      </c>
      <c r="E235" s="29">
        <f t="shared" si="3"/>
        <v>-36.301530999999997</v>
      </c>
      <c r="F235" s="30">
        <v>42892</v>
      </c>
    </row>
    <row r="236" spans="1:6" x14ac:dyDescent="0.3">
      <c r="A236" s="32" t="s">
        <v>1526</v>
      </c>
      <c r="B236">
        <v>-6.0813829999999998</v>
      </c>
      <c r="C236">
        <v>29.511624999999999</v>
      </c>
      <c r="E236" s="29">
        <f t="shared" si="3"/>
        <v>-35.593007999999998</v>
      </c>
      <c r="F236" s="30">
        <v>42893</v>
      </c>
    </row>
    <row r="237" spans="1:6" x14ac:dyDescent="0.3">
      <c r="A237" s="32" t="s">
        <v>1527</v>
      </c>
      <c r="B237">
        <v>-7.8239939999999999</v>
      </c>
      <c r="C237">
        <v>30.773520999999999</v>
      </c>
      <c r="E237" s="29">
        <f t="shared" si="3"/>
        <v>-38.597515000000001</v>
      </c>
      <c r="F237" s="30">
        <v>42894</v>
      </c>
    </row>
    <row r="238" spans="1:6" x14ac:dyDescent="0.3">
      <c r="A238" s="32" t="s">
        <v>1528</v>
      </c>
      <c r="B238">
        <v>-8.7916740000000004</v>
      </c>
      <c r="C238">
        <v>30.598413999999998</v>
      </c>
      <c r="E238" s="29">
        <f t="shared" si="3"/>
        <v>-39.390087999999999</v>
      </c>
      <c r="F238" s="30">
        <v>42895</v>
      </c>
    </row>
    <row r="239" spans="1:6" x14ac:dyDescent="0.3">
      <c r="A239" s="32" t="s">
        <v>1529</v>
      </c>
      <c r="B239">
        <v>-8.7604170000000003</v>
      </c>
      <c r="C239">
        <v>30.601580999999999</v>
      </c>
      <c r="E239" s="29">
        <f t="shared" si="3"/>
        <v>-39.361998</v>
      </c>
      <c r="F239" s="30">
        <v>42896</v>
      </c>
    </row>
    <row r="240" spans="1:6" x14ac:dyDescent="0.3">
      <c r="A240" s="32" t="s">
        <v>1530</v>
      </c>
      <c r="B240">
        <v>-8.4467580000000009</v>
      </c>
      <c r="C240">
        <v>29.721778</v>
      </c>
      <c r="E240" s="29">
        <f t="shared" si="3"/>
        <v>-38.168536000000003</v>
      </c>
      <c r="F240" s="30">
        <v>42897</v>
      </c>
    </row>
    <row r="241" spans="1:6" x14ac:dyDescent="0.3">
      <c r="A241" s="32" t="s">
        <v>1531</v>
      </c>
      <c r="B241">
        <v>-8.7897890000000007</v>
      </c>
      <c r="C241">
        <v>30.352491000000001</v>
      </c>
      <c r="E241" s="29">
        <f t="shared" si="3"/>
        <v>-39.14228</v>
      </c>
      <c r="F241" s="30">
        <v>42898</v>
      </c>
    </row>
    <row r="242" spans="1:6" x14ac:dyDescent="0.3">
      <c r="A242" s="32" t="s">
        <v>1532</v>
      </c>
      <c r="B242">
        <v>-7.3329240000000002</v>
      </c>
      <c r="C242">
        <v>29.265879999999999</v>
      </c>
      <c r="E242" s="29">
        <f t="shared" si="3"/>
        <v>-36.598804000000001</v>
      </c>
      <c r="F242" s="30">
        <v>42899</v>
      </c>
    </row>
    <row r="243" spans="1:6" x14ac:dyDescent="0.3">
      <c r="A243" s="32" t="s">
        <v>1533</v>
      </c>
      <c r="B243">
        <v>-6.4327779999999999</v>
      </c>
      <c r="C243">
        <v>28.651311</v>
      </c>
      <c r="E243" s="29">
        <f t="shared" si="3"/>
        <v>-35.084088999999999</v>
      </c>
      <c r="F243" s="30">
        <v>42900</v>
      </c>
    </row>
    <row r="244" spans="1:6" x14ac:dyDescent="0.3">
      <c r="A244" s="32" t="s">
        <v>1534</v>
      </c>
      <c r="B244">
        <v>-5.5974519999999997</v>
      </c>
      <c r="C244">
        <v>28.642541999999999</v>
      </c>
      <c r="E244" s="29">
        <f t="shared" si="3"/>
        <v>-34.239993999999996</v>
      </c>
      <c r="F244" s="30">
        <v>42901</v>
      </c>
    </row>
    <row r="245" spans="1:6" x14ac:dyDescent="0.3">
      <c r="A245" s="32" t="s">
        <v>1535</v>
      </c>
      <c r="B245">
        <v>-5.1496320000000004</v>
      </c>
      <c r="C245">
        <v>29.616216999999999</v>
      </c>
      <c r="E245" s="29">
        <f t="shared" si="3"/>
        <v>-34.765849000000003</v>
      </c>
      <c r="F245" s="30">
        <v>42902</v>
      </c>
    </row>
    <row r="246" spans="1:6" x14ac:dyDescent="0.3">
      <c r="A246" s="32" t="s">
        <v>1536</v>
      </c>
      <c r="B246">
        <v>-3.9028480000000001</v>
      </c>
      <c r="C246">
        <v>30.546755000000001</v>
      </c>
      <c r="E246" s="29">
        <f t="shared" si="3"/>
        <v>-34.449603000000003</v>
      </c>
      <c r="F246" s="30">
        <v>42903</v>
      </c>
    </row>
    <row r="247" spans="1:6" x14ac:dyDescent="0.3">
      <c r="A247" s="32" t="s">
        <v>1537</v>
      </c>
      <c r="B247">
        <v>-5.8428909999999998</v>
      </c>
      <c r="C247">
        <v>29.964231999999999</v>
      </c>
      <c r="E247" s="29">
        <f t="shared" si="3"/>
        <v>-35.807122999999997</v>
      </c>
      <c r="F247" s="30">
        <v>42904</v>
      </c>
    </row>
    <row r="248" spans="1:6" x14ac:dyDescent="0.3">
      <c r="A248" s="32" t="s">
        <v>1538</v>
      </c>
      <c r="B248">
        <v>-6.6231200000000001</v>
      </c>
      <c r="C248">
        <v>30.702705999999999</v>
      </c>
      <c r="E248" s="29">
        <f t="shared" si="3"/>
        <v>-37.325825999999999</v>
      </c>
      <c r="F248" s="30">
        <v>42905</v>
      </c>
    </row>
    <row r="249" spans="1:6" x14ac:dyDescent="0.3">
      <c r="A249" s="32" t="s">
        <v>1539</v>
      </c>
      <c r="B249">
        <v>-6.8356659999999998</v>
      </c>
      <c r="C249">
        <v>31.549755999999999</v>
      </c>
      <c r="E249" s="29">
        <f t="shared" si="3"/>
        <v>-38.385421999999998</v>
      </c>
      <c r="F249" s="30">
        <v>42906</v>
      </c>
    </row>
    <row r="250" spans="1:6" x14ac:dyDescent="0.3">
      <c r="A250" s="32" t="s">
        <v>1540</v>
      </c>
      <c r="B250">
        <v>-5.0545790000000004</v>
      </c>
      <c r="C250">
        <v>32.095841</v>
      </c>
      <c r="E250" s="29">
        <f t="shared" si="3"/>
        <v>-37.150419999999997</v>
      </c>
      <c r="F250" s="30">
        <v>42907</v>
      </c>
    </row>
    <row r="251" spans="1:6" x14ac:dyDescent="0.3">
      <c r="A251" s="32" t="s">
        <v>1541</v>
      </c>
      <c r="B251">
        <v>-3.49838</v>
      </c>
      <c r="C251">
        <v>33.321179999999998</v>
      </c>
      <c r="E251" s="29">
        <f t="shared" si="3"/>
        <v>-36.819559999999996</v>
      </c>
      <c r="F251" s="30">
        <v>42908</v>
      </c>
    </row>
    <row r="252" spans="1:6" x14ac:dyDescent="0.3">
      <c r="A252" s="32" t="s">
        <v>1542</v>
      </c>
      <c r="B252">
        <v>-3.9292899999999999</v>
      </c>
      <c r="C252">
        <v>32.975363999999999</v>
      </c>
      <c r="E252" s="29">
        <f t="shared" si="3"/>
        <v>-36.904654000000001</v>
      </c>
      <c r="F252" s="30">
        <v>42909</v>
      </c>
    </row>
    <row r="253" spans="1:6" x14ac:dyDescent="0.3">
      <c r="A253" s="32" t="s">
        <v>1543</v>
      </c>
      <c r="B253">
        <v>-2.8471510000000002</v>
      </c>
      <c r="C253">
        <v>33.132868999999999</v>
      </c>
      <c r="E253" s="29">
        <f t="shared" si="3"/>
        <v>-35.980019999999996</v>
      </c>
      <c r="F253" s="30">
        <v>42910</v>
      </c>
    </row>
    <row r="254" spans="1:6" x14ac:dyDescent="0.3">
      <c r="A254" s="32" t="s">
        <v>1544</v>
      </c>
      <c r="B254">
        <v>-2.6866490000000001</v>
      </c>
      <c r="C254">
        <v>33.513218999999999</v>
      </c>
      <c r="E254" s="29">
        <f t="shared" si="3"/>
        <v>-36.199868000000002</v>
      </c>
      <c r="F254" s="30">
        <v>42911</v>
      </c>
    </row>
    <row r="255" spans="1:6" x14ac:dyDescent="0.3">
      <c r="A255" s="32" t="s">
        <v>1545</v>
      </c>
      <c r="B255">
        <v>-3.792872</v>
      </c>
      <c r="C255">
        <v>32.818302000000003</v>
      </c>
      <c r="E255" s="29">
        <f t="shared" si="3"/>
        <v>-36.611174000000005</v>
      </c>
      <c r="F255" s="30">
        <v>42912</v>
      </c>
    </row>
    <row r="256" spans="1:6" x14ac:dyDescent="0.3">
      <c r="A256" s="32" t="s">
        <v>1546</v>
      </c>
      <c r="B256">
        <v>-3.8945720000000001</v>
      </c>
      <c r="C256">
        <v>32.575287000000003</v>
      </c>
      <c r="E256" s="29">
        <f t="shared" si="3"/>
        <v>-36.469859</v>
      </c>
      <c r="F256" s="30">
        <v>42913</v>
      </c>
    </row>
    <row r="257" spans="1:6" x14ac:dyDescent="0.3">
      <c r="A257" s="32" t="s">
        <v>1547</v>
      </c>
      <c r="B257">
        <v>-4.9995380000000003</v>
      </c>
      <c r="C257">
        <v>34.298752</v>
      </c>
      <c r="E257" s="29">
        <f t="shared" si="3"/>
        <v>-39.298290000000001</v>
      </c>
      <c r="F257" s="30">
        <v>42914</v>
      </c>
    </row>
    <row r="258" spans="1:6" x14ac:dyDescent="0.3">
      <c r="A258" s="32" t="s">
        <v>1548</v>
      </c>
      <c r="B258">
        <v>-7.0092350000000003</v>
      </c>
      <c r="C258">
        <v>34.769219</v>
      </c>
      <c r="E258" s="29">
        <f t="shared" si="3"/>
        <v>-41.778453999999996</v>
      </c>
      <c r="F258" s="30">
        <v>42915</v>
      </c>
    </row>
    <row r="259" spans="1:6" x14ac:dyDescent="0.3">
      <c r="A259" s="32" t="s">
        <v>1549</v>
      </c>
      <c r="B259">
        <v>-7.8008179999999996</v>
      </c>
      <c r="C259">
        <v>35.427990000000001</v>
      </c>
      <c r="E259" s="29">
        <f t="shared" ref="E259:E322" si="4">B259-C259</f>
        <v>-43.228808000000001</v>
      </c>
      <c r="F259" s="30">
        <v>42916</v>
      </c>
    </row>
    <row r="260" spans="1:6" x14ac:dyDescent="0.3">
      <c r="A260" s="32" t="s">
        <v>1550</v>
      </c>
      <c r="B260">
        <v>-6.7408159999999997</v>
      </c>
      <c r="C260">
        <v>35.090969000000001</v>
      </c>
      <c r="E260" s="29">
        <f t="shared" si="4"/>
        <v>-41.831785000000004</v>
      </c>
      <c r="F260" s="30">
        <v>42917</v>
      </c>
    </row>
    <row r="261" spans="1:6" x14ac:dyDescent="0.3">
      <c r="A261" s="32" t="s">
        <v>1551</v>
      </c>
      <c r="B261">
        <v>-5.1667100000000001</v>
      </c>
      <c r="C261">
        <v>34.937466999999998</v>
      </c>
      <c r="E261" s="29">
        <f t="shared" si="4"/>
        <v>-40.104177</v>
      </c>
      <c r="F261" s="30">
        <v>42918</v>
      </c>
    </row>
    <row r="262" spans="1:6" x14ac:dyDescent="0.3">
      <c r="A262" s="32" t="s">
        <v>1552</v>
      </c>
      <c r="B262">
        <v>-5.1587449999999997</v>
      </c>
      <c r="C262">
        <v>34.163581000000001</v>
      </c>
      <c r="E262" s="29">
        <f t="shared" si="4"/>
        <v>-39.322326000000004</v>
      </c>
      <c r="F262" s="30">
        <v>42919</v>
      </c>
    </row>
    <row r="263" spans="1:6" x14ac:dyDescent="0.3">
      <c r="A263" s="32" t="s">
        <v>1553</v>
      </c>
      <c r="B263">
        <v>-3.041957</v>
      </c>
      <c r="C263">
        <v>35.060509000000003</v>
      </c>
      <c r="E263" s="29">
        <f t="shared" si="4"/>
        <v>-38.102466000000007</v>
      </c>
      <c r="F263" s="30">
        <v>42920</v>
      </c>
    </row>
    <row r="264" spans="1:6" x14ac:dyDescent="0.3">
      <c r="A264" s="32" t="s">
        <v>1554</v>
      </c>
      <c r="B264">
        <v>-1.982988</v>
      </c>
      <c r="C264">
        <v>36.601666000000002</v>
      </c>
      <c r="E264" s="29">
        <f t="shared" si="4"/>
        <v>-38.584654</v>
      </c>
      <c r="F264" s="30">
        <v>42921</v>
      </c>
    </row>
    <row r="265" spans="1:6" x14ac:dyDescent="0.3">
      <c r="A265" s="32" t="s">
        <v>1555</v>
      </c>
      <c r="B265">
        <v>-1.7850159999999999</v>
      </c>
      <c r="C265">
        <v>38.384207000000004</v>
      </c>
      <c r="E265" s="29">
        <f t="shared" si="4"/>
        <v>-40.169223000000002</v>
      </c>
      <c r="F265" s="30">
        <v>42922</v>
      </c>
    </row>
    <row r="266" spans="1:6" x14ac:dyDescent="0.3">
      <c r="A266" s="32" t="s">
        <v>1556</v>
      </c>
      <c r="B266">
        <v>-2.5647489999999999</v>
      </c>
      <c r="C266">
        <v>38.045896999999997</v>
      </c>
      <c r="E266" s="29">
        <f t="shared" si="4"/>
        <v>-40.610645999999996</v>
      </c>
      <c r="F266" s="30">
        <v>42923</v>
      </c>
    </row>
    <row r="267" spans="1:6" x14ac:dyDescent="0.3">
      <c r="A267" s="32" t="s">
        <v>1557</v>
      </c>
      <c r="B267">
        <v>-2.7197979999999999</v>
      </c>
      <c r="C267">
        <v>38.143757999999998</v>
      </c>
      <c r="E267" s="29">
        <f t="shared" si="4"/>
        <v>-40.863555999999996</v>
      </c>
      <c r="F267" s="30">
        <v>42924</v>
      </c>
    </row>
    <row r="268" spans="1:6" x14ac:dyDescent="0.3">
      <c r="A268" s="32" t="s">
        <v>1558</v>
      </c>
      <c r="B268">
        <v>-1.5927659999999999</v>
      </c>
      <c r="C268">
        <v>38.169618</v>
      </c>
      <c r="E268" s="29">
        <f t="shared" si="4"/>
        <v>-39.762383999999997</v>
      </c>
      <c r="F268" s="30">
        <v>42925</v>
      </c>
    </row>
    <row r="269" spans="1:6" x14ac:dyDescent="0.3">
      <c r="A269" s="32" t="s">
        <v>1559</v>
      </c>
      <c r="B269">
        <v>-0.32621299999999998</v>
      </c>
      <c r="C269">
        <v>38.320675000000001</v>
      </c>
      <c r="E269" s="29">
        <f t="shared" si="4"/>
        <v>-38.646888000000004</v>
      </c>
      <c r="F269" s="30">
        <v>42926</v>
      </c>
    </row>
    <row r="270" spans="1:6" x14ac:dyDescent="0.3">
      <c r="A270" s="32" t="s">
        <v>1560</v>
      </c>
      <c r="B270">
        <v>-1.3042849999999999</v>
      </c>
      <c r="C270">
        <v>38.190432000000001</v>
      </c>
      <c r="E270" s="29">
        <f t="shared" si="4"/>
        <v>-39.494717000000001</v>
      </c>
      <c r="F270" s="30">
        <v>42927</v>
      </c>
    </row>
    <row r="271" spans="1:6" x14ac:dyDescent="0.3">
      <c r="A271" s="32" t="s">
        <v>1561</v>
      </c>
      <c r="B271">
        <v>-2.3602349999999999</v>
      </c>
      <c r="C271">
        <v>37.361604999999997</v>
      </c>
      <c r="E271" s="29">
        <f t="shared" si="4"/>
        <v>-39.72184</v>
      </c>
      <c r="F271" s="30">
        <v>42928</v>
      </c>
    </row>
    <row r="272" spans="1:6" x14ac:dyDescent="0.3">
      <c r="A272" s="32" t="s">
        <v>1562</v>
      </c>
      <c r="B272">
        <v>-3.196043</v>
      </c>
      <c r="C272">
        <v>37.376204000000001</v>
      </c>
      <c r="E272" s="29">
        <f t="shared" si="4"/>
        <v>-40.572247000000004</v>
      </c>
      <c r="F272" s="30">
        <v>42929</v>
      </c>
    </row>
    <row r="273" spans="1:6" x14ac:dyDescent="0.3">
      <c r="A273" s="32" t="s">
        <v>1563</v>
      </c>
      <c r="B273">
        <v>-3.1537769999999998</v>
      </c>
      <c r="C273">
        <v>39.627937000000003</v>
      </c>
      <c r="E273" s="29">
        <f t="shared" si="4"/>
        <v>-42.781714000000001</v>
      </c>
      <c r="F273" s="30">
        <v>42930</v>
      </c>
    </row>
    <row r="274" spans="1:6" x14ac:dyDescent="0.3">
      <c r="A274" s="32" t="s">
        <v>1564</v>
      </c>
      <c r="B274">
        <v>-2.6325249999999998</v>
      </c>
      <c r="C274">
        <v>40.659605999999997</v>
      </c>
      <c r="E274" s="29">
        <f t="shared" si="4"/>
        <v>-43.292130999999998</v>
      </c>
      <c r="F274" s="30">
        <v>42931</v>
      </c>
    </row>
    <row r="275" spans="1:6" x14ac:dyDescent="0.3">
      <c r="A275" s="32" t="s">
        <v>1565</v>
      </c>
      <c r="B275">
        <v>-2.04901</v>
      </c>
      <c r="C275">
        <v>41.025174</v>
      </c>
      <c r="E275" s="29">
        <f t="shared" si="4"/>
        <v>-43.074184000000002</v>
      </c>
      <c r="F275" s="30">
        <v>42932</v>
      </c>
    </row>
    <row r="276" spans="1:6" x14ac:dyDescent="0.3">
      <c r="A276" s="32" t="s">
        <v>1566</v>
      </c>
      <c r="B276">
        <v>-1.177095</v>
      </c>
      <c r="C276">
        <v>42.278291000000003</v>
      </c>
      <c r="E276" s="29">
        <f t="shared" si="4"/>
        <v>-43.455386000000004</v>
      </c>
      <c r="F276" s="30">
        <v>42933</v>
      </c>
    </row>
    <row r="277" spans="1:6" x14ac:dyDescent="0.3">
      <c r="A277" s="32" t="s">
        <v>1567</v>
      </c>
      <c r="B277">
        <v>-1.315588</v>
      </c>
      <c r="C277">
        <v>42.723022</v>
      </c>
      <c r="E277" s="29">
        <f t="shared" si="4"/>
        <v>-44.038609999999998</v>
      </c>
      <c r="F277" s="30">
        <v>42934</v>
      </c>
    </row>
    <row r="278" spans="1:6" x14ac:dyDescent="0.3">
      <c r="A278" s="32" t="s">
        <v>1568</v>
      </c>
      <c r="B278">
        <v>-1.140226</v>
      </c>
      <c r="C278">
        <v>41.935865999999997</v>
      </c>
      <c r="E278" s="29">
        <f t="shared" si="4"/>
        <v>-43.076091999999996</v>
      </c>
      <c r="F278" s="30">
        <v>42935</v>
      </c>
    </row>
    <row r="279" spans="1:6" x14ac:dyDescent="0.3">
      <c r="A279" s="32" t="s">
        <v>1569</v>
      </c>
      <c r="B279">
        <v>0.82403099999999996</v>
      </c>
      <c r="C279">
        <v>41.713133999999997</v>
      </c>
      <c r="E279" s="29">
        <f t="shared" si="4"/>
        <v>-40.889102999999999</v>
      </c>
      <c r="F279" s="30">
        <v>42936</v>
      </c>
    </row>
    <row r="280" spans="1:6" x14ac:dyDescent="0.3">
      <c r="A280" s="32" t="s">
        <v>1570</v>
      </c>
      <c r="B280">
        <v>1.8350200000000001</v>
      </c>
      <c r="C280">
        <v>42.079532</v>
      </c>
      <c r="E280" s="29">
        <f t="shared" si="4"/>
        <v>-40.244512</v>
      </c>
      <c r="F280" s="30">
        <v>42937</v>
      </c>
    </row>
    <row r="281" spans="1:6" x14ac:dyDescent="0.3">
      <c r="A281" s="32" t="s">
        <v>1571</v>
      </c>
      <c r="B281">
        <v>0.21901300000000001</v>
      </c>
      <c r="C281">
        <v>41.887048999999998</v>
      </c>
      <c r="E281" s="29">
        <f t="shared" si="4"/>
        <v>-41.668036000000001</v>
      </c>
      <c r="F281" s="30">
        <v>42938</v>
      </c>
    </row>
    <row r="282" spans="1:6" x14ac:dyDescent="0.3">
      <c r="A282" s="32" t="s">
        <v>1572</v>
      </c>
      <c r="B282">
        <v>0.84701599999999999</v>
      </c>
      <c r="C282">
        <v>43.088245999999998</v>
      </c>
      <c r="E282" s="29">
        <f t="shared" si="4"/>
        <v>-42.241230000000002</v>
      </c>
      <c r="F282" s="30">
        <v>42939</v>
      </c>
    </row>
    <row r="283" spans="1:6" x14ac:dyDescent="0.3">
      <c r="A283" s="32" t="s">
        <v>1573</v>
      </c>
      <c r="B283">
        <v>2.1734490000000002</v>
      </c>
      <c r="C283">
        <v>42.757935000000003</v>
      </c>
      <c r="E283" s="29">
        <f t="shared" si="4"/>
        <v>-40.584486000000005</v>
      </c>
      <c r="F283" s="30">
        <v>42940</v>
      </c>
    </row>
    <row r="284" spans="1:6" x14ac:dyDescent="0.3">
      <c r="A284" s="32" t="s">
        <v>1574</v>
      </c>
      <c r="B284">
        <v>3.6423580000000002</v>
      </c>
      <c r="C284">
        <v>40.713920000000002</v>
      </c>
      <c r="E284" s="29">
        <f t="shared" si="4"/>
        <v>-37.071562</v>
      </c>
      <c r="F284" s="30">
        <v>42941</v>
      </c>
    </row>
    <row r="285" spans="1:6" x14ac:dyDescent="0.3">
      <c r="A285" s="32" t="s">
        <v>1575</v>
      </c>
      <c r="B285">
        <v>4.5373239999999999</v>
      </c>
      <c r="C285">
        <v>41.593387</v>
      </c>
      <c r="E285" s="29">
        <f t="shared" si="4"/>
        <v>-37.056063000000002</v>
      </c>
      <c r="F285" s="30">
        <v>42942</v>
      </c>
    </row>
    <row r="286" spans="1:6" x14ac:dyDescent="0.3">
      <c r="A286" s="32" t="s">
        <v>1576</v>
      </c>
      <c r="B286">
        <v>5.6657919999999997</v>
      </c>
      <c r="C286">
        <v>41.064132000000001</v>
      </c>
      <c r="E286" s="29">
        <f t="shared" si="4"/>
        <v>-35.398340000000005</v>
      </c>
      <c r="F286" s="30">
        <v>42943</v>
      </c>
    </row>
    <row r="287" spans="1:6" x14ac:dyDescent="0.3">
      <c r="A287" s="32" t="s">
        <v>1577</v>
      </c>
      <c r="B287">
        <v>5.2186789999999998</v>
      </c>
      <c r="C287">
        <v>40.004111999999999</v>
      </c>
      <c r="E287" s="29">
        <f t="shared" si="4"/>
        <v>-34.785432999999998</v>
      </c>
      <c r="F287" s="30">
        <v>42944</v>
      </c>
    </row>
    <row r="288" spans="1:6" x14ac:dyDescent="0.3">
      <c r="A288" s="32" t="s">
        <v>1578</v>
      </c>
      <c r="B288">
        <v>5.9732500000000002</v>
      </c>
      <c r="C288">
        <v>38.326025000000001</v>
      </c>
      <c r="E288" s="29">
        <f t="shared" si="4"/>
        <v>-32.352775000000001</v>
      </c>
      <c r="F288" s="30">
        <v>42945</v>
      </c>
    </row>
    <row r="289" spans="1:6" x14ac:dyDescent="0.3">
      <c r="A289" s="32" t="s">
        <v>1579</v>
      </c>
      <c r="B289">
        <v>5.1966780000000004</v>
      </c>
      <c r="C289">
        <v>38.969422999999999</v>
      </c>
      <c r="E289" s="29">
        <f t="shared" si="4"/>
        <v>-33.772745</v>
      </c>
      <c r="F289" s="30">
        <v>42946</v>
      </c>
    </row>
    <row r="290" spans="1:6" x14ac:dyDescent="0.3">
      <c r="A290" s="32" t="s">
        <v>1580</v>
      </c>
      <c r="B290">
        <v>6.1010629999999999</v>
      </c>
      <c r="C290">
        <v>38.779128999999998</v>
      </c>
      <c r="E290" s="29">
        <f t="shared" si="4"/>
        <v>-32.678066000000001</v>
      </c>
      <c r="F290" s="30">
        <v>42947</v>
      </c>
    </row>
    <row r="291" spans="1:6" x14ac:dyDescent="0.3">
      <c r="A291" s="32" t="s">
        <v>1581</v>
      </c>
      <c r="B291">
        <v>5.8050090000000001</v>
      </c>
      <c r="C291">
        <v>39.474567999999998</v>
      </c>
      <c r="E291" s="29">
        <f t="shared" si="4"/>
        <v>-33.669559</v>
      </c>
      <c r="F291" s="30">
        <v>42948</v>
      </c>
    </row>
    <row r="292" spans="1:6" x14ac:dyDescent="0.3">
      <c r="A292" s="32" t="s">
        <v>1582</v>
      </c>
      <c r="B292">
        <v>6.2302400000000002</v>
      </c>
      <c r="C292">
        <v>40.011484000000003</v>
      </c>
      <c r="E292" s="29">
        <f t="shared" si="4"/>
        <v>-33.781244000000001</v>
      </c>
      <c r="F292" s="30">
        <v>42949</v>
      </c>
    </row>
    <row r="293" spans="1:6" x14ac:dyDescent="0.3">
      <c r="A293" s="32" t="s">
        <v>1583</v>
      </c>
      <c r="B293">
        <v>5.0447519999999999</v>
      </c>
      <c r="C293">
        <v>42.229019000000001</v>
      </c>
      <c r="E293" s="29">
        <f t="shared" si="4"/>
        <v>-37.184266999999998</v>
      </c>
      <c r="F293" s="30">
        <v>42950</v>
      </c>
    </row>
    <row r="294" spans="1:6" x14ac:dyDescent="0.3">
      <c r="A294" s="32" t="s">
        <v>1584</v>
      </c>
      <c r="B294">
        <v>6.7517680000000002</v>
      </c>
      <c r="C294">
        <v>42.452435999999999</v>
      </c>
      <c r="E294" s="29">
        <f t="shared" si="4"/>
        <v>-35.700668</v>
      </c>
      <c r="F294" s="30">
        <v>42951</v>
      </c>
    </row>
    <row r="295" spans="1:6" x14ac:dyDescent="0.3">
      <c r="A295" s="32" t="s">
        <v>1585</v>
      </c>
      <c r="B295">
        <v>5.9652770000000004</v>
      </c>
      <c r="C295">
        <v>43.342751</v>
      </c>
      <c r="E295" s="29">
        <f t="shared" si="4"/>
        <v>-37.377473999999999</v>
      </c>
      <c r="F295" s="30">
        <v>42952</v>
      </c>
    </row>
    <row r="296" spans="1:6" x14ac:dyDescent="0.3">
      <c r="A296" s="32" t="s">
        <v>1586</v>
      </c>
      <c r="B296">
        <v>5.8561920000000001</v>
      </c>
      <c r="C296">
        <v>42.393881</v>
      </c>
      <c r="E296" s="29">
        <f t="shared" si="4"/>
        <v>-36.537689</v>
      </c>
      <c r="F296" s="30">
        <v>42953</v>
      </c>
    </row>
    <row r="297" spans="1:6" x14ac:dyDescent="0.3">
      <c r="A297" s="32" t="s">
        <v>1587</v>
      </c>
      <c r="B297">
        <v>7.0776779999999997</v>
      </c>
      <c r="C297">
        <v>40.734923000000002</v>
      </c>
      <c r="E297" s="29">
        <f t="shared" si="4"/>
        <v>-33.657245000000003</v>
      </c>
      <c r="F297" s="30">
        <v>42954</v>
      </c>
    </row>
    <row r="298" spans="1:6" x14ac:dyDescent="0.3">
      <c r="A298" s="32" t="s">
        <v>1588</v>
      </c>
      <c r="B298">
        <v>6.9482010000000001</v>
      </c>
      <c r="C298">
        <v>41.805565000000001</v>
      </c>
      <c r="E298" s="29">
        <f t="shared" si="4"/>
        <v>-34.857364000000004</v>
      </c>
      <c r="F298" s="30">
        <v>42955</v>
      </c>
    </row>
    <row r="299" spans="1:6" x14ac:dyDescent="0.3">
      <c r="A299" s="32" t="s">
        <v>1589</v>
      </c>
      <c r="B299">
        <v>9.0978200000000005</v>
      </c>
      <c r="C299">
        <v>42.848157999999998</v>
      </c>
      <c r="E299" s="29">
        <f t="shared" si="4"/>
        <v>-33.750337999999999</v>
      </c>
      <c r="F299" s="30">
        <v>42956</v>
      </c>
    </row>
    <row r="300" spans="1:6" x14ac:dyDescent="0.3">
      <c r="A300" s="32" t="s">
        <v>1590</v>
      </c>
      <c r="B300">
        <v>8.2113320000000005</v>
      </c>
      <c r="C300">
        <v>44.098858</v>
      </c>
      <c r="E300" s="29">
        <f t="shared" si="4"/>
        <v>-35.887526000000001</v>
      </c>
      <c r="F300" s="30">
        <v>42957</v>
      </c>
    </row>
    <row r="301" spans="1:6" x14ac:dyDescent="0.3">
      <c r="A301" s="32" t="s">
        <v>1591</v>
      </c>
      <c r="B301">
        <v>8.5450350000000004</v>
      </c>
      <c r="C301">
        <v>43.072676000000001</v>
      </c>
      <c r="E301" s="29">
        <f t="shared" si="4"/>
        <v>-34.527641000000003</v>
      </c>
      <c r="F301" s="30">
        <v>42958</v>
      </c>
    </row>
    <row r="302" spans="1:6" x14ac:dyDescent="0.3">
      <c r="A302" s="32" t="s">
        <v>1592</v>
      </c>
      <c r="B302">
        <v>8.9776340000000001</v>
      </c>
      <c r="C302">
        <v>42.734751000000003</v>
      </c>
      <c r="E302" s="29">
        <f t="shared" si="4"/>
        <v>-33.757117000000001</v>
      </c>
      <c r="F302" s="30">
        <v>42959</v>
      </c>
    </row>
    <row r="303" spans="1:6" x14ac:dyDescent="0.3">
      <c r="A303" s="32" t="s">
        <v>1593</v>
      </c>
      <c r="B303">
        <v>9.2109970000000008</v>
      </c>
      <c r="C303">
        <v>41.925410999999997</v>
      </c>
      <c r="E303" s="29">
        <f t="shared" si="4"/>
        <v>-32.714413999999998</v>
      </c>
      <c r="F303" s="30">
        <v>42960</v>
      </c>
    </row>
    <row r="304" spans="1:6" x14ac:dyDescent="0.3">
      <c r="A304" s="32" t="s">
        <v>1594</v>
      </c>
      <c r="B304">
        <v>10.890040000000001</v>
      </c>
      <c r="C304">
        <v>40.403816999999997</v>
      </c>
      <c r="E304" s="29">
        <f t="shared" si="4"/>
        <v>-29.513776999999997</v>
      </c>
      <c r="F304" s="30">
        <v>42961</v>
      </c>
    </row>
    <row r="305" spans="1:6" x14ac:dyDescent="0.3">
      <c r="A305" s="32" t="s">
        <v>1595</v>
      </c>
      <c r="B305">
        <v>11.795133</v>
      </c>
      <c r="C305">
        <v>41.224207999999997</v>
      </c>
      <c r="E305" s="29">
        <f t="shared" si="4"/>
        <v>-29.429074999999997</v>
      </c>
      <c r="F305" s="30">
        <v>42962</v>
      </c>
    </row>
    <row r="306" spans="1:6" x14ac:dyDescent="0.3">
      <c r="A306" s="32" t="s">
        <v>1596</v>
      </c>
      <c r="B306">
        <v>10.194188</v>
      </c>
      <c r="C306">
        <v>40.732134000000002</v>
      </c>
      <c r="E306" s="29">
        <f t="shared" si="4"/>
        <v>-30.537946000000002</v>
      </c>
      <c r="F306" s="30">
        <v>42963</v>
      </c>
    </row>
    <row r="307" spans="1:6" x14ac:dyDescent="0.3">
      <c r="A307" s="32" t="s">
        <v>1597</v>
      </c>
      <c r="B307">
        <v>10.907254</v>
      </c>
      <c r="C307">
        <v>41.200968000000003</v>
      </c>
      <c r="E307" s="29">
        <f t="shared" si="4"/>
        <v>-30.293714000000001</v>
      </c>
      <c r="F307" s="30">
        <v>42964</v>
      </c>
    </row>
    <row r="308" spans="1:6" x14ac:dyDescent="0.3">
      <c r="A308" s="32" t="s">
        <v>1598</v>
      </c>
      <c r="B308">
        <v>11.117787999999999</v>
      </c>
      <c r="C308">
        <v>41.652005000000003</v>
      </c>
      <c r="E308" s="29">
        <f t="shared" si="4"/>
        <v>-30.534217000000005</v>
      </c>
      <c r="F308" s="30">
        <v>42965</v>
      </c>
    </row>
    <row r="309" spans="1:6" x14ac:dyDescent="0.3">
      <c r="A309" s="32" t="s">
        <v>1599</v>
      </c>
      <c r="B309">
        <v>9.6446660000000008</v>
      </c>
      <c r="C309">
        <v>41.488553000000003</v>
      </c>
      <c r="E309" s="29">
        <f t="shared" si="4"/>
        <v>-31.843887000000002</v>
      </c>
      <c r="F309" s="30">
        <v>42966</v>
      </c>
    </row>
    <row r="310" spans="1:6" x14ac:dyDescent="0.3">
      <c r="A310" s="32" t="s">
        <v>1600</v>
      </c>
      <c r="B310">
        <v>8.9866360000000007</v>
      </c>
      <c r="C310">
        <v>42.978737000000002</v>
      </c>
      <c r="E310" s="29">
        <f t="shared" si="4"/>
        <v>-33.992101000000005</v>
      </c>
      <c r="F310" s="30">
        <v>42967</v>
      </c>
    </row>
    <row r="311" spans="1:6" x14ac:dyDescent="0.3">
      <c r="A311" s="32" t="s">
        <v>1601</v>
      </c>
      <c r="B311">
        <v>9.6913520000000002</v>
      </c>
      <c r="C311">
        <v>41.947710999999998</v>
      </c>
      <c r="E311" s="29">
        <f t="shared" si="4"/>
        <v>-32.256358999999996</v>
      </c>
      <c r="F311" s="30">
        <v>42968</v>
      </c>
    </row>
    <row r="312" spans="1:6" x14ac:dyDescent="0.3">
      <c r="A312" s="32" t="s">
        <v>1602</v>
      </c>
      <c r="B312">
        <v>9.0705639999999992</v>
      </c>
      <c r="C312">
        <v>42.712862999999999</v>
      </c>
      <c r="E312" s="29">
        <f t="shared" si="4"/>
        <v>-33.642299000000001</v>
      </c>
      <c r="F312" s="30">
        <v>42969</v>
      </c>
    </row>
    <row r="313" spans="1:6" x14ac:dyDescent="0.3">
      <c r="A313" s="32" t="s">
        <v>1603</v>
      </c>
      <c r="B313">
        <v>11.593693</v>
      </c>
      <c r="C313">
        <v>41.526682000000001</v>
      </c>
      <c r="E313" s="29">
        <f t="shared" si="4"/>
        <v>-29.932988999999999</v>
      </c>
      <c r="F313" s="30">
        <v>42970</v>
      </c>
    </row>
    <row r="314" spans="1:6" x14ac:dyDescent="0.3">
      <c r="A314" s="32" t="s">
        <v>1604</v>
      </c>
      <c r="B314">
        <v>11.291435999999999</v>
      </c>
      <c r="C314">
        <v>40.276901000000002</v>
      </c>
      <c r="E314" s="29">
        <f t="shared" si="4"/>
        <v>-28.985465000000005</v>
      </c>
      <c r="F314" s="30">
        <v>42971</v>
      </c>
    </row>
    <row r="315" spans="1:6" x14ac:dyDescent="0.3">
      <c r="A315" s="32" t="s">
        <v>1605</v>
      </c>
      <c r="B315">
        <v>11.772188999999999</v>
      </c>
      <c r="C315">
        <v>41.444091999999998</v>
      </c>
      <c r="E315" s="29">
        <f t="shared" si="4"/>
        <v>-29.671903</v>
      </c>
      <c r="F315" s="30">
        <v>42972</v>
      </c>
    </row>
    <row r="316" spans="1:6" x14ac:dyDescent="0.3">
      <c r="A316" s="32" t="s">
        <v>1606</v>
      </c>
      <c r="B316">
        <v>14.619111</v>
      </c>
      <c r="C316">
        <v>40.924899000000003</v>
      </c>
      <c r="E316" s="29">
        <f t="shared" si="4"/>
        <v>-26.305788000000003</v>
      </c>
      <c r="F316" s="30">
        <v>42973</v>
      </c>
    </row>
    <row r="317" spans="1:6" x14ac:dyDescent="0.3">
      <c r="A317" s="32" t="s">
        <v>1607</v>
      </c>
      <c r="B317">
        <v>13.09726</v>
      </c>
      <c r="C317">
        <v>40.653384000000003</v>
      </c>
      <c r="E317" s="29">
        <f t="shared" si="4"/>
        <v>-27.556124000000004</v>
      </c>
      <c r="F317" s="30">
        <v>42974</v>
      </c>
    </row>
    <row r="318" spans="1:6" x14ac:dyDescent="0.3">
      <c r="A318" s="32" t="s">
        <v>1608</v>
      </c>
      <c r="B318">
        <v>12.423579999999999</v>
      </c>
      <c r="C318">
        <v>40.576386999999997</v>
      </c>
      <c r="E318" s="29">
        <f t="shared" si="4"/>
        <v>-28.152806999999996</v>
      </c>
      <c r="F318" s="30">
        <v>42975</v>
      </c>
    </row>
    <row r="319" spans="1:6" x14ac:dyDescent="0.3">
      <c r="A319" s="32" t="s">
        <v>1609</v>
      </c>
      <c r="B319">
        <v>11.602778000000001</v>
      </c>
      <c r="C319">
        <v>39.684562999999997</v>
      </c>
      <c r="E319" s="29">
        <f t="shared" si="4"/>
        <v>-28.081784999999996</v>
      </c>
      <c r="F319" s="30">
        <v>42976</v>
      </c>
    </row>
    <row r="320" spans="1:6" x14ac:dyDescent="0.3">
      <c r="A320" s="32" t="s">
        <v>1610</v>
      </c>
      <c r="B320">
        <v>11.567447</v>
      </c>
      <c r="C320">
        <v>39.696716000000002</v>
      </c>
      <c r="E320" s="29">
        <f t="shared" si="4"/>
        <v>-28.129269000000001</v>
      </c>
      <c r="F320" s="30">
        <v>42977</v>
      </c>
    </row>
    <row r="321" spans="1:6" x14ac:dyDescent="0.3">
      <c r="A321" s="32" t="s">
        <v>1611</v>
      </c>
      <c r="B321">
        <v>12.824111</v>
      </c>
      <c r="C321">
        <v>38.871505999999997</v>
      </c>
      <c r="E321" s="29">
        <f t="shared" si="4"/>
        <v>-26.047394999999995</v>
      </c>
      <c r="F321" s="30">
        <v>42978</v>
      </c>
    </row>
    <row r="322" spans="1:6" x14ac:dyDescent="0.3">
      <c r="A322" s="32" t="s">
        <v>1612</v>
      </c>
      <c r="B322">
        <v>14.754358999999999</v>
      </c>
      <c r="C322">
        <v>40.127091999999998</v>
      </c>
      <c r="E322" s="29">
        <f t="shared" si="4"/>
        <v>-25.372732999999997</v>
      </c>
      <c r="F322" s="30">
        <v>42979</v>
      </c>
    </row>
    <row r="323" spans="1:6" x14ac:dyDescent="0.3">
      <c r="A323" s="32" t="s">
        <v>1613</v>
      </c>
      <c r="B323">
        <v>16.25863</v>
      </c>
      <c r="C323">
        <v>40.557389999999998</v>
      </c>
      <c r="E323" s="29">
        <f t="shared" ref="E323:E337" si="5">B323-C323</f>
        <v>-24.298759999999998</v>
      </c>
      <c r="F323" s="30">
        <v>42980</v>
      </c>
    </row>
    <row r="324" spans="1:6" x14ac:dyDescent="0.3">
      <c r="A324" s="32" t="s">
        <v>1614</v>
      </c>
      <c r="B324">
        <v>16.945609999999999</v>
      </c>
      <c r="C324">
        <v>41.259383</v>
      </c>
      <c r="E324" s="29">
        <f t="shared" si="5"/>
        <v>-24.313773000000001</v>
      </c>
      <c r="F324" s="30">
        <v>42981</v>
      </c>
    </row>
    <row r="325" spans="1:6" x14ac:dyDescent="0.3">
      <c r="A325" s="32" t="s">
        <v>1615</v>
      </c>
      <c r="B325">
        <v>17.181736000000001</v>
      </c>
      <c r="C325">
        <v>42.643344999999997</v>
      </c>
      <c r="E325" s="29">
        <f t="shared" si="5"/>
        <v>-25.461608999999996</v>
      </c>
      <c r="F325" s="30">
        <v>42982</v>
      </c>
    </row>
    <row r="326" spans="1:6" x14ac:dyDescent="0.3">
      <c r="A326" s="32" t="s">
        <v>1616</v>
      </c>
      <c r="B326">
        <v>14.999214</v>
      </c>
      <c r="C326">
        <v>41.8536</v>
      </c>
      <c r="E326" s="29">
        <f t="shared" si="5"/>
        <v>-26.854385999999998</v>
      </c>
      <c r="F326" s="30">
        <v>42983</v>
      </c>
    </row>
    <row r="327" spans="1:6" x14ac:dyDescent="0.3">
      <c r="A327" s="32" t="s">
        <v>1617</v>
      </c>
      <c r="B327">
        <v>15.383588</v>
      </c>
      <c r="C327">
        <v>40.182572999999998</v>
      </c>
      <c r="E327" s="29">
        <f t="shared" si="5"/>
        <v>-24.798984999999998</v>
      </c>
      <c r="F327" s="30">
        <v>42984</v>
      </c>
    </row>
    <row r="328" spans="1:6" x14ac:dyDescent="0.3">
      <c r="A328" s="32" t="s">
        <v>1618</v>
      </c>
      <c r="B328">
        <v>17.131768999999998</v>
      </c>
      <c r="C328">
        <v>41.018909999999998</v>
      </c>
      <c r="E328" s="29">
        <f t="shared" si="5"/>
        <v>-23.887141</v>
      </c>
      <c r="F328" s="30">
        <v>42985</v>
      </c>
    </row>
    <row r="329" spans="1:6" x14ac:dyDescent="0.3">
      <c r="A329" s="32" t="s">
        <v>1619</v>
      </c>
      <c r="B329">
        <v>19.657344999999999</v>
      </c>
      <c r="C329">
        <v>40.848492999999998</v>
      </c>
      <c r="E329" s="29">
        <f t="shared" si="5"/>
        <v>-21.191147999999998</v>
      </c>
      <c r="F329" s="30">
        <v>42986</v>
      </c>
    </row>
    <row r="330" spans="1:6" x14ac:dyDescent="0.3">
      <c r="A330" s="32" t="s">
        <v>1620</v>
      </c>
      <c r="B330">
        <v>19.665272000000002</v>
      </c>
      <c r="C330">
        <v>41.487323000000004</v>
      </c>
      <c r="E330" s="29">
        <f t="shared" si="5"/>
        <v>-21.822051000000002</v>
      </c>
      <c r="F330" s="30">
        <v>42987</v>
      </c>
    </row>
    <row r="331" spans="1:6" x14ac:dyDescent="0.3">
      <c r="A331" s="32" t="s">
        <v>1621</v>
      </c>
      <c r="B331">
        <v>21.219602999999999</v>
      </c>
      <c r="C331">
        <v>40.046011999999997</v>
      </c>
      <c r="E331" s="29">
        <f t="shared" si="5"/>
        <v>-18.826408999999998</v>
      </c>
      <c r="F331" s="30">
        <v>42988</v>
      </c>
    </row>
    <row r="332" spans="1:6" x14ac:dyDescent="0.3">
      <c r="A332" s="32" t="s">
        <v>1622</v>
      </c>
      <c r="B332">
        <v>21.864836</v>
      </c>
      <c r="C332">
        <v>41.939503999999999</v>
      </c>
      <c r="E332" s="29">
        <f t="shared" si="5"/>
        <v>-20.074667999999999</v>
      </c>
      <c r="F332" s="30">
        <v>42989</v>
      </c>
    </row>
    <row r="333" spans="1:6" x14ac:dyDescent="0.3">
      <c r="A333" s="32" t="s">
        <v>1623</v>
      </c>
      <c r="B333">
        <v>22.554984000000001</v>
      </c>
      <c r="C333">
        <v>42.203803000000001</v>
      </c>
      <c r="E333" s="29">
        <f t="shared" si="5"/>
        <v>-19.648819</v>
      </c>
      <c r="F333" s="30">
        <v>42990</v>
      </c>
    </row>
    <row r="334" spans="1:6" x14ac:dyDescent="0.3">
      <c r="A334" s="32" t="s">
        <v>1624</v>
      </c>
      <c r="B334">
        <v>22.141112</v>
      </c>
      <c r="C334">
        <v>42.453152000000003</v>
      </c>
      <c r="E334" s="29">
        <f t="shared" si="5"/>
        <v>-20.312040000000003</v>
      </c>
      <c r="F334" s="30">
        <v>42991</v>
      </c>
    </row>
    <row r="335" spans="1:6" x14ac:dyDescent="0.3">
      <c r="A335" s="32" t="s">
        <v>1625</v>
      </c>
      <c r="B335">
        <v>20.866565999999999</v>
      </c>
      <c r="C335">
        <v>41.997641000000002</v>
      </c>
      <c r="E335" s="29">
        <f t="shared" si="5"/>
        <v>-21.131075000000003</v>
      </c>
      <c r="F335" s="30">
        <v>42992</v>
      </c>
    </row>
    <row r="336" spans="1:6" x14ac:dyDescent="0.3">
      <c r="A336" s="32" t="s">
        <v>1626</v>
      </c>
      <c r="B336">
        <v>21.797630999999999</v>
      </c>
      <c r="C336">
        <v>41.270918000000002</v>
      </c>
      <c r="E336" s="29">
        <f t="shared" si="5"/>
        <v>-19.473287000000003</v>
      </c>
      <c r="F336" s="30">
        <v>42993</v>
      </c>
    </row>
    <row r="337" spans="1:6" x14ac:dyDescent="0.3">
      <c r="A337" s="32" t="s">
        <v>1627</v>
      </c>
      <c r="B337">
        <v>22.067965999999998</v>
      </c>
      <c r="C337">
        <v>41.193719000000002</v>
      </c>
      <c r="E337" s="29">
        <f t="shared" si="5"/>
        <v>-19.125753000000003</v>
      </c>
      <c r="F337" s="30">
        <v>42994</v>
      </c>
    </row>
    <row r="338" spans="1:6" x14ac:dyDescent="0.3">
      <c r="A338" s="29" t="s">
        <v>756</v>
      </c>
      <c r="F338" s="30"/>
    </row>
    <row r="339" spans="1:6" x14ac:dyDescent="0.3">
      <c r="A339" s="29" t="s">
        <v>757</v>
      </c>
      <c r="F339" s="30"/>
    </row>
    <row r="340" spans="1:6" x14ac:dyDescent="0.3">
      <c r="A340" s="29" t="s">
        <v>758</v>
      </c>
      <c r="F340" s="30"/>
    </row>
    <row r="341" spans="1:6" x14ac:dyDescent="0.3">
      <c r="A341" s="29" t="s">
        <v>759</v>
      </c>
      <c r="F341" s="30"/>
    </row>
    <row r="342" spans="1:6" x14ac:dyDescent="0.3">
      <c r="A342" s="29" t="s">
        <v>760</v>
      </c>
      <c r="F342" s="30"/>
    </row>
    <row r="343" spans="1:6" x14ac:dyDescent="0.3">
      <c r="A343" s="29" t="s">
        <v>761</v>
      </c>
      <c r="F343" s="30"/>
    </row>
    <row r="344" spans="1:6" x14ac:dyDescent="0.3">
      <c r="A344" s="29" t="s">
        <v>762</v>
      </c>
      <c r="F344" s="30"/>
    </row>
    <row r="345" spans="1:6" x14ac:dyDescent="0.3">
      <c r="A345" s="29" t="s">
        <v>763</v>
      </c>
      <c r="F345" s="30"/>
    </row>
    <row r="346" spans="1:6" x14ac:dyDescent="0.3">
      <c r="A346" s="29" t="s">
        <v>764</v>
      </c>
      <c r="F346" s="30"/>
    </row>
    <row r="347" spans="1:6" x14ac:dyDescent="0.3">
      <c r="A347" s="29" t="s">
        <v>765</v>
      </c>
      <c r="F347" s="30"/>
    </row>
    <row r="348" spans="1:6" x14ac:dyDescent="0.3">
      <c r="A348" s="29" t="s">
        <v>766</v>
      </c>
      <c r="F348" s="30"/>
    </row>
    <row r="349" spans="1:6" x14ac:dyDescent="0.3">
      <c r="A349" s="29" t="s">
        <v>767</v>
      </c>
      <c r="F349" s="30"/>
    </row>
    <row r="350" spans="1:6" x14ac:dyDescent="0.3">
      <c r="A350" s="29" t="s">
        <v>768</v>
      </c>
      <c r="F350" s="30"/>
    </row>
    <row r="351" spans="1:6" x14ac:dyDescent="0.3">
      <c r="A351" s="29" t="s">
        <v>769</v>
      </c>
      <c r="F351" s="30"/>
    </row>
    <row r="352" spans="1:6" x14ac:dyDescent="0.3">
      <c r="A352" s="29" t="s">
        <v>770</v>
      </c>
      <c r="F352" s="30"/>
    </row>
    <row r="353" spans="1:6" x14ac:dyDescent="0.3">
      <c r="A353" s="29" t="s">
        <v>771</v>
      </c>
      <c r="F353" s="30"/>
    </row>
    <row r="354" spans="1:6" x14ac:dyDescent="0.3">
      <c r="A354" s="29" t="s">
        <v>772</v>
      </c>
      <c r="F354" s="30"/>
    </row>
    <row r="355" spans="1:6" x14ac:dyDescent="0.3">
      <c r="A355" s="29" t="s">
        <v>773</v>
      </c>
      <c r="F355" s="30"/>
    </row>
    <row r="356" spans="1:6" x14ac:dyDescent="0.3">
      <c r="A356" s="29" t="s">
        <v>774</v>
      </c>
      <c r="F356" s="30"/>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B77C1A-686A-4F69-9BE3-7186EE090337}">
  <sheetPr codeName="Sheet2"/>
  <dimension ref="A1:H360"/>
  <sheetViews>
    <sheetView topLeftCell="B330" workbookViewId="0">
      <selection activeCell="H330" sqref="H1:H1048576"/>
    </sheetView>
  </sheetViews>
  <sheetFormatPr defaultRowHeight="14.4" x14ac:dyDescent="0.3"/>
  <cols>
    <col min="1" max="1" width="37.21875" style="34" bestFit="1" customWidth="1"/>
    <col min="2" max="5" width="8.88671875" style="34"/>
    <col min="6" max="6" width="9.88671875" style="34" bestFit="1" customWidth="1"/>
    <col min="7" max="16384" width="8.88671875" style="34"/>
  </cols>
  <sheetData>
    <row r="1" spans="1:8" x14ac:dyDescent="0.3">
      <c r="E1" s="34" t="s">
        <v>776</v>
      </c>
      <c r="F1" s="34" t="s">
        <v>775</v>
      </c>
      <c r="H1" s="37" t="s">
        <v>2685</v>
      </c>
    </row>
    <row r="2" spans="1:8" x14ac:dyDescent="0.3">
      <c r="A2" s="36" t="s">
        <v>441</v>
      </c>
      <c r="B2" s="34">
        <v>0.33541832999999999</v>
      </c>
      <c r="C2" s="34">
        <v>0.47972362000000002</v>
      </c>
      <c r="E2" s="34">
        <f>B2-C2</f>
        <v>-0.14430529000000003</v>
      </c>
      <c r="F2" s="35">
        <v>42659</v>
      </c>
      <c r="H2" s="34">
        <f>ABS(E2)</f>
        <v>0.14430529000000003</v>
      </c>
    </row>
    <row r="3" spans="1:8" x14ac:dyDescent="0.3">
      <c r="A3" s="36" t="s">
        <v>442</v>
      </c>
      <c r="B3" s="34">
        <v>0.95835689000000002</v>
      </c>
      <c r="C3" s="34">
        <v>2.2536880799999999</v>
      </c>
      <c r="E3" s="34">
        <f t="shared" ref="E3:E70" si="0">B3-C3</f>
        <v>-1.2953311899999997</v>
      </c>
      <c r="F3" s="35">
        <v>42660</v>
      </c>
      <c r="H3" s="34">
        <f t="shared" ref="H3:H66" si="1">ABS(E3)</f>
        <v>1.2953311899999997</v>
      </c>
    </row>
    <row r="4" spans="1:8" x14ac:dyDescent="0.3">
      <c r="A4" s="36" t="s">
        <v>443</v>
      </c>
      <c r="B4" s="34">
        <v>1.3904063499999999</v>
      </c>
      <c r="C4" s="34">
        <v>3.25648896</v>
      </c>
      <c r="E4" s="34">
        <f t="shared" si="0"/>
        <v>-1.8660826100000001</v>
      </c>
      <c r="F4" s="35">
        <v>42661</v>
      </c>
      <c r="H4" s="34">
        <f t="shared" si="1"/>
        <v>1.8660826100000001</v>
      </c>
    </row>
    <row r="5" spans="1:8" x14ac:dyDescent="0.3">
      <c r="A5" s="36" t="s">
        <v>444</v>
      </c>
      <c r="B5" s="34">
        <v>2.7737030800000002</v>
      </c>
      <c r="C5" s="34">
        <v>3.0910232400000002</v>
      </c>
      <c r="E5" s="34">
        <f t="shared" si="0"/>
        <v>-0.31732015999999996</v>
      </c>
      <c r="F5" s="35">
        <v>42662</v>
      </c>
      <c r="H5" s="34">
        <f t="shared" si="1"/>
        <v>0.31732015999999996</v>
      </c>
    </row>
    <row r="6" spans="1:8" x14ac:dyDescent="0.3">
      <c r="A6" s="36" t="s">
        <v>445</v>
      </c>
      <c r="B6" s="34">
        <v>3.4785105399999998</v>
      </c>
      <c r="C6" s="34">
        <v>3.6542129299999999</v>
      </c>
      <c r="E6" s="34">
        <f t="shared" si="0"/>
        <v>-0.1757023900000001</v>
      </c>
      <c r="F6" s="35">
        <v>42663</v>
      </c>
      <c r="H6" s="34">
        <f t="shared" si="1"/>
        <v>0.1757023900000001</v>
      </c>
    </row>
    <row r="7" spans="1:8" x14ac:dyDescent="0.3">
      <c r="A7" s="36" t="s">
        <v>446</v>
      </c>
      <c r="B7" s="34">
        <v>4.0638703100000004</v>
      </c>
      <c r="C7" s="34">
        <v>2.5522371100000001</v>
      </c>
      <c r="E7" s="34">
        <f t="shared" si="0"/>
        <v>1.5116332000000003</v>
      </c>
      <c r="F7" s="35">
        <v>42664</v>
      </c>
      <c r="H7" s="34">
        <f t="shared" si="1"/>
        <v>1.5116332000000003</v>
      </c>
    </row>
    <row r="8" spans="1:8" x14ac:dyDescent="0.3">
      <c r="A8" s="36" t="s">
        <v>447</v>
      </c>
      <c r="B8" s="34">
        <v>3.7089462399999999</v>
      </c>
      <c r="C8" s="34">
        <v>3.1636980499999998</v>
      </c>
      <c r="E8" s="34">
        <f t="shared" si="0"/>
        <v>0.54524819000000013</v>
      </c>
      <c r="F8" s="35">
        <v>42665</v>
      </c>
      <c r="H8" s="34">
        <f t="shared" si="1"/>
        <v>0.54524819000000013</v>
      </c>
    </row>
    <row r="9" spans="1:8" x14ac:dyDescent="0.3">
      <c r="A9" s="36" t="s">
        <v>448</v>
      </c>
      <c r="B9" s="34">
        <v>4.5203966299999996</v>
      </c>
      <c r="C9" s="34">
        <v>2.5980757200000002</v>
      </c>
      <c r="E9" s="34">
        <f t="shared" si="0"/>
        <v>1.9223209099999994</v>
      </c>
      <c r="F9" s="35">
        <v>42666</v>
      </c>
      <c r="H9" s="34">
        <f t="shared" si="1"/>
        <v>1.9223209099999994</v>
      </c>
    </row>
    <row r="10" spans="1:8" x14ac:dyDescent="0.3">
      <c r="A10" s="36" t="s">
        <v>449</v>
      </c>
      <c r="B10" s="34">
        <v>5.3634981100000001</v>
      </c>
      <c r="C10" s="34">
        <v>3.8345835300000002</v>
      </c>
      <c r="E10" s="34">
        <f t="shared" si="0"/>
        <v>1.5289145799999999</v>
      </c>
      <c r="F10" s="35">
        <v>42667</v>
      </c>
      <c r="H10" s="34">
        <f t="shared" si="1"/>
        <v>1.5289145799999999</v>
      </c>
    </row>
    <row r="11" spans="1:8" x14ac:dyDescent="0.3">
      <c r="A11" s="36" t="s">
        <v>450</v>
      </c>
      <c r="B11" s="34">
        <v>6.44338531</v>
      </c>
      <c r="C11" s="34">
        <v>4.6880069600000001</v>
      </c>
      <c r="E11" s="34">
        <f t="shared" si="0"/>
        <v>1.75537835</v>
      </c>
      <c r="F11" s="35">
        <v>42668</v>
      </c>
      <c r="H11" s="34">
        <f t="shared" si="1"/>
        <v>1.75537835</v>
      </c>
    </row>
    <row r="12" spans="1:8" x14ac:dyDescent="0.3">
      <c r="A12" s="36" t="s">
        <v>451</v>
      </c>
      <c r="B12" s="34">
        <v>6.3351737200000002</v>
      </c>
      <c r="C12" s="34">
        <v>4.9848230100000004</v>
      </c>
      <c r="E12" s="34">
        <f t="shared" ref="E12:E15" si="2">B12-C12</f>
        <v>1.3503507099999998</v>
      </c>
      <c r="F12" s="35">
        <v>42669</v>
      </c>
      <c r="H12" s="34">
        <f t="shared" si="1"/>
        <v>1.3503507099999998</v>
      </c>
    </row>
    <row r="13" spans="1:8" x14ac:dyDescent="0.3">
      <c r="A13" s="36" t="s">
        <v>452</v>
      </c>
      <c r="B13" s="34">
        <v>4.46475607</v>
      </c>
      <c r="C13" s="34">
        <v>3.9504776100000001</v>
      </c>
      <c r="E13" s="34">
        <f t="shared" si="2"/>
        <v>0.51427845999999988</v>
      </c>
      <c r="F13" s="35">
        <v>42670</v>
      </c>
      <c r="H13" s="34">
        <f t="shared" si="1"/>
        <v>0.51427845999999988</v>
      </c>
    </row>
    <row r="14" spans="1:8" x14ac:dyDescent="0.3">
      <c r="A14" s="36" t="s">
        <v>453</v>
      </c>
      <c r="B14" s="34">
        <v>4.5444851599999998</v>
      </c>
      <c r="C14" s="34">
        <v>5.6906775100000004</v>
      </c>
      <c r="E14" s="34">
        <f t="shared" si="2"/>
        <v>-1.1461923500000006</v>
      </c>
      <c r="F14" s="35">
        <v>42671</v>
      </c>
      <c r="H14" s="34">
        <f t="shared" si="1"/>
        <v>1.1461923500000006</v>
      </c>
    </row>
    <row r="15" spans="1:8" x14ac:dyDescent="0.3">
      <c r="A15" s="36" t="s">
        <v>454</v>
      </c>
      <c r="B15" s="34">
        <v>2.73909818</v>
      </c>
      <c r="C15" s="34">
        <v>6.3500081399999999</v>
      </c>
      <c r="E15" s="34">
        <f t="shared" si="2"/>
        <v>-3.6109099599999999</v>
      </c>
      <c r="F15" s="35">
        <v>42672</v>
      </c>
      <c r="H15" s="34">
        <f t="shared" si="1"/>
        <v>3.6109099599999999</v>
      </c>
    </row>
    <row r="16" spans="1:8" x14ac:dyDescent="0.3">
      <c r="A16" s="36" t="s">
        <v>455</v>
      </c>
      <c r="B16" s="34">
        <v>2.8420958999999999</v>
      </c>
      <c r="C16" s="34">
        <v>8.3193530100000004</v>
      </c>
      <c r="E16" s="34">
        <f t="shared" si="0"/>
        <v>-5.47725711</v>
      </c>
      <c r="F16" s="35">
        <v>42669</v>
      </c>
      <c r="H16" s="34">
        <f t="shared" si="1"/>
        <v>5.47725711</v>
      </c>
    </row>
    <row r="17" spans="1:8" x14ac:dyDescent="0.3">
      <c r="A17" s="36" t="s">
        <v>456</v>
      </c>
      <c r="B17" s="34">
        <v>3.2057322799999999</v>
      </c>
      <c r="C17" s="34">
        <v>8.3618331999999995</v>
      </c>
      <c r="E17" s="34">
        <f t="shared" si="0"/>
        <v>-5.1561009200000001</v>
      </c>
      <c r="F17" s="35">
        <v>42670</v>
      </c>
      <c r="H17" s="34">
        <f t="shared" si="1"/>
        <v>5.1561009200000001</v>
      </c>
    </row>
    <row r="18" spans="1:8" x14ac:dyDescent="0.3">
      <c r="A18" s="36" t="s">
        <v>457</v>
      </c>
      <c r="B18" s="34">
        <v>2.6621465500000001</v>
      </c>
      <c r="C18" s="34">
        <v>8.3046285399999995</v>
      </c>
      <c r="E18" s="34">
        <f t="shared" si="0"/>
        <v>-5.6424819899999994</v>
      </c>
      <c r="F18" s="35">
        <v>42671</v>
      </c>
      <c r="H18" s="34">
        <f t="shared" si="1"/>
        <v>5.6424819899999994</v>
      </c>
    </row>
    <row r="19" spans="1:8" x14ac:dyDescent="0.3">
      <c r="A19" s="36" t="s">
        <v>777</v>
      </c>
      <c r="B19" s="34">
        <v>2.5147208000000001</v>
      </c>
      <c r="C19" s="34">
        <v>7.4411117200000003</v>
      </c>
      <c r="E19" s="34">
        <f t="shared" si="0"/>
        <v>-4.9263909200000002</v>
      </c>
      <c r="F19" s="35">
        <v>42672</v>
      </c>
      <c r="H19" s="34">
        <f t="shared" si="1"/>
        <v>4.9263909200000002</v>
      </c>
    </row>
    <row r="20" spans="1:8" x14ac:dyDescent="0.3">
      <c r="A20" s="36" t="s">
        <v>778</v>
      </c>
      <c r="B20" s="34">
        <v>2.7333555399999998</v>
      </c>
      <c r="C20" s="34">
        <v>7.9202278499999998</v>
      </c>
      <c r="E20" s="34">
        <f t="shared" si="0"/>
        <v>-5.18687231</v>
      </c>
      <c r="F20" s="35">
        <v>42673</v>
      </c>
      <c r="H20" s="34">
        <f t="shared" si="1"/>
        <v>5.18687231</v>
      </c>
    </row>
    <row r="21" spans="1:8" x14ac:dyDescent="0.3">
      <c r="A21" s="36" t="s">
        <v>779</v>
      </c>
      <c r="B21" s="34">
        <v>1.57202116</v>
      </c>
      <c r="C21" s="34">
        <v>8.4566942199999993</v>
      </c>
      <c r="E21" s="34">
        <f t="shared" si="0"/>
        <v>-6.884673059999999</v>
      </c>
      <c r="F21" s="35">
        <v>42674</v>
      </c>
      <c r="H21" s="34">
        <f t="shared" si="1"/>
        <v>6.884673059999999</v>
      </c>
    </row>
    <row r="22" spans="1:8" x14ac:dyDescent="0.3">
      <c r="A22" s="36" t="s">
        <v>780</v>
      </c>
      <c r="B22" s="34">
        <v>3.4293923999999998</v>
      </c>
      <c r="C22" s="34">
        <v>9.5835910599999998</v>
      </c>
      <c r="E22" s="34">
        <f t="shared" si="0"/>
        <v>-6.1541986600000005</v>
      </c>
      <c r="F22" s="35">
        <v>42675</v>
      </c>
      <c r="H22" s="34">
        <f t="shared" si="1"/>
        <v>6.1541986600000005</v>
      </c>
    </row>
    <row r="23" spans="1:8" x14ac:dyDescent="0.3">
      <c r="A23" s="36" t="s">
        <v>781</v>
      </c>
      <c r="B23" s="34">
        <v>5.3475008199999996</v>
      </c>
      <c r="C23" s="34">
        <v>10.504269989999999</v>
      </c>
      <c r="E23" s="34">
        <f t="shared" si="0"/>
        <v>-5.1567691699999996</v>
      </c>
      <c r="F23" s="35">
        <v>42676</v>
      </c>
      <c r="H23" s="34">
        <f t="shared" si="1"/>
        <v>5.1567691699999996</v>
      </c>
    </row>
    <row r="24" spans="1:8" x14ac:dyDescent="0.3">
      <c r="A24" s="36" t="s">
        <v>782</v>
      </c>
      <c r="B24" s="34">
        <v>4.7736538900000003</v>
      </c>
      <c r="C24" s="34">
        <v>11.00384317</v>
      </c>
      <c r="E24" s="34">
        <f t="shared" si="0"/>
        <v>-6.2301892799999994</v>
      </c>
      <c r="F24" s="35">
        <v>42677</v>
      </c>
      <c r="H24" s="34">
        <f t="shared" si="1"/>
        <v>6.2301892799999994</v>
      </c>
    </row>
    <row r="25" spans="1:8" x14ac:dyDescent="0.3">
      <c r="A25" s="36" t="s">
        <v>464</v>
      </c>
      <c r="B25" s="34">
        <v>3.35141022</v>
      </c>
      <c r="C25" s="34">
        <v>10.919842790000001</v>
      </c>
      <c r="E25" s="34">
        <f t="shared" si="0"/>
        <v>-7.5684325700000006</v>
      </c>
      <c r="F25" s="35">
        <v>42678</v>
      </c>
      <c r="H25" s="34">
        <f t="shared" si="1"/>
        <v>7.5684325700000006</v>
      </c>
    </row>
    <row r="26" spans="1:8" x14ac:dyDescent="0.3">
      <c r="A26" s="36" t="s">
        <v>783</v>
      </c>
      <c r="B26" s="34">
        <v>2.4229268400000001</v>
      </c>
      <c r="C26" s="34">
        <v>10.59973252</v>
      </c>
      <c r="E26" s="34">
        <f t="shared" si="0"/>
        <v>-8.1768056799999993</v>
      </c>
      <c r="F26" s="35">
        <v>42679</v>
      </c>
      <c r="H26" s="34">
        <f t="shared" si="1"/>
        <v>8.1768056799999993</v>
      </c>
    </row>
    <row r="27" spans="1:8" x14ac:dyDescent="0.3">
      <c r="A27" s="36" t="s">
        <v>784</v>
      </c>
      <c r="B27" s="34">
        <v>1.35163663</v>
      </c>
      <c r="C27" s="34">
        <v>11.47979207</v>
      </c>
      <c r="E27" s="34">
        <f t="shared" si="0"/>
        <v>-10.12815544</v>
      </c>
      <c r="F27" s="35">
        <v>42680</v>
      </c>
      <c r="H27" s="34">
        <f t="shared" si="1"/>
        <v>10.12815544</v>
      </c>
    </row>
    <row r="28" spans="1:8" x14ac:dyDescent="0.3">
      <c r="A28" s="36" t="s">
        <v>785</v>
      </c>
      <c r="B28" s="34">
        <v>1.9805117699999999</v>
      </c>
      <c r="C28" s="34">
        <v>11.627430329999999</v>
      </c>
      <c r="E28" s="34">
        <f t="shared" si="0"/>
        <v>-9.6469185599999996</v>
      </c>
      <c r="F28" s="35">
        <v>42681</v>
      </c>
      <c r="H28" s="34">
        <f t="shared" si="1"/>
        <v>9.6469185599999996</v>
      </c>
    </row>
    <row r="29" spans="1:8" x14ac:dyDescent="0.3">
      <c r="A29" s="36" t="s">
        <v>786</v>
      </c>
      <c r="B29" s="34">
        <v>2.3663536999999999</v>
      </c>
      <c r="C29" s="34">
        <v>10.58299654</v>
      </c>
      <c r="E29" s="34">
        <f t="shared" si="0"/>
        <v>-8.2166428400000004</v>
      </c>
      <c r="F29" s="35">
        <v>42682</v>
      </c>
      <c r="H29" s="34">
        <f t="shared" si="1"/>
        <v>8.2166428400000004</v>
      </c>
    </row>
    <row r="30" spans="1:8" x14ac:dyDescent="0.3">
      <c r="A30" s="36" t="s">
        <v>787</v>
      </c>
      <c r="B30" s="34">
        <v>2.4902075699999999</v>
      </c>
      <c r="C30" s="34">
        <v>10.008978539999999</v>
      </c>
      <c r="E30" s="34">
        <f t="shared" si="0"/>
        <v>-7.5187709699999994</v>
      </c>
      <c r="F30" s="35">
        <v>42683</v>
      </c>
      <c r="H30" s="34">
        <f t="shared" si="1"/>
        <v>7.5187709699999994</v>
      </c>
    </row>
    <row r="31" spans="1:8" x14ac:dyDescent="0.3">
      <c r="A31" s="36" t="s">
        <v>788</v>
      </c>
      <c r="B31" s="34">
        <v>3.57867282</v>
      </c>
      <c r="C31" s="34">
        <v>8.6215567400000008</v>
      </c>
      <c r="E31" s="34">
        <f t="shared" si="0"/>
        <v>-5.0428839200000013</v>
      </c>
      <c r="F31" s="35">
        <v>42684</v>
      </c>
      <c r="H31" s="34">
        <f t="shared" si="1"/>
        <v>5.0428839200000013</v>
      </c>
    </row>
    <row r="32" spans="1:8" x14ac:dyDescent="0.3">
      <c r="A32" s="36" t="s">
        <v>789</v>
      </c>
      <c r="B32" s="34">
        <v>3.0578756500000002</v>
      </c>
      <c r="C32" s="34">
        <v>7.4332332000000001</v>
      </c>
      <c r="E32" s="34">
        <f t="shared" si="0"/>
        <v>-4.3753575500000004</v>
      </c>
      <c r="F32" s="35">
        <v>42685</v>
      </c>
      <c r="H32" s="34">
        <f t="shared" si="1"/>
        <v>4.3753575500000004</v>
      </c>
    </row>
    <row r="33" spans="1:8" x14ac:dyDescent="0.3">
      <c r="A33" s="36" t="s">
        <v>790</v>
      </c>
      <c r="B33" s="34">
        <v>4.36817791</v>
      </c>
      <c r="C33" s="34">
        <v>8.0160478800000003</v>
      </c>
      <c r="E33" s="34">
        <f t="shared" si="0"/>
        <v>-3.6478699700000004</v>
      </c>
      <c r="F33" s="35">
        <v>42686</v>
      </c>
      <c r="H33" s="34">
        <f t="shared" si="1"/>
        <v>3.6478699700000004</v>
      </c>
    </row>
    <row r="34" spans="1:8" x14ac:dyDescent="0.3">
      <c r="A34" s="36" t="s">
        <v>791</v>
      </c>
      <c r="B34" s="34">
        <v>4.9425536599999997</v>
      </c>
      <c r="C34" s="34">
        <v>9.0056022000000002</v>
      </c>
      <c r="E34" s="34">
        <f t="shared" si="0"/>
        <v>-4.0630485400000005</v>
      </c>
      <c r="F34" s="35">
        <v>42687</v>
      </c>
      <c r="H34" s="34">
        <f t="shared" si="1"/>
        <v>4.0630485400000005</v>
      </c>
    </row>
    <row r="35" spans="1:8" x14ac:dyDescent="0.3">
      <c r="A35" s="36" t="s">
        <v>792</v>
      </c>
      <c r="B35" s="34">
        <v>5.7110377000000003</v>
      </c>
      <c r="C35" s="34">
        <v>10.95826585</v>
      </c>
      <c r="E35" s="34">
        <f t="shared" si="0"/>
        <v>-5.2472281499999998</v>
      </c>
      <c r="F35" s="35">
        <v>42688</v>
      </c>
      <c r="H35" s="34">
        <f t="shared" si="1"/>
        <v>5.2472281499999998</v>
      </c>
    </row>
    <row r="36" spans="1:8" x14ac:dyDescent="0.3">
      <c r="A36" s="36" t="s">
        <v>475</v>
      </c>
      <c r="B36" s="34">
        <v>7.79467775</v>
      </c>
      <c r="C36" s="34">
        <v>10.18830653</v>
      </c>
      <c r="E36" s="34">
        <f t="shared" si="0"/>
        <v>-2.3936287800000002</v>
      </c>
      <c r="F36" s="35">
        <v>42689</v>
      </c>
      <c r="H36" s="34">
        <f t="shared" si="1"/>
        <v>2.3936287800000002</v>
      </c>
    </row>
    <row r="37" spans="1:8" x14ac:dyDescent="0.3">
      <c r="A37" s="36" t="s">
        <v>476</v>
      </c>
      <c r="B37" s="34">
        <v>8.8126443999999999</v>
      </c>
      <c r="C37" s="34">
        <v>9.02491998</v>
      </c>
      <c r="E37" s="34">
        <f t="shared" si="0"/>
        <v>-0.21227558000000002</v>
      </c>
      <c r="F37" s="35">
        <v>42690</v>
      </c>
      <c r="H37" s="34">
        <f t="shared" si="1"/>
        <v>0.21227558000000002</v>
      </c>
    </row>
    <row r="38" spans="1:8" x14ac:dyDescent="0.3">
      <c r="A38" s="36" t="s">
        <v>477</v>
      </c>
      <c r="B38" s="34">
        <v>8.0717586899999993</v>
      </c>
      <c r="C38" s="34">
        <v>8.1107934799999999</v>
      </c>
      <c r="E38" s="34">
        <f t="shared" si="0"/>
        <v>-3.9034790000000541E-2</v>
      </c>
      <c r="F38" s="35">
        <v>42691</v>
      </c>
      <c r="H38" s="34">
        <f t="shared" si="1"/>
        <v>3.9034790000000541E-2</v>
      </c>
    </row>
    <row r="39" spans="1:8" x14ac:dyDescent="0.3">
      <c r="A39" s="36" t="s">
        <v>478</v>
      </c>
      <c r="B39" s="34">
        <v>9.0291278300000002</v>
      </c>
      <c r="C39" s="34">
        <v>9.3918208300000003</v>
      </c>
      <c r="E39" s="34">
        <f t="shared" si="0"/>
        <v>-0.36269300000000015</v>
      </c>
      <c r="F39" s="35">
        <v>42692</v>
      </c>
      <c r="H39" s="34">
        <f t="shared" si="1"/>
        <v>0.36269300000000015</v>
      </c>
    </row>
    <row r="40" spans="1:8" x14ac:dyDescent="0.3">
      <c r="A40" s="36" t="s">
        <v>793</v>
      </c>
      <c r="B40" s="34">
        <v>9.5565944599999995</v>
      </c>
      <c r="C40" s="34">
        <v>8.9481816199999997</v>
      </c>
      <c r="E40" s="34">
        <f t="shared" si="0"/>
        <v>0.60841283999999973</v>
      </c>
      <c r="F40" s="35">
        <v>42693</v>
      </c>
      <c r="H40" s="34">
        <f t="shared" si="1"/>
        <v>0.60841283999999973</v>
      </c>
    </row>
    <row r="41" spans="1:8" x14ac:dyDescent="0.3">
      <c r="A41" s="36" t="s">
        <v>794</v>
      </c>
      <c r="B41" s="34">
        <v>9.8453868599999996</v>
      </c>
      <c r="C41" s="34">
        <v>10.4375216</v>
      </c>
      <c r="E41" s="34">
        <f t="shared" si="0"/>
        <v>-0.59213474000000055</v>
      </c>
      <c r="F41" s="35">
        <v>42694</v>
      </c>
      <c r="H41" s="34">
        <f t="shared" si="1"/>
        <v>0.59213474000000055</v>
      </c>
    </row>
    <row r="42" spans="1:8" x14ac:dyDescent="0.3">
      <c r="A42" s="36" t="s">
        <v>795</v>
      </c>
      <c r="B42" s="34">
        <v>9.3753067899999998</v>
      </c>
      <c r="C42" s="34">
        <v>11.337181709999999</v>
      </c>
      <c r="E42" s="34">
        <f t="shared" si="0"/>
        <v>-1.9618749199999996</v>
      </c>
      <c r="F42" s="35">
        <v>42695</v>
      </c>
      <c r="H42" s="34">
        <f t="shared" si="1"/>
        <v>1.9618749199999996</v>
      </c>
    </row>
    <row r="43" spans="1:8" x14ac:dyDescent="0.3">
      <c r="A43" s="36" t="s">
        <v>796</v>
      </c>
      <c r="B43" s="34">
        <v>10.032163560000001</v>
      </c>
      <c r="C43" s="34">
        <v>12.34707403</v>
      </c>
      <c r="E43" s="34">
        <f t="shared" si="0"/>
        <v>-2.3149104699999992</v>
      </c>
      <c r="F43" s="35">
        <v>42696</v>
      </c>
      <c r="H43" s="34">
        <f t="shared" si="1"/>
        <v>2.3149104699999992</v>
      </c>
    </row>
    <row r="44" spans="1:8" x14ac:dyDescent="0.3">
      <c r="A44" s="36" t="s">
        <v>797</v>
      </c>
      <c r="B44" s="34">
        <v>9.6707279499999999</v>
      </c>
      <c r="C44" s="34">
        <v>12.62810659</v>
      </c>
      <c r="E44" s="34">
        <f t="shared" si="0"/>
        <v>-2.9573786399999999</v>
      </c>
      <c r="F44" s="35">
        <v>42697</v>
      </c>
      <c r="H44" s="34">
        <f t="shared" si="1"/>
        <v>2.9573786399999999</v>
      </c>
    </row>
    <row r="45" spans="1:8" x14ac:dyDescent="0.3">
      <c r="A45" s="36" t="s">
        <v>798</v>
      </c>
      <c r="B45" s="34">
        <v>10.96431806</v>
      </c>
      <c r="C45" s="34">
        <v>10.34237209</v>
      </c>
      <c r="E45" s="34">
        <f t="shared" si="0"/>
        <v>0.62194597000000051</v>
      </c>
      <c r="F45" s="35">
        <v>42698</v>
      </c>
      <c r="H45" s="34">
        <f t="shared" si="1"/>
        <v>0.62194597000000051</v>
      </c>
    </row>
    <row r="46" spans="1:8" x14ac:dyDescent="0.3">
      <c r="A46" s="36" t="s">
        <v>799</v>
      </c>
      <c r="B46" s="34">
        <v>11.95916643</v>
      </c>
      <c r="C46" s="34">
        <v>9.5789098599999996</v>
      </c>
      <c r="E46" s="34">
        <f t="shared" si="0"/>
        <v>2.3802565700000002</v>
      </c>
      <c r="F46" s="35">
        <v>42699</v>
      </c>
      <c r="H46" s="34">
        <f t="shared" si="1"/>
        <v>2.3802565700000002</v>
      </c>
    </row>
    <row r="47" spans="1:8" x14ac:dyDescent="0.3">
      <c r="A47" s="36" t="s">
        <v>800</v>
      </c>
      <c r="B47" s="34">
        <v>14.23207983</v>
      </c>
      <c r="C47" s="34">
        <v>8.8880652500000004</v>
      </c>
      <c r="E47" s="34">
        <f t="shared" si="0"/>
        <v>5.3440145799999996</v>
      </c>
      <c r="F47" s="35">
        <v>42700</v>
      </c>
      <c r="H47" s="34">
        <f t="shared" si="1"/>
        <v>5.3440145799999996</v>
      </c>
    </row>
    <row r="48" spans="1:8" x14ac:dyDescent="0.3">
      <c r="A48" s="36" t="s">
        <v>801</v>
      </c>
      <c r="B48" s="34">
        <v>13.236123149999999</v>
      </c>
      <c r="C48" s="34">
        <v>7.9959406499999996</v>
      </c>
      <c r="E48" s="34">
        <f t="shared" si="0"/>
        <v>5.2401824999999995</v>
      </c>
      <c r="F48" s="35">
        <v>42701</v>
      </c>
      <c r="H48" s="34">
        <f t="shared" si="1"/>
        <v>5.2401824999999995</v>
      </c>
    </row>
    <row r="49" spans="1:8" x14ac:dyDescent="0.3">
      <c r="A49" s="36" t="s">
        <v>802</v>
      </c>
      <c r="B49" s="34">
        <v>13.57535852</v>
      </c>
      <c r="C49" s="34">
        <v>7.7969721200000004</v>
      </c>
      <c r="E49" s="34">
        <f t="shared" si="0"/>
        <v>5.7783863999999996</v>
      </c>
      <c r="F49" s="35">
        <v>42702</v>
      </c>
      <c r="H49" s="34">
        <f t="shared" si="1"/>
        <v>5.7783863999999996</v>
      </c>
    </row>
    <row r="50" spans="1:8" x14ac:dyDescent="0.3">
      <c r="A50" s="36" t="s">
        <v>803</v>
      </c>
      <c r="B50" s="34">
        <v>12.93374955</v>
      </c>
      <c r="C50" s="34">
        <v>8.9270286700000003</v>
      </c>
      <c r="E50" s="34">
        <f t="shared" si="0"/>
        <v>4.0067208799999996</v>
      </c>
      <c r="F50" s="35">
        <v>42703</v>
      </c>
      <c r="H50" s="34">
        <f t="shared" si="1"/>
        <v>4.0067208799999996</v>
      </c>
    </row>
    <row r="51" spans="1:8" x14ac:dyDescent="0.3">
      <c r="A51" s="36" t="s">
        <v>490</v>
      </c>
      <c r="B51" s="34">
        <v>13.14368107</v>
      </c>
      <c r="C51" s="34">
        <v>8.7883508799999994</v>
      </c>
      <c r="E51" s="34">
        <f t="shared" si="0"/>
        <v>4.3553301900000001</v>
      </c>
      <c r="F51" s="35">
        <v>42704</v>
      </c>
      <c r="H51" s="34">
        <f t="shared" si="1"/>
        <v>4.3553301900000001</v>
      </c>
    </row>
    <row r="52" spans="1:8" x14ac:dyDescent="0.3">
      <c r="A52" s="36" t="s">
        <v>804</v>
      </c>
      <c r="B52" s="34">
        <v>14.455343490000001</v>
      </c>
      <c r="C52" s="34">
        <v>8.5189979900000008</v>
      </c>
      <c r="E52" s="34">
        <f t="shared" si="0"/>
        <v>5.9363454999999998</v>
      </c>
      <c r="F52" s="35">
        <v>42705</v>
      </c>
      <c r="H52" s="34">
        <f t="shared" si="1"/>
        <v>5.9363454999999998</v>
      </c>
    </row>
    <row r="53" spans="1:8" x14ac:dyDescent="0.3">
      <c r="A53" s="36" t="s">
        <v>492</v>
      </c>
      <c r="B53" s="34">
        <v>15.25899546</v>
      </c>
      <c r="C53" s="34">
        <v>8.4470855199999999</v>
      </c>
      <c r="E53" s="34">
        <f t="shared" si="0"/>
        <v>6.8119099399999996</v>
      </c>
      <c r="F53" s="35">
        <v>42706</v>
      </c>
      <c r="H53" s="34">
        <f t="shared" si="1"/>
        <v>6.8119099399999996</v>
      </c>
    </row>
    <row r="54" spans="1:8" x14ac:dyDescent="0.3">
      <c r="A54" s="36" t="s">
        <v>493</v>
      </c>
      <c r="B54" s="34">
        <v>14.40799773</v>
      </c>
      <c r="C54" s="34">
        <v>6.9607685300000002</v>
      </c>
      <c r="E54" s="34">
        <f t="shared" si="0"/>
        <v>7.4472291999999998</v>
      </c>
      <c r="F54" s="35">
        <v>42707</v>
      </c>
      <c r="H54" s="34">
        <f t="shared" si="1"/>
        <v>7.4472291999999998</v>
      </c>
    </row>
    <row r="55" spans="1:8" x14ac:dyDescent="0.3">
      <c r="A55" s="36" t="s">
        <v>494</v>
      </c>
      <c r="B55" s="34">
        <v>14.45486657</v>
      </c>
      <c r="C55" s="34">
        <v>7.7429238500000004</v>
      </c>
      <c r="E55" s="34">
        <f t="shared" si="0"/>
        <v>6.7119427199999997</v>
      </c>
      <c r="F55" s="35">
        <v>42708</v>
      </c>
      <c r="H55" s="34">
        <f t="shared" si="1"/>
        <v>6.7119427199999997</v>
      </c>
    </row>
    <row r="56" spans="1:8" x14ac:dyDescent="0.3">
      <c r="A56" s="36" t="s">
        <v>495</v>
      </c>
      <c r="B56" s="34">
        <v>13.60164009</v>
      </c>
      <c r="C56" s="34">
        <v>7.2429236299999999</v>
      </c>
      <c r="E56" s="34">
        <f t="shared" si="0"/>
        <v>6.3587164600000001</v>
      </c>
      <c r="F56" s="35">
        <v>42709</v>
      </c>
      <c r="H56" s="34">
        <f t="shared" si="1"/>
        <v>6.3587164600000001</v>
      </c>
    </row>
    <row r="57" spans="1:8" x14ac:dyDescent="0.3">
      <c r="A57" s="36" t="s">
        <v>496</v>
      </c>
      <c r="B57" s="34">
        <v>15.403348100000001</v>
      </c>
      <c r="C57" s="34">
        <v>7.3696880599999997</v>
      </c>
      <c r="E57" s="34">
        <f t="shared" si="0"/>
        <v>8.0336600400000009</v>
      </c>
      <c r="F57" s="35">
        <v>42710</v>
      </c>
      <c r="H57" s="34">
        <f t="shared" si="1"/>
        <v>8.0336600400000009</v>
      </c>
    </row>
    <row r="58" spans="1:8" x14ac:dyDescent="0.3">
      <c r="A58" s="36" t="s">
        <v>497</v>
      </c>
      <c r="B58" s="34">
        <v>15.63053305</v>
      </c>
      <c r="C58" s="34">
        <v>6.96747315</v>
      </c>
      <c r="E58" s="34">
        <f t="shared" si="0"/>
        <v>8.6630599000000004</v>
      </c>
      <c r="F58" s="35">
        <v>42711</v>
      </c>
      <c r="H58" s="34">
        <f t="shared" si="1"/>
        <v>8.6630599000000004</v>
      </c>
    </row>
    <row r="59" spans="1:8" x14ac:dyDescent="0.3">
      <c r="A59" s="36" t="s">
        <v>498</v>
      </c>
      <c r="B59" s="34">
        <v>15.45750089</v>
      </c>
      <c r="C59" s="34">
        <v>4.7339339300000001</v>
      </c>
      <c r="E59" s="34">
        <f t="shared" si="0"/>
        <v>10.723566959999999</v>
      </c>
      <c r="F59" s="35">
        <v>42712</v>
      </c>
      <c r="H59" s="34">
        <f t="shared" si="1"/>
        <v>10.723566959999999</v>
      </c>
    </row>
    <row r="60" spans="1:8" x14ac:dyDescent="0.3">
      <c r="A60" s="36" t="s">
        <v>499</v>
      </c>
      <c r="B60" s="34">
        <v>15.975564950000001</v>
      </c>
      <c r="C60" s="34">
        <v>4.3834581200000002</v>
      </c>
      <c r="E60" s="34">
        <f t="shared" si="0"/>
        <v>11.592106830000001</v>
      </c>
      <c r="F60" s="35">
        <v>42713</v>
      </c>
      <c r="H60" s="34">
        <f t="shared" si="1"/>
        <v>11.592106830000001</v>
      </c>
    </row>
    <row r="61" spans="1:8" x14ac:dyDescent="0.3">
      <c r="A61" s="36" t="s">
        <v>500</v>
      </c>
      <c r="B61" s="34">
        <v>15.17347198</v>
      </c>
      <c r="C61" s="34">
        <v>3.6303822100000001</v>
      </c>
      <c r="E61" s="34">
        <f t="shared" si="0"/>
        <v>11.54308977</v>
      </c>
      <c r="F61" s="35">
        <v>42714</v>
      </c>
      <c r="H61" s="34">
        <f t="shared" si="1"/>
        <v>11.54308977</v>
      </c>
    </row>
    <row r="62" spans="1:8" x14ac:dyDescent="0.3">
      <c r="A62" s="36" t="s">
        <v>501</v>
      </c>
      <c r="B62" s="34">
        <v>16.008093280000001</v>
      </c>
      <c r="C62" s="34">
        <v>3.6424351800000001</v>
      </c>
      <c r="E62" s="34">
        <f t="shared" si="0"/>
        <v>12.365658100000001</v>
      </c>
      <c r="F62" s="35">
        <v>42715</v>
      </c>
      <c r="H62" s="34">
        <f t="shared" si="1"/>
        <v>12.365658100000001</v>
      </c>
    </row>
    <row r="63" spans="1:8" x14ac:dyDescent="0.3">
      <c r="A63" s="36" t="s">
        <v>502</v>
      </c>
      <c r="B63" s="34">
        <v>15.36047559</v>
      </c>
      <c r="C63" s="34">
        <v>4.5985952599999997</v>
      </c>
      <c r="E63" s="34">
        <f t="shared" si="0"/>
        <v>10.76188033</v>
      </c>
      <c r="F63" s="35">
        <v>42716</v>
      </c>
      <c r="H63" s="34">
        <f t="shared" si="1"/>
        <v>10.76188033</v>
      </c>
    </row>
    <row r="64" spans="1:8" x14ac:dyDescent="0.3">
      <c r="A64" s="36" t="s">
        <v>503</v>
      </c>
      <c r="B64" s="34">
        <v>14.70340815</v>
      </c>
      <c r="C64" s="34">
        <v>4.5326465200000001</v>
      </c>
      <c r="E64" s="34">
        <f t="shared" si="0"/>
        <v>10.170761629999999</v>
      </c>
      <c r="F64" s="35">
        <v>42717</v>
      </c>
      <c r="H64" s="34">
        <f t="shared" si="1"/>
        <v>10.170761629999999</v>
      </c>
    </row>
    <row r="65" spans="1:8" x14ac:dyDescent="0.3">
      <c r="A65" s="36" t="s">
        <v>504</v>
      </c>
      <c r="B65" s="34">
        <v>14.921801950000001</v>
      </c>
      <c r="C65" s="34">
        <v>5.2833683799999998</v>
      </c>
      <c r="E65" s="34">
        <f t="shared" si="0"/>
        <v>9.6384335700000001</v>
      </c>
      <c r="F65" s="35">
        <v>42718</v>
      </c>
      <c r="H65" s="34">
        <f t="shared" si="1"/>
        <v>9.6384335700000001</v>
      </c>
    </row>
    <row r="66" spans="1:8" x14ac:dyDescent="0.3">
      <c r="A66" s="36" t="s">
        <v>505</v>
      </c>
      <c r="B66" s="34">
        <v>16.92628006</v>
      </c>
      <c r="C66" s="34">
        <v>5.9469821300000003</v>
      </c>
      <c r="E66" s="34">
        <f t="shared" si="0"/>
        <v>10.97929793</v>
      </c>
      <c r="F66" s="35">
        <v>42719</v>
      </c>
      <c r="H66" s="34">
        <f t="shared" si="1"/>
        <v>10.97929793</v>
      </c>
    </row>
    <row r="67" spans="1:8" x14ac:dyDescent="0.3">
      <c r="A67" s="36" t="s">
        <v>506</v>
      </c>
      <c r="B67" s="34">
        <v>16.328177109999999</v>
      </c>
      <c r="C67" s="34">
        <v>6.50496199</v>
      </c>
      <c r="E67" s="34">
        <f t="shared" si="0"/>
        <v>9.8232151199999986</v>
      </c>
      <c r="F67" s="35">
        <v>42720</v>
      </c>
      <c r="H67" s="34">
        <f t="shared" ref="H67:H130" si="3">ABS(E67)</f>
        <v>9.8232151199999986</v>
      </c>
    </row>
    <row r="68" spans="1:8" x14ac:dyDescent="0.3">
      <c r="A68" s="36" t="s">
        <v>507</v>
      </c>
      <c r="B68" s="34">
        <v>16.115795290000001</v>
      </c>
      <c r="C68" s="34">
        <v>5.3323560199999998</v>
      </c>
      <c r="E68" s="34">
        <f t="shared" si="0"/>
        <v>10.783439270000002</v>
      </c>
      <c r="F68" s="35">
        <v>42721</v>
      </c>
      <c r="H68" s="34">
        <f t="shared" si="3"/>
        <v>10.783439270000002</v>
      </c>
    </row>
    <row r="69" spans="1:8" x14ac:dyDescent="0.3">
      <c r="A69" s="36" t="s">
        <v>508</v>
      </c>
      <c r="B69" s="34">
        <v>16.786632430000001</v>
      </c>
      <c r="C69" s="34">
        <v>5.8554270300000004</v>
      </c>
      <c r="E69" s="34">
        <f t="shared" si="0"/>
        <v>10.9312054</v>
      </c>
      <c r="F69" s="35">
        <v>42722</v>
      </c>
      <c r="H69" s="34">
        <f t="shared" si="3"/>
        <v>10.9312054</v>
      </c>
    </row>
    <row r="70" spans="1:8" x14ac:dyDescent="0.3">
      <c r="A70" s="36" t="s">
        <v>509</v>
      </c>
      <c r="B70" s="34">
        <v>17.85404879</v>
      </c>
      <c r="C70" s="34">
        <v>7.1654975199999997</v>
      </c>
      <c r="E70" s="34">
        <f t="shared" si="0"/>
        <v>10.688551270000001</v>
      </c>
      <c r="F70" s="35">
        <v>42723</v>
      </c>
      <c r="H70" s="34">
        <f t="shared" si="3"/>
        <v>10.688551270000001</v>
      </c>
    </row>
    <row r="71" spans="1:8" x14ac:dyDescent="0.3">
      <c r="A71" s="36" t="s">
        <v>510</v>
      </c>
      <c r="B71" s="34">
        <v>15.53655447</v>
      </c>
      <c r="C71" s="34">
        <v>7.3780212399999998</v>
      </c>
      <c r="E71" s="34">
        <f t="shared" ref="E71:E134" si="4">B71-C71</f>
        <v>8.1585332299999997</v>
      </c>
      <c r="F71" s="35">
        <v>42724</v>
      </c>
      <c r="H71" s="34">
        <f t="shared" si="3"/>
        <v>8.1585332299999997</v>
      </c>
    </row>
    <row r="72" spans="1:8" x14ac:dyDescent="0.3">
      <c r="A72" s="36" t="s">
        <v>511</v>
      </c>
      <c r="B72" s="34">
        <v>15.63372665</v>
      </c>
      <c r="C72" s="34">
        <v>6.96150951</v>
      </c>
      <c r="E72" s="34">
        <f t="shared" si="4"/>
        <v>8.6722171400000008</v>
      </c>
      <c r="F72" s="35">
        <v>42725</v>
      </c>
      <c r="H72" s="34">
        <f t="shared" si="3"/>
        <v>8.6722171400000008</v>
      </c>
    </row>
    <row r="73" spans="1:8" x14ac:dyDescent="0.3">
      <c r="A73" s="36" t="s">
        <v>512</v>
      </c>
      <c r="B73" s="34">
        <v>14.172574450000001</v>
      </c>
      <c r="C73" s="34">
        <v>6.6721951600000002</v>
      </c>
      <c r="E73" s="34">
        <f t="shared" si="4"/>
        <v>7.5003792900000006</v>
      </c>
      <c r="F73" s="35">
        <v>42726</v>
      </c>
      <c r="H73" s="34">
        <f t="shared" si="3"/>
        <v>7.5003792900000006</v>
      </c>
    </row>
    <row r="74" spans="1:8" x14ac:dyDescent="0.3">
      <c r="A74" s="36" t="s">
        <v>513</v>
      </c>
      <c r="B74" s="34">
        <v>12.35158418</v>
      </c>
      <c r="C74" s="34">
        <v>6.5014499900000002</v>
      </c>
      <c r="E74" s="34">
        <f t="shared" si="4"/>
        <v>5.8501341899999995</v>
      </c>
      <c r="F74" s="35">
        <v>42727</v>
      </c>
      <c r="H74" s="34">
        <f t="shared" si="3"/>
        <v>5.8501341899999995</v>
      </c>
    </row>
    <row r="75" spans="1:8" x14ac:dyDescent="0.3">
      <c r="A75" s="36" t="s">
        <v>514</v>
      </c>
      <c r="B75" s="34">
        <v>10.71328697</v>
      </c>
      <c r="C75" s="34">
        <v>8.7604866799999996</v>
      </c>
      <c r="E75" s="34">
        <f t="shared" si="4"/>
        <v>1.9528002900000008</v>
      </c>
      <c r="F75" s="35">
        <v>42728</v>
      </c>
      <c r="H75" s="34">
        <f t="shared" si="3"/>
        <v>1.9528002900000008</v>
      </c>
    </row>
    <row r="76" spans="1:8" x14ac:dyDescent="0.3">
      <c r="A76" s="36" t="s">
        <v>515</v>
      </c>
      <c r="B76" s="34">
        <v>8.9616401700000008</v>
      </c>
      <c r="C76" s="34">
        <v>9.0854768900000007</v>
      </c>
      <c r="E76" s="34">
        <f t="shared" si="4"/>
        <v>-0.1238367199999999</v>
      </c>
      <c r="F76" s="35">
        <v>42729</v>
      </c>
      <c r="H76" s="34">
        <f t="shared" si="3"/>
        <v>0.1238367199999999</v>
      </c>
    </row>
    <row r="77" spans="1:8" x14ac:dyDescent="0.3">
      <c r="A77" s="36" t="s">
        <v>516</v>
      </c>
      <c r="B77" s="34">
        <v>9.1484107800000007</v>
      </c>
      <c r="C77" s="34">
        <v>9.2924451999999995</v>
      </c>
      <c r="E77" s="34">
        <f t="shared" si="4"/>
        <v>-0.14403441999999878</v>
      </c>
      <c r="F77" s="35">
        <v>42730</v>
      </c>
      <c r="H77" s="34">
        <f t="shared" si="3"/>
        <v>0.14403441999999878</v>
      </c>
    </row>
    <row r="78" spans="1:8" x14ac:dyDescent="0.3">
      <c r="A78" s="36" t="s">
        <v>517</v>
      </c>
      <c r="B78" s="34">
        <v>6.5274124499999999</v>
      </c>
      <c r="C78" s="34">
        <v>11.247647150000001</v>
      </c>
      <c r="E78" s="34">
        <f t="shared" si="4"/>
        <v>-4.7202347000000007</v>
      </c>
      <c r="F78" s="35">
        <v>42731</v>
      </c>
      <c r="H78" s="34">
        <f t="shared" si="3"/>
        <v>4.7202347000000007</v>
      </c>
    </row>
    <row r="79" spans="1:8" x14ac:dyDescent="0.3">
      <c r="A79" s="36" t="s">
        <v>518</v>
      </c>
      <c r="B79" s="34">
        <v>6.3068396199999999</v>
      </c>
      <c r="C79" s="34">
        <v>9.3188866600000004</v>
      </c>
      <c r="E79" s="34">
        <f t="shared" si="4"/>
        <v>-3.0120470400000006</v>
      </c>
      <c r="F79" s="35">
        <v>42732</v>
      </c>
      <c r="H79" s="34">
        <f t="shared" si="3"/>
        <v>3.0120470400000006</v>
      </c>
    </row>
    <row r="80" spans="1:8" x14ac:dyDescent="0.3">
      <c r="A80" s="36" t="s">
        <v>519</v>
      </c>
      <c r="B80" s="34">
        <v>6.5553977799999998</v>
      </c>
      <c r="C80" s="34">
        <v>8.6750680800000008</v>
      </c>
      <c r="E80" s="34">
        <f t="shared" si="4"/>
        <v>-2.119670300000001</v>
      </c>
      <c r="F80" s="35">
        <v>42733</v>
      </c>
      <c r="H80" s="34">
        <f t="shared" si="3"/>
        <v>2.119670300000001</v>
      </c>
    </row>
    <row r="81" spans="1:8" x14ac:dyDescent="0.3">
      <c r="A81" s="36" t="s">
        <v>520</v>
      </c>
      <c r="B81" s="34">
        <v>6.6574619999999998</v>
      </c>
      <c r="C81" s="34">
        <v>6.6103967600000004</v>
      </c>
      <c r="E81" s="34">
        <f t="shared" si="4"/>
        <v>4.7065239999999342E-2</v>
      </c>
      <c r="F81" s="35">
        <v>42734</v>
      </c>
      <c r="H81" s="34">
        <f t="shared" si="3"/>
        <v>4.7065239999999342E-2</v>
      </c>
    </row>
    <row r="82" spans="1:8" x14ac:dyDescent="0.3">
      <c r="A82" s="36" t="s">
        <v>521</v>
      </c>
      <c r="B82" s="34">
        <v>5.4190601100000002</v>
      </c>
      <c r="C82" s="34">
        <v>6.6120040500000004</v>
      </c>
      <c r="E82" s="34">
        <f t="shared" si="4"/>
        <v>-1.1929439400000001</v>
      </c>
      <c r="F82" s="35">
        <v>42735</v>
      </c>
      <c r="H82" s="34">
        <f t="shared" si="3"/>
        <v>1.1929439400000001</v>
      </c>
    </row>
    <row r="83" spans="1:8" x14ac:dyDescent="0.3">
      <c r="A83" s="36" t="s">
        <v>522</v>
      </c>
      <c r="B83" s="34">
        <v>5.0819089799999997</v>
      </c>
      <c r="C83" s="34">
        <v>7.3308070399999998</v>
      </c>
      <c r="E83" s="34">
        <f t="shared" si="4"/>
        <v>-2.2488980600000001</v>
      </c>
      <c r="F83" s="35">
        <v>42736</v>
      </c>
      <c r="H83" s="34">
        <f t="shared" si="3"/>
        <v>2.2488980600000001</v>
      </c>
    </row>
    <row r="84" spans="1:8" x14ac:dyDescent="0.3">
      <c r="A84" s="36" t="s">
        <v>523</v>
      </c>
      <c r="B84" s="34">
        <v>3.8420330599999999</v>
      </c>
      <c r="C84" s="34">
        <v>8.9282275799999997</v>
      </c>
      <c r="E84" s="34">
        <f t="shared" si="4"/>
        <v>-5.0861945199999994</v>
      </c>
      <c r="F84" s="35">
        <v>42737</v>
      </c>
      <c r="H84" s="34">
        <f t="shared" si="3"/>
        <v>5.0861945199999994</v>
      </c>
    </row>
    <row r="85" spans="1:8" x14ac:dyDescent="0.3">
      <c r="A85" s="36" t="s">
        <v>524</v>
      </c>
      <c r="B85" s="34">
        <v>2.5626250000000002</v>
      </c>
      <c r="C85" s="34">
        <v>7.7322414400000001</v>
      </c>
      <c r="E85" s="34">
        <f t="shared" si="4"/>
        <v>-5.1696164400000004</v>
      </c>
      <c r="F85" s="35">
        <v>42738</v>
      </c>
      <c r="H85" s="34">
        <f t="shared" si="3"/>
        <v>5.1696164400000004</v>
      </c>
    </row>
    <row r="86" spans="1:8" x14ac:dyDescent="0.3">
      <c r="A86" s="36" t="s">
        <v>525</v>
      </c>
      <c r="B86" s="34">
        <v>2.1429357800000002</v>
      </c>
      <c r="C86" s="34">
        <v>5.8980122699999997</v>
      </c>
      <c r="E86" s="34">
        <f t="shared" si="4"/>
        <v>-3.7550764899999995</v>
      </c>
      <c r="F86" s="35">
        <v>42739</v>
      </c>
      <c r="H86" s="34">
        <f t="shared" si="3"/>
        <v>3.7550764899999995</v>
      </c>
    </row>
    <row r="87" spans="1:8" x14ac:dyDescent="0.3">
      <c r="A87" s="36" t="s">
        <v>526</v>
      </c>
      <c r="B87" s="34">
        <v>1.0502563300000001</v>
      </c>
      <c r="C87" s="34">
        <v>5.6306200500000001</v>
      </c>
      <c r="E87" s="34">
        <f t="shared" si="4"/>
        <v>-4.5803637200000002</v>
      </c>
      <c r="F87" s="35">
        <v>42740</v>
      </c>
      <c r="H87" s="34">
        <f t="shared" si="3"/>
        <v>4.5803637200000002</v>
      </c>
    </row>
    <row r="88" spans="1:8" x14ac:dyDescent="0.3">
      <c r="A88" s="36" t="s">
        <v>527</v>
      </c>
      <c r="B88" s="34">
        <v>1.9027556800000001</v>
      </c>
      <c r="C88" s="34">
        <v>5.1797434200000003</v>
      </c>
      <c r="E88" s="34">
        <f t="shared" si="4"/>
        <v>-3.27698774</v>
      </c>
      <c r="F88" s="35">
        <v>42741</v>
      </c>
      <c r="H88" s="34">
        <f t="shared" si="3"/>
        <v>3.27698774</v>
      </c>
    </row>
    <row r="89" spans="1:8" x14ac:dyDescent="0.3">
      <c r="A89" s="36" t="s">
        <v>528</v>
      </c>
      <c r="B89" s="34">
        <v>1.72067456</v>
      </c>
      <c r="C89" s="34">
        <v>4.9130302099999996</v>
      </c>
      <c r="E89" s="34">
        <f t="shared" si="4"/>
        <v>-3.1923556499999997</v>
      </c>
      <c r="F89" s="35">
        <v>42742</v>
      </c>
      <c r="H89" s="34">
        <f t="shared" si="3"/>
        <v>3.1923556499999997</v>
      </c>
    </row>
    <row r="90" spans="1:8" x14ac:dyDescent="0.3">
      <c r="A90" s="36" t="s">
        <v>529</v>
      </c>
      <c r="B90" s="34">
        <v>2.0743750300000001</v>
      </c>
      <c r="C90" s="34">
        <v>5.4971371800000002</v>
      </c>
      <c r="E90" s="34">
        <f t="shared" si="4"/>
        <v>-3.4227621500000001</v>
      </c>
      <c r="F90" s="35">
        <v>42743</v>
      </c>
      <c r="H90" s="34">
        <f t="shared" si="3"/>
        <v>3.4227621500000001</v>
      </c>
    </row>
    <row r="91" spans="1:8" x14ac:dyDescent="0.3">
      <c r="A91" s="36" t="s">
        <v>530</v>
      </c>
      <c r="B91" s="34">
        <v>3.4770307599999999</v>
      </c>
      <c r="C91" s="34">
        <v>6.4039228000000001</v>
      </c>
      <c r="E91" s="34">
        <f t="shared" si="4"/>
        <v>-2.9268920400000003</v>
      </c>
      <c r="F91" s="35">
        <v>42744</v>
      </c>
      <c r="H91" s="34">
        <f t="shared" si="3"/>
        <v>2.9268920400000003</v>
      </c>
    </row>
    <row r="92" spans="1:8" x14ac:dyDescent="0.3">
      <c r="A92" s="36" t="s">
        <v>531</v>
      </c>
      <c r="B92" s="34">
        <v>4.25370881</v>
      </c>
      <c r="C92" s="34">
        <v>7.2867527499999998</v>
      </c>
      <c r="E92" s="34">
        <f t="shared" si="4"/>
        <v>-3.0330439399999998</v>
      </c>
      <c r="F92" s="35">
        <v>42745</v>
      </c>
      <c r="H92" s="34">
        <f t="shared" si="3"/>
        <v>3.0330439399999998</v>
      </c>
    </row>
    <row r="93" spans="1:8" x14ac:dyDescent="0.3">
      <c r="A93" s="36" t="s">
        <v>532</v>
      </c>
      <c r="B93" s="34">
        <v>5.7456045600000003</v>
      </c>
      <c r="C93" s="34">
        <v>6.9616013600000004</v>
      </c>
      <c r="E93" s="34">
        <f t="shared" si="4"/>
        <v>-1.2159968000000001</v>
      </c>
      <c r="F93" s="35">
        <v>42746</v>
      </c>
      <c r="H93" s="34">
        <f t="shared" si="3"/>
        <v>1.2159968000000001</v>
      </c>
    </row>
    <row r="94" spans="1:8" x14ac:dyDescent="0.3">
      <c r="A94" s="36" t="s">
        <v>533</v>
      </c>
      <c r="B94" s="34">
        <v>2.9649271800000001</v>
      </c>
      <c r="C94" s="34">
        <v>7.8117754499999998</v>
      </c>
      <c r="E94" s="34">
        <f t="shared" si="4"/>
        <v>-4.8468482699999997</v>
      </c>
      <c r="F94" s="35">
        <v>42747</v>
      </c>
      <c r="H94" s="34">
        <f t="shared" si="3"/>
        <v>4.8468482699999997</v>
      </c>
    </row>
    <row r="95" spans="1:8" x14ac:dyDescent="0.3">
      <c r="A95" s="36" t="s">
        <v>534</v>
      </c>
      <c r="B95" s="34">
        <v>2.8950765000000001</v>
      </c>
      <c r="C95" s="34">
        <v>8.0357207200000005</v>
      </c>
      <c r="E95" s="34">
        <f t="shared" si="4"/>
        <v>-5.1406442200000004</v>
      </c>
      <c r="F95" s="35">
        <v>42748</v>
      </c>
      <c r="H95" s="34">
        <f t="shared" si="3"/>
        <v>5.1406442200000004</v>
      </c>
    </row>
    <row r="96" spans="1:8" x14ac:dyDescent="0.3">
      <c r="A96" s="36" t="s">
        <v>535</v>
      </c>
      <c r="B96" s="34">
        <v>3.9129866</v>
      </c>
      <c r="C96" s="34">
        <v>5.9131965600000003</v>
      </c>
      <c r="E96" s="34">
        <f t="shared" si="4"/>
        <v>-2.0002099600000003</v>
      </c>
      <c r="F96" s="35">
        <v>42749</v>
      </c>
      <c r="H96" s="34">
        <f t="shared" si="3"/>
        <v>2.0002099600000003</v>
      </c>
    </row>
    <row r="97" spans="1:8" x14ac:dyDescent="0.3">
      <c r="A97" s="36" t="s">
        <v>536</v>
      </c>
      <c r="B97" s="34">
        <v>2.3045311499999999</v>
      </c>
      <c r="C97" s="34">
        <v>6.4536693400000003</v>
      </c>
      <c r="E97" s="34">
        <f t="shared" si="4"/>
        <v>-4.1491381900000004</v>
      </c>
      <c r="F97" s="35">
        <v>42750</v>
      </c>
      <c r="H97" s="34">
        <f t="shared" si="3"/>
        <v>4.1491381900000004</v>
      </c>
    </row>
    <row r="98" spans="1:8" x14ac:dyDescent="0.3">
      <c r="A98" s="36" t="s">
        <v>537</v>
      </c>
      <c r="B98" s="34">
        <v>2.0723494599999999</v>
      </c>
      <c r="C98" s="34">
        <v>5.9575058099999998</v>
      </c>
      <c r="E98" s="34">
        <f t="shared" si="4"/>
        <v>-3.8851563499999999</v>
      </c>
      <c r="F98" s="35">
        <v>42751</v>
      </c>
      <c r="H98" s="34">
        <f t="shared" si="3"/>
        <v>3.8851563499999999</v>
      </c>
    </row>
    <row r="99" spans="1:8" x14ac:dyDescent="0.3">
      <c r="A99" s="36" t="s">
        <v>538</v>
      </c>
      <c r="B99" s="34">
        <v>1.9799599400000001</v>
      </c>
      <c r="C99" s="34">
        <v>4.7786154700000001</v>
      </c>
      <c r="E99" s="34">
        <f t="shared" si="4"/>
        <v>-2.79865553</v>
      </c>
      <c r="F99" s="35">
        <v>42752</v>
      </c>
      <c r="H99" s="34">
        <f t="shared" si="3"/>
        <v>2.79865553</v>
      </c>
    </row>
    <row r="100" spans="1:8" x14ac:dyDescent="0.3">
      <c r="A100" s="36" t="s">
        <v>539</v>
      </c>
      <c r="B100" s="34">
        <v>2.62801515</v>
      </c>
      <c r="C100" s="34">
        <v>3.7945301200000001</v>
      </c>
      <c r="E100" s="34">
        <f t="shared" si="4"/>
        <v>-1.1665149700000002</v>
      </c>
      <c r="F100" s="35">
        <v>42753</v>
      </c>
      <c r="H100" s="34">
        <f t="shared" si="3"/>
        <v>1.1665149700000002</v>
      </c>
    </row>
    <row r="101" spans="1:8" x14ac:dyDescent="0.3">
      <c r="A101" s="36" t="s">
        <v>540</v>
      </c>
      <c r="B101" s="34">
        <v>2.3873062599999999</v>
      </c>
      <c r="C101" s="34">
        <v>3.1594117800000001</v>
      </c>
      <c r="E101" s="34">
        <f t="shared" si="4"/>
        <v>-0.77210552000000021</v>
      </c>
      <c r="F101" s="35">
        <v>42754</v>
      </c>
      <c r="H101" s="34">
        <f t="shared" si="3"/>
        <v>0.77210552000000021</v>
      </c>
    </row>
    <row r="102" spans="1:8" x14ac:dyDescent="0.3">
      <c r="A102" s="36" t="s">
        <v>541</v>
      </c>
      <c r="B102" s="34">
        <v>1.83389019</v>
      </c>
      <c r="C102" s="34">
        <v>3.5030412700000002</v>
      </c>
      <c r="E102" s="34">
        <f t="shared" si="4"/>
        <v>-1.6691510800000002</v>
      </c>
      <c r="F102" s="35">
        <v>42755</v>
      </c>
      <c r="H102" s="34">
        <f t="shared" si="3"/>
        <v>1.6691510800000002</v>
      </c>
    </row>
    <row r="103" spans="1:8" x14ac:dyDescent="0.3">
      <c r="A103" s="36" t="s">
        <v>542</v>
      </c>
      <c r="B103" s="34">
        <v>0.42040664999999999</v>
      </c>
      <c r="C103" s="34">
        <v>2.42410521</v>
      </c>
      <c r="E103" s="34">
        <f t="shared" si="4"/>
        <v>-2.0036985600000001</v>
      </c>
      <c r="F103" s="35">
        <v>42756</v>
      </c>
      <c r="H103" s="34">
        <f t="shared" si="3"/>
        <v>2.0036985600000001</v>
      </c>
    </row>
    <row r="104" spans="1:8" x14ac:dyDescent="0.3">
      <c r="A104" s="36" t="s">
        <v>543</v>
      </c>
      <c r="B104" s="34">
        <v>0.95796853000000004</v>
      </c>
      <c r="C104" s="34">
        <v>2.5304666299999998</v>
      </c>
      <c r="E104" s="34">
        <f t="shared" si="4"/>
        <v>-1.5724980999999998</v>
      </c>
      <c r="F104" s="35">
        <v>42757</v>
      </c>
      <c r="H104" s="34">
        <f t="shared" si="3"/>
        <v>1.5724980999999998</v>
      </c>
    </row>
    <row r="105" spans="1:8" x14ac:dyDescent="0.3">
      <c r="A105" s="36" t="s">
        <v>544</v>
      </c>
      <c r="B105" s="34">
        <v>-1.81793516</v>
      </c>
      <c r="C105" s="34">
        <v>1.07572325</v>
      </c>
      <c r="E105" s="34">
        <f t="shared" si="4"/>
        <v>-2.89365841</v>
      </c>
      <c r="F105" s="35">
        <v>42758</v>
      </c>
      <c r="H105" s="34">
        <f t="shared" si="3"/>
        <v>2.89365841</v>
      </c>
    </row>
    <row r="106" spans="1:8" x14ac:dyDescent="0.3">
      <c r="A106" s="36" t="s">
        <v>545</v>
      </c>
      <c r="B106" s="34">
        <v>-1.29892162</v>
      </c>
      <c r="C106" s="34">
        <v>-5.9689979999999997E-2</v>
      </c>
      <c r="E106" s="34">
        <f t="shared" si="4"/>
        <v>-1.2392316400000001</v>
      </c>
      <c r="F106" s="35">
        <v>42759</v>
      </c>
      <c r="H106" s="34">
        <f t="shared" si="3"/>
        <v>1.2392316400000001</v>
      </c>
    </row>
    <row r="107" spans="1:8" x14ac:dyDescent="0.3">
      <c r="A107" s="36" t="s">
        <v>546</v>
      </c>
      <c r="B107" s="34">
        <v>-0.37788018000000001</v>
      </c>
      <c r="C107" s="34">
        <v>-0.97530971</v>
      </c>
      <c r="E107" s="34">
        <f t="shared" si="4"/>
        <v>0.59742952999999999</v>
      </c>
      <c r="F107" s="35">
        <v>42760</v>
      </c>
      <c r="H107" s="34">
        <f t="shared" si="3"/>
        <v>0.59742952999999999</v>
      </c>
    </row>
    <row r="108" spans="1:8" x14ac:dyDescent="0.3">
      <c r="A108" s="36" t="s">
        <v>547</v>
      </c>
      <c r="B108" s="34">
        <v>-1.4232079500000001</v>
      </c>
      <c r="C108" s="34">
        <v>-1.0712220100000001</v>
      </c>
      <c r="E108" s="34">
        <f t="shared" si="4"/>
        <v>-0.35198594000000005</v>
      </c>
      <c r="F108" s="35">
        <v>42761</v>
      </c>
      <c r="H108" s="34">
        <f t="shared" si="3"/>
        <v>0.35198594000000005</v>
      </c>
    </row>
    <row r="109" spans="1:8" x14ac:dyDescent="0.3">
      <c r="A109" s="36" t="s">
        <v>548</v>
      </c>
      <c r="B109" s="34">
        <v>3.2770000000000001E-2</v>
      </c>
      <c r="C109" s="34">
        <v>-2.6482323299999999</v>
      </c>
      <c r="E109" s="34">
        <f t="shared" si="4"/>
        <v>2.6810023300000001</v>
      </c>
      <c r="F109" s="35">
        <v>42762</v>
      </c>
      <c r="H109" s="34">
        <f t="shared" si="3"/>
        <v>2.6810023300000001</v>
      </c>
    </row>
    <row r="110" spans="1:8" x14ac:dyDescent="0.3">
      <c r="A110" s="36" t="s">
        <v>549</v>
      </c>
      <c r="B110" s="34">
        <v>-1.1617786000000001</v>
      </c>
      <c r="C110" s="34">
        <v>-2.1722956</v>
      </c>
      <c r="E110" s="34">
        <f t="shared" si="4"/>
        <v>1.0105169999999999</v>
      </c>
      <c r="F110" s="35">
        <v>42763</v>
      </c>
      <c r="H110" s="34">
        <f t="shared" si="3"/>
        <v>1.0105169999999999</v>
      </c>
    </row>
    <row r="111" spans="1:8" x14ac:dyDescent="0.3">
      <c r="A111" s="36" t="s">
        <v>550</v>
      </c>
      <c r="B111" s="34">
        <v>-0.27304568000000001</v>
      </c>
      <c r="C111" s="34">
        <v>-3.2989767099999998</v>
      </c>
      <c r="E111" s="34">
        <f t="shared" si="4"/>
        <v>3.0259310299999997</v>
      </c>
      <c r="F111" s="35">
        <v>42764</v>
      </c>
      <c r="H111" s="34">
        <f t="shared" si="3"/>
        <v>3.0259310299999997</v>
      </c>
    </row>
    <row r="112" spans="1:8" x14ac:dyDescent="0.3">
      <c r="A112" s="36" t="s">
        <v>551</v>
      </c>
      <c r="B112" s="34">
        <v>1.7079584800000001</v>
      </c>
      <c r="C112" s="34">
        <v>-4.6805977800000003</v>
      </c>
      <c r="E112" s="34">
        <f t="shared" si="4"/>
        <v>6.3885562600000005</v>
      </c>
      <c r="F112" s="35">
        <v>42765</v>
      </c>
      <c r="H112" s="34">
        <f t="shared" si="3"/>
        <v>6.3885562600000005</v>
      </c>
    </row>
    <row r="113" spans="1:8" x14ac:dyDescent="0.3">
      <c r="A113" s="36" t="s">
        <v>552</v>
      </c>
      <c r="B113" s="34">
        <v>1.00127414</v>
      </c>
      <c r="C113" s="34">
        <v>-5.5590798399999999</v>
      </c>
      <c r="E113" s="34">
        <f t="shared" si="4"/>
        <v>6.5603539800000004</v>
      </c>
      <c r="F113" s="35">
        <v>42766</v>
      </c>
      <c r="H113" s="34">
        <f t="shared" si="3"/>
        <v>6.5603539800000004</v>
      </c>
    </row>
    <row r="114" spans="1:8" x14ac:dyDescent="0.3">
      <c r="A114" s="36" t="s">
        <v>553</v>
      </c>
      <c r="B114" s="34">
        <v>0.74703691000000005</v>
      </c>
      <c r="C114" s="34">
        <v>-5.5273876800000004</v>
      </c>
      <c r="E114" s="34">
        <f t="shared" si="4"/>
        <v>6.2744245900000006</v>
      </c>
      <c r="F114" s="35">
        <v>42767</v>
      </c>
      <c r="H114" s="34">
        <f t="shared" si="3"/>
        <v>6.2744245900000006</v>
      </c>
    </row>
    <row r="115" spans="1:8" x14ac:dyDescent="0.3">
      <c r="A115" s="36" t="s">
        <v>554</v>
      </c>
      <c r="B115" s="34">
        <v>0.44338274999999999</v>
      </c>
      <c r="C115" s="34">
        <v>-6.42363135</v>
      </c>
      <c r="E115" s="34">
        <f t="shared" si="4"/>
        <v>6.8670140999999996</v>
      </c>
      <c r="F115" s="35">
        <v>42768</v>
      </c>
      <c r="H115" s="34">
        <f t="shared" si="3"/>
        <v>6.8670140999999996</v>
      </c>
    </row>
    <row r="116" spans="1:8" x14ac:dyDescent="0.3">
      <c r="A116" s="36" t="s">
        <v>555</v>
      </c>
      <c r="B116" s="34">
        <v>-0.40903316000000001</v>
      </c>
      <c r="C116" s="34">
        <v>-6.86628623</v>
      </c>
      <c r="E116" s="34">
        <f t="shared" si="4"/>
        <v>6.4572530700000002</v>
      </c>
      <c r="F116" s="35">
        <v>42769</v>
      </c>
      <c r="H116" s="34">
        <f t="shared" si="3"/>
        <v>6.4572530700000002</v>
      </c>
    </row>
    <row r="117" spans="1:8" x14ac:dyDescent="0.3">
      <c r="A117" s="36" t="s">
        <v>556</v>
      </c>
      <c r="B117" s="34">
        <v>0.43104608</v>
      </c>
      <c r="C117" s="34">
        <v>-7.7157369600000001</v>
      </c>
      <c r="E117" s="34">
        <f t="shared" si="4"/>
        <v>8.1467830400000008</v>
      </c>
      <c r="F117" s="35">
        <v>42770</v>
      </c>
      <c r="H117" s="34">
        <f t="shared" si="3"/>
        <v>8.1467830400000008</v>
      </c>
    </row>
    <row r="118" spans="1:8" x14ac:dyDescent="0.3">
      <c r="A118" s="36" t="s">
        <v>557</v>
      </c>
      <c r="B118" s="34">
        <v>-6.1105899999999998E-2</v>
      </c>
      <c r="C118" s="34">
        <v>-6.3928082399999999</v>
      </c>
      <c r="E118" s="34">
        <f t="shared" si="4"/>
        <v>6.3317023399999997</v>
      </c>
      <c r="F118" s="35">
        <v>42771</v>
      </c>
      <c r="H118" s="34">
        <f t="shared" si="3"/>
        <v>6.3317023399999997</v>
      </c>
    </row>
    <row r="119" spans="1:8" x14ac:dyDescent="0.3">
      <c r="A119" s="36" t="s">
        <v>558</v>
      </c>
      <c r="B119" s="34">
        <v>-0.96500819000000004</v>
      </c>
      <c r="C119" s="34">
        <v>-6.21301405</v>
      </c>
      <c r="E119" s="34">
        <f t="shared" si="4"/>
        <v>5.2480058600000001</v>
      </c>
      <c r="F119" s="35">
        <v>42772</v>
      </c>
      <c r="H119" s="34">
        <f t="shared" si="3"/>
        <v>5.2480058600000001</v>
      </c>
    </row>
    <row r="120" spans="1:8" x14ac:dyDescent="0.3">
      <c r="A120" s="36" t="s">
        <v>559</v>
      </c>
      <c r="B120" s="34">
        <v>-0.58281780999999999</v>
      </c>
      <c r="C120" s="34">
        <v>-7.0625755000000003</v>
      </c>
      <c r="E120" s="34">
        <f t="shared" si="4"/>
        <v>6.4797576900000005</v>
      </c>
      <c r="F120" s="35">
        <v>42773</v>
      </c>
      <c r="H120" s="34">
        <f t="shared" si="3"/>
        <v>6.4797576900000005</v>
      </c>
    </row>
    <row r="121" spans="1:8" x14ac:dyDescent="0.3">
      <c r="A121" s="36" t="s">
        <v>560</v>
      </c>
      <c r="B121" s="34">
        <v>-0.29485519999999998</v>
      </c>
      <c r="C121" s="34">
        <v>-6.4209282500000002</v>
      </c>
      <c r="E121" s="34">
        <f t="shared" si="4"/>
        <v>6.1260730500000005</v>
      </c>
      <c r="F121" s="35">
        <v>42774</v>
      </c>
      <c r="H121" s="34">
        <f t="shared" si="3"/>
        <v>6.1260730500000005</v>
      </c>
    </row>
    <row r="122" spans="1:8" x14ac:dyDescent="0.3">
      <c r="A122" s="36" t="s">
        <v>561</v>
      </c>
      <c r="B122" s="34">
        <v>-0.26471152999999997</v>
      </c>
      <c r="C122" s="34">
        <v>-5.04475754</v>
      </c>
      <c r="E122" s="34">
        <f t="shared" si="4"/>
        <v>4.7800460100000004</v>
      </c>
      <c r="F122" s="35">
        <v>42775</v>
      </c>
      <c r="H122" s="34">
        <f t="shared" si="3"/>
        <v>4.7800460100000004</v>
      </c>
    </row>
    <row r="123" spans="1:8" x14ac:dyDescent="0.3">
      <c r="A123" s="36" t="s">
        <v>562</v>
      </c>
      <c r="B123" s="34">
        <v>-1.22613477</v>
      </c>
      <c r="C123" s="34">
        <v>-4.6855487900000004</v>
      </c>
      <c r="E123" s="34">
        <f t="shared" si="4"/>
        <v>3.4594140200000005</v>
      </c>
      <c r="F123" s="35">
        <v>42776</v>
      </c>
      <c r="H123" s="34">
        <f t="shared" si="3"/>
        <v>3.4594140200000005</v>
      </c>
    </row>
    <row r="124" spans="1:8" x14ac:dyDescent="0.3">
      <c r="A124" s="36" t="s">
        <v>563</v>
      </c>
      <c r="B124" s="34">
        <v>-1.2300291999999999</v>
      </c>
      <c r="C124" s="34">
        <v>-4.4246539199999999</v>
      </c>
      <c r="E124" s="34">
        <f t="shared" si="4"/>
        <v>3.1946247200000002</v>
      </c>
      <c r="F124" s="35">
        <v>42777</v>
      </c>
      <c r="H124" s="34">
        <f t="shared" si="3"/>
        <v>3.1946247200000002</v>
      </c>
    </row>
    <row r="125" spans="1:8" x14ac:dyDescent="0.3">
      <c r="A125" s="36" t="s">
        <v>564</v>
      </c>
      <c r="B125" s="34">
        <v>-1.25848574</v>
      </c>
      <c r="C125" s="34">
        <v>-3.3309887599999999</v>
      </c>
      <c r="E125" s="34">
        <f t="shared" si="4"/>
        <v>2.0725030200000001</v>
      </c>
      <c r="F125" s="35">
        <v>42778</v>
      </c>
      <c r="H125" s="34">
        <f t="shared" si="3"/>
        <v>2.0725030200000001</v>
      </c>
    </row>
    <row r="126" spans="1:8" x14ac:dyDescent="0.3">
      <c r="A126" s="36" t="s">
        <v>565</v>
      </c>
      <c r="B126" s="34">
        <v>-0.13977730999999999</v>
      </c>
      <c r="C126" s="34">
        <v>-5.5890993399999997</v>
      </c>
      <c r="E126" s="34">
        <f t="shared" si="4"/>
        <v>5.4493220299999994</v>
      </c>
      <c r="F126" s="35">
        <v>42779</v>
      </c>
      <c r="H126" s="34">
        <f t="shared" si="3"/>
        <v>5.4493220299999994</v>
      </c>
    </row>
    <row r="127" spans="1:8" x14ac:dyDescent="0.3">
      <c r="A127" s="36" t="s">
        <v>811</v>
      </c>
      <c r="B127" s="34">
        <v>-0.88170725999999999</v>
      </c>
      <c r="C127" s="34">
        <v>-5.9431537700000003</v>
      </c>
      <c r="E127" s="34">
        <f t="shared" si="4"/>
        <v>5.0614465100000006</v>
      </c>
      <c r="F127" s="35">
        <v>42780</v>
      </c>
      <c r="H127" s="34">
        <f t="shared" si="3"/>
        <v>5.0614465100000006</v>
      </c>
    </row>
    <row r="128" spans="1:8" x14ac:dyDescent="0.3">
      <c r="A128" s="36" t="s">
        <v>812</v>
      </c>
      <c r="B128" s="34">
        <v>-1.5860621800000001</v>
      </c>
      <c r="C128" s="34">
        <v>-4.8763504600000003</v>
      </c>
      <c r="E128" s="34">
        <f t="shared" si="4"/>
        <v>3.2902882800000004</v>
      </c>
      <c r="F128" s="35">
        <v>42781</v>
      </c>
      <c r="H128" s="34">
        <f t="shared" si="3"/>
        <v>3.2902882800000004</v>
      </c>
    </row>
    <row r="129" spans="1:8" x14ac:dyDescent="0.3">
      <c r="A129" s="36" t="s">
        <v>568</v>
      </c>
      <c r="B129" s="34">
        <v>-2.2125158900000002</v>
      </c>
      <c r="C129" s="34">
        <v>-4.3200181000000004</v>
      </c>
      <c r="E129" s="34">
        <f t="shared" si="4"/>
        <v>2.1075022100000003</v>
      </c>
      <c r="F129" s="35">
        <v>42782</v>
      </c>
      <c r="H129" s="34">
        <f t="shared" si="3"/>
        <v>2.1075022100000003</v>
      </c>
    </row>
    <row r="130" spans="1:8" x14ac:dyDescent="0.3">
      <c r="A130" s="36" t="s">
        <v>813</v>
      </c>
      <c r="B130" s="34">
        <v>-2.6111506499999999</v>
      </c>
      <c r="C130" s="34">
        <v>-3.0482773600000002</v>
      </c>
      <c r="E130" s="34">
        <f t="shared" si="4"/>
        <v>0.43712671000000025</v>
      </c>
      <c r="F130" s="35">
        <v>42783</v>
      </c>
      <c r="H130" s="34">
        <f t="shared" si="3"/>
        <v>0.43712671000000025</v>
      </c>
    </row>
    <row r="131" spans="1:8" x14ac:dyDescent="0.3">
      <c r="A131" s="36" t="s">
        <v>814</v>
      </c>
      <c r="B131" s="34">
        <v>-2.0188337399999998</v>
      </c>
      <c r="C131" s="34">
        <v>-0.54030818000000003</v>
      </c>
      <c r="E131" s="34">
        <f t="shared" si="4"/>
        <v>-1.4785255599999998</v>
      </c>
      <c r="F131" s="35">
        <v>42784</v>
      </c>
      <c r="H131" s="34">
        <f t="shared" ref="H131:H194" si="5">ABS(E131)</f>
        <v>1.4785255599999998</v>
      </c>
    </row>
    <row r="132" spans="1:8" x14ac:dyDescent="0.3">
      <c r="A132" s="36" t="s">
        <v>815</v>
      </c>
      <c r="B132" s="34">
        <v>-3.2452927100000002</v>
      </c>
      <c r="C132" s="34">
        <v>-1.1857253800000001</v>
      </c>
      <c r="E132" s="34">
        <f t="shared" si="4"/>
        <v>-2.0595673300000001</v>
      </c>
      <c r="F132" s="35">
        <v>42785</v>
      </c>
      <c r="H132" s="34">
        <f t="shared" si="5"/>
        <v>2.0595673300000001</v>
      </c>
    </row>
    <row r="133" spans="1:8" x14ac:dyDescent="0.3">
      <c r="A133" s="36" t="s">
        <v>572</v>
      </c>
      <c r="B133" s="34">
        <v>-2.6311522799999998</v>
      </c>
      <c r="C133" s="34">
        <v>-3.1880952300000001</v>
      </c>
      <c r="E133" s="34">
        <f t="shared" si="4"/>
        <v>0.55694295000000027</v>
      </c>
      <c r="F133" s="35">
        <v>42786</v>
      </c>
      <c r="H133" s="34">
        <f t="shared" si="5"/>
        <v>0.55694295000000027</v>
      </c>
    </row>
    <row r="134" spans="1:8" x14ac:dyDescent="0.3">
      <c r="A134" s="36" t="s">
        <v>573</v>
      </c>
      <c r="B134" s="34">
        <v>-4.3373851400000003</v>
      </c>
      <c r="C134" s="34">
        <v>-2.7241665500000001</v>
      </c>
      <c r="E134" s="34">
        <f t="shared" si="4"/>
        <v>-1.6132185900000002</v>
      </c>
      <c r="F134" s="35">
        <v>42787</v>
      </c>
      <c r="H134" s="34">
        <f t="shared" si="5"/>
        <v>1.6132185900000002</v>
      </c>
    </row>
    <row r="135" spans="1:8" x14ac:dyDescent="0.3">
      <c r="A135" s="36" t="s">
        <v>574</v>
      </c>
      <c r="B135" s="34">
        <v>-5.1167487300000003</v>
      </c>
      <c r="C135" s="34">
        <v>-2.3291659500000002</v>
      </c>
      <c r="E135" s="34">
        <f t="shared" ref="E135:E198" si="6">B135-C135</f>
        <v>-2.7875827800000001</v>
      </c>
      <c r="F135" s="35">
        <v>42788</v>
      </c>
      <c r="H135" s="34">
        <f t="shared" si="5"/>
        <v>2.7875827800000001</v>
      </c>
    </row>
    <row r="136" spans="1:8" x14ac:dyDescent="0.3">
      <c r="A136" s="36" t="s">
        <v>575</v>
      </c>
      <c r="B136" s="34">
        <v>-5.6898485699999997</v>
      </c>
      <c r="C136" s="34">
        <v>-2.4992354699999999</v>
      </c>
      <c r="E136" s="34">
        <f t="shared" si="6"/>
        <v>-3.1906130999999998</v>
      </c>
      <c r="F136" s="35">
        <v>42789</v>
      </c>
      <c r="H136" s="34">
        <f t="shared" si="5"/>
        <v>3.1906130999999998</v>
      </c>
    </row>
    <row r="137" spans="1:8" x14ac:dyDescent="0.3">
      <c r="A137" s="36" t="s">
        <v>576</v>
      </c>
      <c r="B137" s="34">
        <v>-5.4663207900000002</v>
      </c>
      <c r="C137" s="34">
        <v>-1.7581359400000001</v>
      </c>
      <c r="E137" s="34">
        <f t="shared" si="6"/>
        <v>-3.7081848500000003</v>
      </c>
      <c r="F137" s="35">
        <v>42790</v>
      </c>
      <c r="H137" s="34">
        <f t="shared" si="5"/>
        <v>3.7081848500000003</v>
      </c>
    </row>
    <row r="138" spans="1:8" x14ac:dyDescent="0.3">
      <c r="A138" s="36" t="s">
        <v>577</v>
      </c>
      <c r="B138" s="34">
        <v>-4.3476014100000002</v>
      </c>
      <c r="C138" s="34">
        <v>-1.14072219</v>
      </c>
      <c r="E138" s="34">
        <f t="shared" si="6"/>
        <v>-3.2068792200000003</v>
      </c>
      <c r="F138" s="35">
        <v>42791</v>
      </c>
      <c r="H138" s="34">
        <f t="shared" si="5"/>
        <v>3.2068792200000003</v>
      </c>
    </row>
    <row r="139" spans="1:8" x14ac:dyDescent="0.3">
      <c r="A139" s="36" t="s">
        <v>578</v>
      </c>
      <c r="B139" s="34">
        <v>-4.8827454699999997</v>
      </c>
      <c r="C139" s="34">
        <v>-1.2157212100000001</v>
      </c>
      <c r="E139" s="34">
        <f t="shared" si="6"/>
        <v>-3.6670242599999998</v>
      </c>
      <c r="F139" s="35">
        <v>42792</v>
      </c>
      <c r="H139" s="34">
        <f t="shared" si="5"/>
        <v>3.6670242599999998</v>
      </c>
    </row>
    <row r="140" spans="1:8" x14ac:dyDescent="0.3">
      <c r="A140" s="36" t="s">
        <v>579</v>
      </c>
      <c r="B140" s="34">
        <v>-3.9396130399999998</v>
      </c>
      <c r="C140" s="34">
        <v>-0.68742473999999998</v>
      </c>
      <c r="E140" s="34">
        <f t="shared" si="6"/>
        <v>-3.2521882999999998</v>
      </c>
      <c r="F140" s="35">
        <v>42793</v>
      </c>
      <c r="H140" s="34">
        <f t="shared" si="5"/>
        <v>3.2521882999999998</v>
      </c>
    </row>
    <row r="141" spans="1:8" x14ac:dyDescent="0.3">
      <c r="A141" s="36" t="s">
        <v>580</v>
      </c>
      <c r="B141" s="34">
        <v>-4.0774426000000004</v>
      </c>
      <c r="C141" s="34">
        <v>-0.68264504000000004</v>
      </c>
      <c r="E141" s="34">
        <f t="shared" si="6"/>
        <v>-3.3947975600000002</v>
      </c>
      <c r="F141" s="35">
        <v>42794</v>
      </c>
      <c r="H141" s="34">
        <f t="shared" si="5"/>
        <v>3.3947975600000002</v>
      </c>
    </row>
    <row r="142" spans="1:8" x14ac:dyDescent="0.3">
      <c r="A142" s="36" t="s">
        <v>581</v>
      </c>
      <c r="B142" s="34">
        <v>-4.3187009200000004</v>
      </c>
      <c r="C142" s="34">
        <v>-0.51925668999999997</v>
      </c>
      <c r="E142" s="34">
        <f t="shared" si="6"/>
        <v>-3.7994442300000006</v>
      </c>
      <c r="F142" s="35">
        <v>42795</v>
      </c>
      <c r="H142" s="34">
        <f t="shared" si="5"/>
        <v>3.7994442300000006</v>
      </c>
    </row>
    <row r="143" spans="1:8" x14ac:dyDescent="0.3">
      <c r="A143" s="36" t="s">
        <v>582</v>
      </c>
      <c r="B143" s="34">
        <v>-3.2647021299999999</v>
      </c>
      <c r="C143" s="34">
        <v>-1.42407536</v>
      </c>
      <c r="E143" s="34">
        <f t="shared" si="6"/>
        <v>-1.8406267699999999</v>
      </c>
      <c r="F143" s="35">
        <v>42796</v>
      </c>
      <c r="H143" s="34">
        <f t="shared" si="5"/>
        <v>1.8406267699999999</v>
      </c>
    </row>
    <row r="144" spans="1:8" x14ac:dyDescent="0.3">
      <c r="A144" s="36" t="s">
        <v>816</v>
      </c>
      <c r="B144" s="34">
        <v>-4.480391</v>
      </c>
      <c r="C144" s="34">
        <v>-1.4810680300000001</v>
      </c>
      <c r="E144" s="34">
        <f t="shared" si="6"/>
        <v>-2.9993229699999997</v>
      </c>
      <c r="F144" s="35">
        <v>42797</v>
      </c>
      <c r="H144" s="34">
        <f t="shared" si="5"/>
        <v>2.9993229699999997</v>
      </c>
    </row>
    <row r="145" spans="1:8" x14ac:dyDescent="0.3">
      <c r="A145" s="36" t="s">
        <v>817</v>
      </c>
      <c r="B145" s="34">
        <v>-5.7525327700000002</v>
      </c>
      <c r="C145" s="34">
        <v>0.91867076000000003</v>
      </c>
      <c r="E145" s="34">
        <f t="shared" si="6"/>
        <v>-6.6712035300000005</v>
      </c>
      <c r="F145" s="35">
        <v>42798</v>
      </c>
      <c r="H145" s="34">
        <f t="shared" si="5"/>
        <v>6.6712035300000005</v>
      </c>
    </row>
    <row r="146" spans="1:8" x14ac:dyDescent="0.3">
      <c r="A146" s="36" t="s">
        <v>818</v>
      </c>
      <c r="B146" s="34">
        <v>-5.9554726100000002</v>
      </c>
      <c r="C146" s="34">
        <v>0.27194475000000001</v>
      </c>
      <c r="E146" s="34">
        <f t="shared" si="6"/>
        <v>-6.2274173600000005</v>
      </c>
      <c r="F146" s="35">
        <v>42799</v>
      </c>
      <c r="H146" s="34">
        <f t="shared" si="5"/>
        <v>6.2274173600000005</v>
      </c>
    </row>
    <row r="147" spans="1:8" x14ac:dyDescent="0.3">
      <c r="A147" s="36" t="s">
        <v>819</v>
      </c>
      <c r="B147" s="34">
        <v>-5.3854490699999999</v>
      </c>
      <c r="C147" s="34">
        <v>-0.54104909000000001</v>
      </c>
      <c r="E147" s="34">
        <f t="shared" si="6"/>
        <v>-4.8443999800000004</v>
      </c>
      <c r="F147" s="35">
        <v>42800</v>
      </c>
      <c r="H147" s="34">
        <f t="shared" si="5"/>
        <v>4.8443999800000004</v>
      </c>
    </row>
    <row r="148" spans="1:8" x14ac:dyDescent="0.3">
      <c r="A148" s="36" t="s">
        <v>820</v>
      </c>
      <c r="B148" s="34">
        <v>-4.3442930000000004</v>
      </c>
      <c r="C148" s="34">
        <v>0.45199964999999998</v>
      </c>
      <c r="E148" s="34">
        <f t="shared" si="6"/>
        <v>-4.7962926500000007</v>
      </c>
      <c r="F148" s="35">
        <v>42801</v>
      </c>
      <c r="H148" s="34">
        <f t="shared" si="5"/>
        <v>4.7962926500000007</v>
      </c>
    </row>
    <row r="149" spans="1:8" x14ac:dyDescent="0.3">
      <c r="A149" s="36" t="s">
        <v>821</v>
      </c>
      <c r="B149" s="34">
        <v>-5.3089992400000003</v>
      </c>
      <c r="C149" s="34">
        <v>-1.0478032900000001</v>
      </c>
      <c r="E149" s="34">
        <f t="shared" si="6"/>
        <v>-4.2611959500000003</v>
      </c>
      <c r="F149" s="35">
        <v>42802</v>
      </c>
      <c r="H149" s="34">
        <f t="shared" si="5"/>
        <v>4.2611959500000003</v>
      </c>
    </row>
    <row r="150" spans="1:8" x14ac:dyDescent="0.3">
      <c r="A150" s="36" t="s">
        <v>589</v>
      </c>
      <c r="B150" s="34">
        <v>-4.0102359600000002</v>
      </c>
      <c r="C150" s="34">
        <v>-1.10522454</v>
      </c>
      <c r="E150" s="34">
        <f t="shared" si="6"/>
        <v>-2.9050114200000001</v>
      </c>
      <c r="F150" s="35">
        <v>42803</v>
      </c>
      <c r="H150" s="34">
        <f t="shared" si="5"/>
        <v>2.9050114200000001</v>
      </c>
    </row>
    <row r="151" spans="1:8" x14ac:dyDescent="0.3">
      <c r="A151" s="36" t="s">
        <v>590</v>
      </c>
      <c r="B151" s="34">
        <v>-4.7949564100000002</v>
      </c>
      <c r="C151" s="34">
        <v>-2.1512608499999999</v>
      </c>
      <c r="E151" s="34">
        <f t="shared" si="6"/>
        <v>-2.6436955600000003</v>
      </c>
      <c r="F151" s="35">
        <v>42804</v>
      </c>
      <c r="H151" s="34">
        <f t="shared" si="5"/>
        <v>2.6436955600000003</v>
      </c>
    </row>
    <row r="152" spans="1:8" x14ac:dyDescent="0.3">
      <c r="A152" s="36" t="s">
        <v>591</v>
      </c>
      <c r="B152" s="34">
        <v>-4.2053155899999997</v>
      </c>
      <c r="C152" s="34">
        <v>-3.6026036299999999</v>
      </c>
      <c r="E152" s="34">
        <f t="shared" si="6"/>
        <v>-0.60271195999999971</v>
      </c>
      <c r="F152" s="35">
        <v>42805</v>
      </c>
      <c r="H152" s="34">
        <f t="shared" si="5"/>
        <v>0.60271195999999971</v>
      </c>
    </row>
    <row r="153" spans="1:8" x14ac:dyDescent="0.3">
      <c r="A153" s="36" t="s">
        <v>592</v>
      </c>
      <c r="B153" s="34">
        <v>-3.28263148</v>
      </c>
      <c r="C153" s="34">
        <v>-5.1516749600000002</v>
      </c>
      <c r="E153" s="34">
        <f t="shared" si="6"/>
        <v>1.8690434800000002</v>
      </c>
      <c r="F153" s="35">
        <v>42806</v>
      </c>
      <c r="H153" s="34">
        <f t="shared" si="5"/>
        <v>1.8690434800000002</v>
      </c>
    </row>
    <row r="154" spans="1:8" x14ac:dyDescent="0.3">
      <c r="A154" s="36" t="s">
        <v>593</v>
      </c>
      <c r="B154" s="34">
        <v>-4.95257288</v>
      </c>
      <c r="C154" s="34">
        <v>-6.6030748900000003</v>
      </c>
      <c r="E154" s="34">
        <f t="shared" si="6"/>
        <v>1.6505020100000003</v>
      </c>
      <c r="F154" s="35">
        <v>42807</v>
      </c>
      <c r="H154" s="34">
        <f t="shared" si="5"/>
        <v>1.6505020100000003</v>
      </c>
    </row>
    <row r="155" spans="1:8" x14ac:dyDescent="0.3">
      <c r="A155" s="36" t="s">
        <v>594</v>
      </c>
      <c r="B155" s="34">
        <v>-5.4649905299999997</v>
      </c>
      <c r="C155" s="34">
        <v>-7.52174853</v>
      </c>
      <c r="E155" s="34">
        <f t="shared" si="6"/>
        <v>2.0567580000000003</v>
      </c>
      <c r="F155" s="35">
        <v>42808</v>
      </c>
      <c r="H155" s="34">
        <f t="shared" si="5"/>
        <v>2.0567580000000003</v>
      </c>
    </row>
    <row r="156" spans="1:8" x14ac:dyDescent="0.3">
      <c r="A156" s="36" t="s">
        <v>595</v>
      </c>
      <c r="B156" s="34">
        <v>-5.5680768599999997</v>
      </c>
      <c r="C156" s="34">
        <v>-6.3466179699999996</v>
      </c>
      <c r="E156" s="34">
        <f t="shared" si="6"/>
        <v>0.77854110999999993</v>
      </c>
      <c r="F156" s="35">
        <v>42809</v>
      </c>
      <c r="H156" s="34">
        <f t="shared" si="5"/>
        <v>0.77854110999999993</v>
      </c>
    </row>
    <row r="157" spans="1:8" x14ac:dyDescent="0.3">
      <c r="A157" s="36" t="s">
        <v>596</v>
      </c>
      <c r="B157" s="34">
        <v>-5.2732707100000002</v>
      </c>
      <c r="C157" s="34">
        <v>-3.5540394700000002</v>
      </c>
      <c r="E157" s="34">
        <f t="shared" si="6"/>
        <v>-1.71923124</v>
      </c>
      <c r="F157" s="35">
        <v>42810</v>
      </c>
      <c r="H157" s="34">
        <f t="shared" si="5"/>
        <v>1.71923124</v>
      </c>
    </row>
    <row r="158" spans="1:8" x14ac:dyDescent="0.3">
      <c r="A158" s="36" t="s">
        <v>597</v>
      </c>
      <c r="B158" s="34">
        <v>-6.8248631399999997</v>
      </c>
      <c r="C158" s="34">
        <v>-3.8467862400000001</v>
      </c>
      <c r="E158" s="34">
        <f t="shared" si="6"/>
        <v>-2.9780768999999996</v>
      </c>
      <c r="F158" s="35">
        <v>42811</v>
      </c>
      <c r="H158" s="34">
        <f t="shared" si="5"/>
        <v>2.9780768999999996</v>
      </c>
    </row>
    <row r="159" spans="1:8" x14ac:dyDescent="0.3">
      <c r="A159" s="36" t="s">
        <v>598</v>
      </c>
      <c r="B159" s="34">
        <v>-7.31179237</v>
      </c>
      <c r="C159" s="34">
        <v>-4.7256893499999997</v>
      </c>
      <c r="E159" s="34">
        <f t="shared" si="6"/>
        <v>-2.5861030200000004</v>
      </c>
      <c r="F159" s="35">
        <v>42812</v>
      </c>
      <c r="H159" s="34">
        <f t="shared" si="5"/>
        <v>2.5861030200000004</v>
      </c>
    </row>
    <row r="160" spans="1:8" x14ac:dyDescent="0.3">
      <c r="A160" s="36" t="s">
        <v>599</v>
      </c>
      <c r="B160" s="34">
        <v>-9.0732331399999993</v>
      </c>
      <c r="C160" s="34">
        <v>-4.4016521500000003</v>
      </c>
      <c r="E160" s="34">
        <f t="shared" si="6"/>
        <v>-4.6715809899999989</v>
      </c>
      <c r="F160" s="35">
        <v>42813</v>
      </c>
      <c r="H160" s="34">
        <f t="shared" si="5"/>
        <v>4.6715809899999989</v>
      </c>
    </row>
    <row r="161" spans="1:8" x14ac:dyDescent="0.3">
      <c r="A161" s="36" t="s">
        <v>600</v>
      </c>
      <c r="B161" s="34">
        <v>-8.6751706300000002</v>
      </c>
      <c r="C161" s="34">
        <v>-6.6507386200000003</v>
      </c>
      <c r="E161" s="34">
        <f t="shared" si="6"/>
        <v>-2.0244320099999999</v>
      </c>
      <c r="F161" s="35">
        <v>42814</v>
      </c>
      <c r="H161" s="34">
        <f t="shared" si="5"/>
        <v>2.0244320099999999</v>
      </c>
    </row>
    <row r="162" spans="1:8" x14ac:dyDescent="0.3">
      <c r="A162" s="36" t="s">
        <v>601</v>
      </c>
      <c r="B162" s="34">
        <v>-8.4179917300000007</v>
      </c>
      <c r="C162" s="34">
        <v>-6.7663284299999997</v>
      </c>
      <c r="E162" s="34">
        <f t="shared" si="6"/>
        <v>-1.6516633000000009</v>
      </c>
      <c r="F162" s="35">
        <v>42815</v>
      </c>
      <c r="H162" s="34">
        <f t="shared" si="5"/>
        <v>1.6516633000000009</v>
      </c>
    </row>
    <row r="163" spans="1:8" x14ac:dyDescent="0.3">
      <c r="A163" s="36" t="s">
        <v>602</v>
      </c>
      <c r="B163" s="34">
        <v>-9.6157398999999995</v>
      </c>
      <c r="C163" s="34">
        <v>-6.9135391500000001</v>
      </c>
      <c r="E163" s="34">
        <f t="shared" si="6"/>
        <v>-2.7022007499999994</v>
      </c>
      <c r="F163" s="35">
        <v>42816</v>
      </c>
      <c r="H163" s="34">
        <f t="shared" si="5"/>
        <v>2.7022007499999994</v>
      </c>
    </row>
    <row r="164" spans="1:8" x14ac:dyDescent="0.3">
      <c r="A164" s="36" t="s">
        <v>603</v>
      </c>
      <c r="B164" s="34">
        <v>-8.9519146299999992</v>
      </c>
      <c r="C164" s="34">
        <v>-6.9481009399999998</v>
      </c>
      <c r="E164" s="34">
        <f t="shared" si="6"/>
        <v>-2.0038136899999994</v>
      </c>
      <c r="F164" s="35">
        <v>42817</v>
      </c>
      <c r="H164" s="34">
        <f t="shared" si="5"/>
        <v>2.0038136899999994</v>
      </c>
    </row>
    <row r="165" spans="1:8" x14ac:dyDescent="0.3">
      <c r="A165" s="36" t="s">
        <v>604</v>
      </c>
      <c r="B165" s="34">
        <v>-8.4302084500000003</v>
      </c>
      <c r="C165" s="34">
        <v>-9.28152358</v>
      </c>
      <c r="E165" s="34">
        <f t="shared" si="6"/>
        <v>0.8513151299999997</v>
      </c>
      <c r="F165" s="35">
        <v>42818</v>
      </c>
      <c r="H165" s="34">
        <f t="shared" si="5"/>
        <v>0.8513151299999997</v>
      </c>
    </row>
    <row r="166" spans="1:8" x14ac:dyDescent="0.3">
      <c r="A166" s="36" t="s">
        <v>605</v>
      </c>
      <c r="B166" s="34">
        <v>-8.3197485899999997</v>
      </c>
      <c r="C166" s="34">
        <v>-9.4600396500000006</v>
      </c>
      <c r="E166" s="34">
        <f t="shared" si="6"/>
        <v>1.1402910600000009</v>
      </c>
      <c r="F166" s="35">
        <v>42819</v>
      </c>
      <c r="H166" s="34">
        <f t="shared" si="5"/>
        <v>1.1402910600000009</v>
      </c>
    </row>
    <row r="167" spans="1:8" x14ac:dyDescent="0.3">
      <c r="A167" s="36" t="s">
        <v>606</v>
      </c>
      <c r="B167" s="34">
        <v>-8.0631110899999996</v>
      </c>
      <c r="C167" s="34">
        <v>-10.658480259999999</v>
      </c>
      <c r="E167" s="34">
        <f t="shared" si="6"/>
        <v>2.5953691699999997</v>
      </c>
      <c r="F167" s="35">
        <v>42820</v>
      </c>
      <c r="H167" s="34">
        <f t="shared" si="5"/>
        <v>2.5953691699999997</v>
      </c>
    </row>
    <row r="168" spans="1:8" x14ac:dyDescent="0.3">
      <c r="A168" s="36" t="s">
        <v>607</v>
      </c>
      <c r="B168" s="34">
        <v>-8.2367153099999992</v>
      </c>
      <c r="C168" s="34">
        <v>-10.0492487</v>
      </c>
      <c r="E168" s="34">
        <f t="shared" si="6"/>
        <v>1.8125333900000005</v>
      </c>
      <c r="F168" s="35">
        <v>42821</v>
      </c>
      <c r="H168" s="34">
        <f t="shared" si="5"/>
        <v>1.8125333900000005</v>
      </c>
    </row>
    <row r="169" spans="1:8" x14ac:dyDescent="0.3">
      <c r="A169" s="36" t="s">
        <v>608</v>
      </c>
      <c r="B169" s="34">
        <v>-8.7826590899999992</v>
      </c>
      <c r="C169" s="34">
        <v>-10.37290572</v>
      </c>
      <c r="E169" s="34">
        <f t="shared" si="6"/>
        <v>1.5902466300000011</v>
      </c>
      <c r="F169" s="35">
        <v>42822</v>
      </c>
      <c r="H169" s="34">
        <f t="shared" si="5"/>
        <v>1.5902466300000011</v>
      </c>
    </row>
    <row r="170" spans="1:8" x14ac:dyDescent="0.3">
      <c r="A170" s="36" t="s">
        <v>609</v>
      </c>
      <c r="B170" s="34">
        <v>-7.9276419699999998</v>
      </c>
      <c r="C170" s="34">
        <v>-11.584386930000001</v>
      </c>
      <c r="E170" s="34">
        <f t="shared" si="6"/>
        <v>3.656744960000001</v>
      </c>
      <c r="F170" s="35">
        <v>42823</v>
      </c>
      <c r="H170" s="34">
        <f t="shared" si="5"/>
        <v>3.656744960000001</v>
      </c>
    </row>
    <row r="171" spans="1:8" x14ac:dyDescent="0.3">
      <c r="A171" s="36" t="s">
        <v>1973</v>
      </c>
      <c r="B171" s="34">
        <v>-7.1486804399999997</v>
      </c>
      <c r="C171" s="34">
        <v>-12.00746653</v>
      </c>
      <c r="E171" s="34">
        <f t="shared" si="6"/>
        <v>4.8587860900000006</v>
      </c>
      <c r="F171" s="35">
        <v>42824</v>
      </c>
      <c r="H171" s="34">
        <f t="shared" si="5"/>
        <v>4.8587860900000006</v>
      </c>
    </row>
    <row r="172" spans="1:8" x14ac:dyDescent="0.3">
      <c r="A172" s="36" t="s">
        <v>1974</v>
      </c>
      <c r="B172" s="34">
        <v>-7.3493210400000004</v>
      </c>
      <c r="C172" s="34">
        <v>-11.263349939999999</v>
      </c>
      <c r="E172" s="34">
        <f t="shared" si="6"/>
        <v>3.914028899999999</v>
      </c>
      <c r="F172" s="35">
        <v>42825</v>
      </c>
      <c r="H172" s="34">
        <f t="shared" si="5"/>
        <v>3.914028899999999</v>
      </c>
    </row>
    <row r="173" spans="1:8" x14ac:dyDescent="0.3">
      <c r="A173" s="36" t="s">
        <v>830</v>
      </c>
      <c r="B173" s="34">
        <v>-5.6417521400000004</v>
      </c>
      <c r="C173" s="34">
        <v>-10.67075022</v>
      </c>
      <c r="E173" s="34">
        <f t="shared" si="6"/>
        <v>5.02899808</v>
      </c>
      <c r="F173" s="35">
        <v>42826</v>
      </c>
      <c r="H173" s="34">
        <f t="shared" si="5"/>
        <v>5.02899808</v>
      </c>
    </row>
    <row r="174" spans="1:8" x14ac:dyDescent="0.3">
      <c r="A174" s="36" t="s">
        <v>613</v>
      </c>
      <c r="B174" s="34">
        <v>-7.9816950499999999</v>
      </c>
      <c r="C174" s="34">
        <v>-11.34786334</v>
      </c>
      <c r="E174" s="34">
        <f t="shared" si="6"/>
        <v>3.3661682900000001</v>
      </c>
      <c r="F174" s="35">
        <v>42827</v>
      </c>
      <c r="H174" s="34">
        <f t="shared" si="5"/>
        <v>3.3661682900000001</v>
      </c>
    </row>
    <row r="175" spans="1:8" x14ac:dyDescent="0.3">
      <c r="A175" s="36" t="s">
        <v>614</v>
      </c>
      <c r="B175" s="34">
        <v>-7.89611106</v>
      </c>
      <c r="C175" s="34">
        <v>-12.33521502</v>
      </c>
      <c r="E175" s="34">
        <f t="shared" si="6"/>
        <v>4.4391039599999997</v>
      </c>
      <c r="F175" s="35">
        <v>42828</v>
      </c>
      <c r="H175" s="34">
        <f t="shared" si="5"/>
        <v>4.4391039599999997</v>
      </c>
    </row>
    <row r="176" spans="1:8" x14ac:dyDescent="0.3">
      <c r="A176" s="36" t="s">
        <v>832</v>
      </c>
      <c r="B176" s="34">
        <v>-10.22841457</v>
      </c>
      <c r="C176" s="34">
        <v>-12.685872310000001</v>
      </c>
      <c r="E176" s="34">
        <f t="shared" si="6"/>
        <v>2.4574577400000006</v>
      </c>
      <c r="F176" s="35">
        <v>42829</v>
      </c>
      <c r="H176" s="34">
        <f t="shared" si="5"/>
        <v>2.4574577400000006</v>
      </c>
    </row>
    <row r="177" spans="1:8" x14ac:dyDescent="0.3">
      <c r="A177" s="36" t="s">
        <v>616</v>
      </c>
      <c r="B177" s="34">
        <v>-9.6022006500000003</v>
      </c>
      <c r="C177" s="34">
        <v>-12.502937259999999</v>
      </c>
      <c r="E177" s="34">
        <f t="shared" si="6"/>
        <v>2.9007366099999992</v>
      </c>
      <c r="F177" s="35">
        <v>42830</v>
      </c>
      <c r="H177" s="34">
        <f t="shared" si="5"/>
        <v>2.9007366099999992</v>
      </c>
    </row>
    <row r="178" spans="1:8" x14ac:dyDescent="0.3">
      <c r="A178" s="36" t="s">
        <v>833</v>
      </c>
      <c r="B178" s="34">
        <v>-11.446011439999999</v>
      </c>
      <c r="C178" s="34">
        <v>-11.37871709</v>
      </c>
      <c r="E178" s="34">
        <f t="shared" si="6"/>
        <v>-6.729434999999917E-2</v>
      </c>
      <c r="F178" s="35">
        <v>42831</v>
      </c>
      <c r="H178" s="34">
        <f t="shared" si="5"/>
        <v>6.729434999999917E-2</v>
      </c>
    </row>
    <row r="179" spans="1:8" x14ac:dyDescent="0.3">
      <c r="A179" s="36" t="s">
        <v>834</v>
      </c>
      <c r="B179" s="34">
        <v>-10.586742989999999</v>
      </c>
      <c r="C179" s="34">
        <v>-9.7217552400000002</v>
      </c>
      <c r="E179" s="34">
        <f t="shared" si="6"/>
        <v>-0.86498774999999917</v>
      </c>
      <c r="F179" s="35">
        <v>42832</v>
      </c>
      <c r="H179" s="34">
        <f t="shared" si="5"/>
        <v>0.86498774999999917</v>
      </c>
    </row>
    <row r="180" spans="1:8" x14ac:dyDescent="0.3">
      <c r="A180" s="36" t="s">
        <v>835</v>
      </c>
      <c r="B180" s="34">
        <v>-11.187306250000001</v>
      </c>
      <c r="C180" s="34">
        <v>-10.22394165</v>
      </c>
      <c r="E180" s="34">
        <f t="shared" si="6"/>
        <v>-0.96336460000000024</v>
      </c>
      <c r="F180" s="35">
        <v>42833</v>
      </c>
      <c r="H180" s="34">
        <f t="shared" si="5"/>
        <v>0.96336460000000024</v>
      </c>
    </row>
    <row r="181" spans="1:8" x14ac:dyDescent="0.3">
      <c r="A181" s="36" t="s">
        <v>836</v>
      </c>
      <c r="B181" s="34">
        <v>-11.12973281</v>
      </c>
      <c r="C181" s="34">
        <v>-9.6088727600000006</v>
      </c>
      <c r="E181" s="34">
        <f t="shared" si="6"/>
        <v>-1.5208600499999996</v>
      </c>
      <c r="F181" s="35">
        <v>42834</v>
      </c>
      <c r="H181" s="34">
        <f t="shared" si="5"/>
        <v>1.5208600499999996</v>
      </c>
    </row>
    <row r="182" spans="1:8" x14ac:dyDescent="0.3">
      <c r="A182" s="36" t="s">
        <v>1975</v>
      </c>
      <c r="B182" s="34">
        <v>-9.0570507800000009</v>
      </c>
      <c r="C182" s="34">
        <v>-8.97112686</v>
      </c>
      <c r="E182" s="34">
        <f t="shared" si="6"/>
        <v>-8.592392000000082E-2</v>
      </c>
      <c r="F182" s="35">
        <v>42835</v>
      </c>
      <c r="H182" s="34">
        <f t="shared" si="5"/>
        <v>8.592392000000082E-2</v>
      </c>
    </row>
    <row r="183" spans="1:8" x14ac:dyDescent="0.3">
      <c r="A183" s="36" t="s">
        <v>838</v>
      </c>
      <c r="B183" s="34">
        <v>-10.13010289</v>
      </c>
      <c r="C183" s="34">
        <v>-9.7903104200000008</v>
      </c>
      <c r="E183" s="34">
        <f t="shared" si="6"/>
        <v>-0.33979246999999901</v>
      </c>
      <c r="F183" s="35">
        <v>42836</v>
      </c>
      <c r="H183" s="34">
        <f t="shared" si="5"/>
        <v>0.33979246999999901</v>
      </c>
    </row>
    <row r="184" spans="1:8" x14ac:dyDescent="0.3">
      <c r="A184" s="36" t="s">
        <v>1976</v>
      </c>
      <c r="B184" s="34">
        <v>-9.5322637199999996</v>
      </c>
      <c r="C184" s="34">
        <v>-8.7353564800000001</v>
      </c>
      <c r="E184" s="34">
        <f t="shared" si="6"/>
        <v>-0.79690723999999946</v>
      </c>
      <c r="F184" s="35">
        <v>42837</v>
      </c>
      <c r="H184" s="34">
        <f t="shared" si="5"/>
        <v>0.79690723999999946</v>
      </c>
    </row>
    <row r="185" spans="1:8" x14ac:dyDescent="0.3">
      <c r="A185" s="36" t="s">
        <v>840</v>
      </c>
      <c r="B185" s="34">
        <v>-10.3644157</v>
      </c>
      <c r="C185" s="34">
        <v>-10.53225812</v>
      </c>
      <c r="E185" s="34">
        <f t="shared" si="6"/>
        <v>0.16784241999999949</v>
      </c>
      <c r="F185" s="35">
        <v>42838</v>
      </c>
      <c r="H185" s="34">
        <f t="shared" si="5"/>
        <v>0.16784241999999949</v>
      </c>
    </row>
    <row r="186" spans="1:8" x14ac:dyDescent="0.3">
      <c r="A186" s="36" t="s">
        <v>841</v>
      </c>
      <c r="B186" s="34">
        <v>-10.53916252</v>
      </c>
      <c r="C186" s="34">
        <v>-11.1349289</v>
      </c>
      <c r="E186" s="34">
        <f t="shared" si="6"/>
        <v>0.59576638000000059</v>
      </c>
      <c r="F186" s="35">
        <v>42839</v>
      </c>
      <c r="H186" s="34">
        <f t="shared" si="5"/>
        <v>0.59576638000000059</v>
      </c>
    </row>
    <row r="187" spans="1:8" x14ac:dyDescent="0.3">
      <c r="A187" s="36" t="s">
        <v>842</v>
      </c>
      <c r="B187" s="34">
        <v>-10.15005949</v>
      </c>
      <c r="C187" s="34">
        <v>-10.790063399999999</v>
      </c>
      <c r="E187" s="34">
        <f t="shared" si="6"/>
        <v>0.64000390999999901</v>
      </c>
      <c r="F187" s="35">
        <v>42840</v>
      </c>
      <c r="H187" s="34">
        <f t="shared" si="5"/>
        <v>0.64000390999999901</v>
      </c>
    </row>
    <row r="188" spans="1:8" x14ac:dyDescent="0.3">
      <c r="A188" s="36" t="s">
        <v>1977</v>
      </c>
      <c r="B188" s="34">
        <v>-8.8392358000000009</v>
      </c>
      <c r="C188" s="34">
        <v>-10.03510007</v>
      </c>
      <c r="E188" s="34">
        <f t="shared" si="6"/>
        <v>1.1958642699999995</v>
      </c>
      <c r="F188" s="35">
        <v>42841</v>
      </c>
      <c r="H188" s="34">
        <f t="shared" si="5"/>
        <v>1.1958642699999995</v>
      </c>
    </row>
    <row r="189" spans="1:8" x14ac:dyDescent="0.3">
      <c r="A189" s="36" t="s">
        <v>1978</v>
      </c>
      <c r="B189" s="34">
        <v>-6.75866247</v>
      </c>
      <c r="C189" s="34">
        <v>-8.8432834699999994</v>
      </c>
      <c r="E189" s="34">
        <f t="shared" si="6"/>
        <v>2.0846209999999994</v>
      </c>
      <c r="F189" s="35">
        <v>42842</v>
      </c>
      <c r="H189" s="34">
        <f t="shared" si="5"/>
        <v>2.0846209999999994</v>
      </c>
    </row>
    <row r="190" spans="1:8" x14ac:dyDescent="0.3">
      <c r="A190" s="36" t="s">
        <v>1979</v>
      </c>
      <c r="B190" s="34">
        <v>-7.76847435</v>
      </c>
      <c r="C190" s="34">
        <v>-10.08137791</v>
      </c>
      <c r="E190" s="34">
        <f t="shared" si="6"/>
        <v>2.3129035600000005</v>
      </c>
      <c r="F190" s="35">
        <v>42843</v>
      </c>
      <c r="H190" s="34">
        <f t="shared" si="5"/>
        <v>2.3129035600000005</v>
      </c>
    </row>
    <row r="191" spans="1:8" x14ac:dyDescent="0.3">
      <c r="A191" s="36" t="s">
        <v>1980</v>
      </c>
      <c r="B191" s="34">
        <v>-7.0344342900000001</v>
      </c>
      <c r="C191" s="34">
        <v>-10.0128468</v>
      </c>
      <c r="E191" s="34">
        <f t="shared" si="6"/>
        <v>2.9784125100000001</v>
      </c>
      <c r="F191" s="35">
        <v>42844</v>
      </c>
      <c r="H191" s="34">
        <f t="shared" si="5"/>
        <v>2.9784125100000001</v>
      </c>
    </row>
    <row r="192" spans="1:8" x14ac:dyDescent="0.3">
      <c r="A192" s="36" t="s">
        <v>1981</v>
      </c>
      <c r="B192" s="34">
        <v>-5.6523235100000004</v>
      </c>
      <c r="C192" s="34">
        <v>-9.2223150300000007</v>
      </c>
      <c r="E192" s="34">
        <f t="shared" si="6"/>
        <v>3.5699915200000003</v>
      </c>
      <c r="F192" s="35">
        <v>42845</v>
      </c>
      <c r="H192" s="34">
        <f t="shared" si="5"/>
        <v>3.5699915200000003</v>
      </c>
    </row>
    <row r="193" spans="1:8" x14ac:dyDescent="0.3">
      <c r="A193" s="36" t="s">
        <v>1982</v>
      </c>
      <c r="B193" s="34">
        <v>-6.15444207</v>
      </c>
      <c r="C193" s="34">
        <v>-9.2160129899999994</v>
      </c>
      <c r="E193" s="34">
        <f t="shared" si="6"/>
        <v>3.0615709199999994</v>
      </c>
      <c r="F193" s="35">
        <v>42846</v>
      </c>
      <c r="H193" s="34">
        <f t="shared" si="5"/>
        <v>3.0615709199999994</v>
      </c>
    </row>
    <row r="194" spans="1:8" x14ac:dyDescent="0.3">
      <c r="A194" s="36" t="s">
        <v>1983</v>
      </c>
      <c r="B194" s="34">
        <v>-6.9693375900000003</v>
      </c>
      <c r="C194" s="34">
        <v>-6.8823548900000002</v>
      </c>
      <c r="E194" s="34">
        <f t="shared" si="6"/>
        <v>-8.6982700000000079E-2</v>
      </c>
      <c r="F194" s="35">
        <v>42847</v>
      </c>
      <c r="H194" s="34">
        <f t="shared" si="5"/>
        <v>8.6982700000000079E-2</v>
      </c>
    </row>
    <row r="195" spans="1:8" x14ac:dyDescent="0.3">
      <c r="A195" s="36" t="s">
        <v>1984</v>
      </c>
      <c r="B195" s="34">
        <v>-5.5653834900000003</v>
      </c>
      <c r="C195" s="34">
        <v>-7.4971644399999997</v>
      </c>
      <c r="E195" s="34">
        <f t="shared" si="6"/>
        <v>1.9317809499999994</v>
      </c>
      <c r="F195" s="35">
        <v>42848</v>
      </c>
      <c r="H195" s="34">
        <f t="shared" ref="H195:H258" si="7">ABS(E195)</f>
        <v>1.9317809499999994</v>
      </c>
    </row>
    <row r="196" spans="1:8" x14ac:dyDescent="0.3">
      <c r="A196" s="36" t="s">
        <v>1985</v>
      </c>
      <c r="B196" s="34">
        <v>-6.5763357999999998</v>
      </c>
      <c r="C196" s="34">
        <v>-7.4356813500000003</v>
      </c>
      <c r="E196" s="34">
        <f t="shared" si="6"/>
        <v>0.85934555000000046</v>
      </c>
      <c r="F196" s="35">
        <v>42849</v>
      </c>
      <c r="H196" s="34">
        <f t="shared" si="7"/>
        <v>0.85934555000000046</v>
      </c>
    </row>
    <row r="197" spans="1:8" x14ac:dyDescent="0.3">
      <c r="A197" s="36" t="s">
        <v>1986</v>
      </c>
      <c r="B197" s="34">
        <v>-6.9528655199999996</v>
      </c>
      <c r="C197" s="34">
        <v>-9.61749805</v>
      </c>
      <c r="E197" s="34">
        <f t="shared" si="6"/>
        <v>2.6646325300000004</v>
      </c>
      <c r="F197" s="35">
        <v>42850</v>
      </c>
      <c r="H197" s="34">
        <f t="shared" si="7"/>
        <v>2.6646325300000004</v>
      </c>
    </row>
    <row r="198" spans="1:8" x14ac:dyDescent="0.3">
      <c r="A198" s="36" t="s">
        <v>1987</v>
      </c>
      <c r="B198" s="34">
        <v>-7.2820927900000001</v>
      </c>
      <c r="C198" s="34">
        <v>-10.001376280000001</v>
      </c>
      <c r="E198" s="34">
        <f t="shared" si="6"/>
        <v>2.7192834900000005</v>
      </c>
      <c r="F198" s="35">
        <v>42851</v>
      </c>
      <c r="H198" s="34">
        <f t="shared" si="7"/>
        <v>2.7192834900000005</v>
      </c>
    </row>
    <row r="199" spans="1:8" x14ac:dyDescent="0.3">
      <c r="A199" s="36" t="s">
        <v>1988</v>
      </c>
      <c r="B199" s="34">
        <v>-7.9653348700000004</v>
      </c>
      <c r="C199" s="34">
        <v>-10.881018299999999</v>
      </c>
      <c r="E199" s="34">
        <f t="shared" ref="E199:E262" si="8">B199-C199</f>
        <v>2.9156834299999987</v>
      </c>
      <c r="F199" s="35">
        <v>42852</v>
      </c>
      <c r="H199" s="34">
        <f t="shared" si="7"/>
        <v>2.9156834299999987</v>
      </c>
    </row>
    <row r="200" spans="1:8" x14ac:dyDescent="0.3">
      <c r="A200" s="36" t="s">
        <v>1989</v>
      </c>
      <c r="B200" s="34">
        <v>-8.6688875299999992</v>
      </c>
      <c r="C200" s="34">
        <v>-10.694912329999999</v>
      </c>
      <c r="E200" s="34">
        <f t="shared" si="8"/>
        <v>2.0260248000000001</v>
      </c>
      <c r="F200" s="35">
        <v>42853</v>
      </c>
      <c r="H200" s="34">
        <f t="shared" si="7"/>
        <v>2.0260248000000001</v>
      </c>
    </row>
    <row r="201" spans="1:8" x14ac:dyDescent="0.3">
      <c r="A201" s="36" t="s">
        <v>1990</v>
      </c>
      <c r="B201" s="34">
        <v>-8.0517271099999999</v>
      </c>
      <c r="C201" s="34">
        <v>-10.66373591</v>
      </c>
      <c r="E201" s="34">
        <f t="shared" si="8"/>
        <v>2.6120087999999999</v>
      </c>
      <c r="F201" s="35">
        <v>42854</v>
      </c>
      <c r="H201" s="34">
        <f t="shared" si="7"/>
        <v>2.6120087999999999</v>
      </c>
    </row>
    <row r="202" spans="1:8" x14ac:dyDescent="0.3">
      <c r="A202" s="36" t="s">
        <v>1991</v>
      </c>
      <c r="B202" s="34">
        <v>-7.6570526599999997</v>
      </c>
      <c r="C202" s="34">
        <v>-10.73042337</v>
      </c>
      <c r="E202" s="34">
        <f t="shared" si="8"/>
        <v>3.0733707100000007</v>
      </c>
      <c r="F202" s="35">
        <v>42855</v>
      </c>
      <c r="H202" s="34">
        <f t="shared" si="7"/>
        <v>3.0733707100000007</v>
      </c>
    </row>
    <row r="203" spans="1:8" x14ac:dyDescent="0.3">
      <c r="A203" s="36" t="s">
        <v>1992</v>
      </c>
      <c r="B203" s="34">
        <v>-6.6554358499999999</v>
      </c>
      <c r="C203" s="34">
        <v>-9.2872845599999998</v>
      </c>
      <c r="E203" s="34">
        <f t="shared" si="8"/>
        <v>2.6318487099999999</v>
      </c>
      <c r="F203" s="35">
        <v>42856</v>
      </c>
      <c r="H203" s="34">
        <f t="shared" si="7"/>
        <v>2.6318487099999999</v>
      </c>
    </row>
    <row r="204" spans="1:8" x14ac:dyDescent="0.3">
      <c r="A204" s="36" t="s">
        <v>1993</v>
      </c>
      <c r="B204" s="34">
        <v>-5.7306019199999998</v>
      </c>
      <c r="C204" s="34">
        <v>-7.7369168899999998</v>
      </c>
      <c r="E204" s="34">
        <f t="shared" si="8"/>
        <v>2.00631497</v>
      </c>
      <c r="F204" s="35">
        <v>42857</v>
      </c>
      <c r="H204" s="34">
        <f t="shared" si="7"/>
        <v>2.00631497</v>
      </c>
    </row>
    <row r="205" spans="1:8" x14ac:dyDescent="0.3">
      <c r="A205" s="36" t="s">
        <v>644</v>
      </c>
      <c r="B205" s="34">
        <v>-6.6161146200000003</v>
      </c>
      <c r="C205" s="34">
        <v>-7.4335187300000003</v>
      </c>
      <c r="E205" s="34">
        <f t="shared" si="8"/>
        <v>0.81740411000000002</v>
      </c>
      <c r="F205" s="35">
        <v>42858</v>
      </c>
      <c r="H205" s="34">
        <f t="shared" si="7"/>
        <v>0.81740411000000002</v>
      </c>
    </row>
    <row r="206" spans="1:8" x14ac:dyDescent="0.3">
      <c r="A206" s="36" t="s">
        <v>645</v>
      </c>
      <c r="B206" s="34">
        <v>-5.9071875</v>
      </c>
      <c r="C206" s="34">
        <v>-7.3452539000000003</v>
      </c>
      <c r="E206" s="34">
        <f t="shared" si="8"/>
        <v>1.4380664000000003</v>
      </c>
      <c r="F206" s="35">
        <v>42859</v>
      </c>
      <c r="H206" s="34">
        <f t="shared" si="7"/>
        <v>1.4380664000000003</v>
      </c>
    </row>
    <row r="207" spans="1:8" x14ac:dyDescent="0.3">
      <c r="A207" s="36" t="s">
        <v>1994</v>
      </c>
      <c r="B207" s="34">
        <v>-5.92381139</v>
      </c>
      <c r="C207" s="34">
        <v>-7.2745730000000002</v>
      </c>
      <c r="E207" s="34">
        <f t="shared" si="8"/>
        <v>1.3507616100000002</v>
      </c>
      <c r="F207" s="35">
        <v>42860</v>
      </c>
      <c r="H207" s="34">
        <f t="shared" si="7"/>
        <v>1.3507616100000002</v>
      </c>
    </row>
    <row r="208" spans="1:8" x14ac:dyDescent="0.3">
      <c r="A208" s="36" t="s">
        <v>1995</v>
      </c>
      <c r="B208" s="34">
        <v>-7.6438639100000003</v>
      </c>
      <c r="C208" s="34">
        <v>-7.3888566999999998</v>
      </c>
      <c r="E208" s="34">
        <f t="shared" si="8"/>
        <v>-0.25500721000000048</v>
      </c>
      <c r="F208" s="35">
        <v>42861</v>
      </c>
      <c r="H208" s="34">
        <f t="shared" si="7"/>
        <v>0.25500721000000048</v>
      </c>
    </row>
    <row r="209" spans="1:8" x14ac:dyDescent="0.3">
      <c r="A209" s="36" t="s">
        <v>1996</v>
      </c>
      <c r="B209" s="34">
        <v>-6.8132760499999998</v>
      </c>
      <c r="C209" s="34">
        <v>-6.5362718199999996</v>
      </c>
      <c r="E209" s="34">
        <f t="shared" si="8"/>
        <v>-0.27700423000000018</v>
      </c>
      <c r="F209" s="35">
        <v>42862</v>
      </c>
      <c r="H209" s="34">
        <f t="shared" si="7"/>
        <v>0.27700423000000018</v>
      </c>
    </row>
    <row r="210" spans="1:8" x14ac:dyDescent="0.3">
      <c r="A210" s="36" t="s">
        <v>1997</v>
      </c>
      <c r="B210" s="34">
        <v>-7.4379928199999998</v>
      </c>
      <c r="C210" s="34">
        <v>-6.1395097300000003</v>
      </c>
      <c r="E210" s="34">
        <f t="shared" si="8"/>
        <v>-1.2984830899999995</v>
      </c>
      <c r="F210" s="35">
        <v>42863</v>
      </c>
      <c r="H210" s="34">
        <f t="shared" si="7"/>
        <v>1.2984830899999995</v>
      </c>
    </row>
    <row r="211" spans="1:8" x14ac:dyDescent="0.3">
      <c r="A211" s="36" t="s">
        <v>1998</v>
      </c>
      <c r="B211" s="34">
        <v>-6.1277697800000004</v>
      </c>
      <c r="C211" s="34">
        <v>-5.5580926000000002</v>
      </c>
      <c r="E211" s="34">
        <f t="shared" si="8"/>
        <v>-0.56967718000000023</v>
      </c>
      <c r="F211" s="35">
        <v>42864</v>
      </c>
      <c r="H211" s="34">
        <f t="shared" si="7"/>
        <v>0.56967718000000023</v>
      </c>
    </row>
    <row r="212" spans="1:8" x14ac:dyDescent="0.3">
      <c r="A212" s="36" t="s">
        <v>1999</v>
      </c>
      <c r="B212" s="34">
        <v>-4.9055557700000003</v>
      </c>
      <c r="C212" s="34">
        <v>-5.0734496299999998</v>
      </c>
      <c r="E212" s="34">
        <f t="shared" si="8"/>
        <v>0.16789385999999951</v>
      </c>
      <c r="F212" s="35">
        <v>42865</v>
      </c>
      <c r="H212" s="34">
        <f t="shared" si="7"/>
        <v>0.16789385999999951</v>
      </c>
    </row>
    <row r="213" spans="1:8" x14ac:dyDescent="0.3">
      <c r="A213" s="36" t="s">
        <v>2000</v>
      </c>
      <c r="B213" s="34">
        <v>-4.8479262099999998</v>
      </c>
      <c r="C213" s="34">
        <v>-5.0068191000000004</v>
      </c>
      <c r="E213" s="34">
        <f t="shared" si="8"/>
        <v>0.15889289000000062</v>
      </c>
      <c r="F213" s="35">
        <v>42866</v>
      </c>
      <c r="H213" s="34">
        <f t="shared" si="7"/>
        <v>0.15889289000000062</v>
      </c>
    </row>
    <row r="214" spans="1:8" x14ac:dyDescent="0.3">
      <c r="A214" s="36" t="s">
        <v>2001</v>
      </c>
      <c r="B214" s="34">
        <v>-6.5815509199999997</v>
      </c>
      <c r="C214" s="34">
        <v>-4.5510201600000002</v>
      </c>
      <c r="E214" s="34">
        <f t="shared" si="8"/>
        <v>-2.0305307599999995</v>
      </c>
      <c r="F214" s="35">
        <v>42867</v>
      </c>
      <c r="H214" s="34">
        <f t="shared" si="7"/>
        <v>2.0305307599999995</v>
      </c>
    </row>
    <row r="215" spans="1:8" x14ac:dyDescent="0.3">
      <c r="A215" s="36" t="s">
        <v>2002</v>
      </c>
      <c r="B215" s="34">
        <v>-5.9314174599999996</v>
      </c>
      <c r="C215" s="34">
        <v>-5.3921201500000002</v>
      </c>
      <c r="E215" s="34">
        <f t="shared" si="8"/>
        <v>-0.53929730999999936</v>
      </c>
      <c r="F215" s="35">
        <v>42868</v>
      </c>
      <c r="H215" s="34">
        <f t="shared" si="7"/>
        <v>0.53929730999999936</v>
      </c>
    </row>
    <row r="216" spans="1:8" x14ac:dyDescent="0.3">
      <c r="A216" s="36" t="s">
        <v>2003</v>
      </c>
      <c r="B216" s="34">
        <v>-5.8055002499999997</v>
      </c>
      <c r="C216" s="34">
        <v>-4.9745497099999998</v>
      </c>
      <c r="E216" s="34">
        <f t="shared" si="8"/>
        <v>-0.8309505399999999</v>
      </c>
      <c r="F216" s="35">
        <v>42869</v>
      </c>
      <c r="H216" s="34">
        <f t="shared" si="7"/>
        <v>0.8309505399999999</v>
      </c>
    </row>
    <row r="217" spans="1:8" x14ac:dyDescent="0.3">
      <c r="A217" s="36" t="s">
        <v>2004</v>
      </c>
      <c r="B217" s="34">
        <v>-4.8335393199999999</v>
      </c>
      <c r="C217" s="34">
        <v>-5.2512694700000004</v>
      </c>
      <c r="E217" s="34">
        <f t="shared" si="8"/>
        <v>0.41773015000000058</v>
      </c>
      <c r="F217" s="35">
        <v>42870</v>
      </c>
      <c r="H217" s="34">
        <f t="shared" si="7"/>
        <v>0.41773015000000058</v>
      </c>
    </row>
    <row r="218" spans="1:8" x14ac:dyDescent="0.3">
      <c r="A218" s="36" t="s">
        <v>2005</v>
      </c>
      <c r="B218" s="34">
        <v>-3.0482828899999999</v>
      </c>
      <c r="C218" s="34">
        <v>-5.9112005200000004</v>
      </c>
      <c r="E218" s="34">
        <f t="shared" si="8"/>
        <v>2.8629176300000005</v>
      </c>
      <c r="F218" s="35">
        <v>42871</v>
      </c>
      <c r="H218" s="34">
        <f t="shared" si="7"/>
        <v>2.8629176300000005</v>
      </c>
    </row>
    <row r="219" spans="1:8" x14ac:dyDescent="0.3">
      <c r="A219" s="36" t="s">
        <v>2006</v>
      </c>
      <c r="B219" s="34">
        <v>-2.87991902</v>
      </c>
      <c r="C219" s="34">
        <v>-6.2716235899999999</v>
      </c>
      <c r="E219" s="34">
        <f t="shared" si="8"/>
        <v>3.3917045699999999</v>
      </c>
      <c r="F219" s="35">
        <v>42872</v>
      </c>
      <c r="H219" s="34">
        <f t="shared" si="7"/>
        <v>3.3917045699999999</v>
      </c>
    </row>
    <row r="220" spans="1:8" x14ac:dyDescent="0.3">
      <c r="A220" s="36" t="s">
        <v>2007</v>
      </c>
      <c r="B220" s="34">
        <v>-3.6044915999999998</v>
      </c>
      <c r="C220" s="34">
        <v>-5.6855804599999997</v>
      </c>
      <c r="E220" s="34">
        <f t="shared" si="8"/>
        <v>2.0810888599999999</v>
      </c>
      <c r="F220" s="35">
        <v>42873</v>
      </c>
      <c r="H220" s="34">
        <f t="shared" si="7"/>
        <v>2.0810888599999999</v>
      </c>
    </row>
    <row r="221" spans="1:8" x14ac:dyDescent="0.3">
      <c r="A221" s="36" t="s">
        <v>660</v>
      </c>
      <c r="B221" s="34">
        <v>-4.45996901</v>
      </c>
      <c r="C221" s="34">
        <v>-4.9795178299999998</v>
      </c>
      <c r="E221" s="34">
        <f t="shared" si="8"/>
        <v>0.5195488199999998</v>
      </c>
      <c r="F221" s="35">
        <v>42874</v>
      </c>
      <c r="H221" s="34">
        <f t="shared" si="7"/>
        <v>0.5195488199999998</v>
      </c>
    </row>
    <row r="222" spans="1:8" x14ac:dyDescent="0.3">
      <c r="A222" s="36" t="s">
        <v>2008</v>
      </c>
      <c r="B222" s="34">
        <v>-5.7834008800000003</v>
      </c>
      <c r="C222" s="34">
        <v>-4.4378249500000004</v>
      </c>
      <c r="E222" s="34">
        <f t="shared" si="8"/>
        <v>-1.3455759299999999</v>
      </c>
      <c r="F222" s="35">
        <v>42875</v>
      </c>
      <c r="H222" s="34">
        <f t="shared" si="7"/>
        <v>1.3455759299999999</v>
      </c>
    </row>
    <row r="223" spans="1:8" x14ac:dyDescent="0.3">
      <c r="A223" s="36" t="s">
        <v>2009</v>
      </c>
      <c r="B223" s="34">
        <v>-4.39025044</v>
      </c>
      <c r="C223" s="34">
        <v>-5.9399646700000002</v>
      </c>
      <c r="E223" s="34">
        <f t="shared" si="8"/>
        <v>1.5497142300000002</v>
      </c>
      <c r="F223" s="35">
        <v>42876</v>
      </c>
      <c r="H223" s="34">
        <f t="shared" si="7"/>
        <v>1.5497142300000002</v>
      </c>
    </row>
    <row r="224" spans="1:8" x14ac:dyDescent="0.3">
      <c r="A224" s="36" t="s">
        <v>2010</v>
      </c>
      <c r="B224" s="34">
        <v>-4.3864304199999999</v>
      </c>
      <c r="C224" s="34">
        <v>-5.60273427</v>
      </c>
      <c r="E224" s="34">
        <f t="shared" si="8"/>
        <v>1.2163038500000001</v>
      </c>
      <c r="F224" s="35">
        <v>42877</v>
      </c>
      <c r="H224" s="34">
        <f t="shared" si="7"/>
        <v>1.2163038500000001</v>
      </c>
    </row>
    <row r="225" spans="1:8" x14ac:dyDescent="0.3">
      <c r="A225" s="36" t="s">
        <v>664</v>
      </c>
      <c r="B225" s="34">
        <v>-4.6019650600000004</v>
      </c>
      <c r="C225" s="34">
        <v>-5.9472276400000004</v>
      </c>
      <c r="E225" s="34">
        <f t="shared" si="8"/>
        <v>1.34526258</v>
      </c>
      <c r="F225" s="35">
        <v>42878</v>
      </c>
      <c r="H225" s="34">
        <f t="shared" si="7"/>
        <v>1.34526258</v>
      </c>
    </row>
    <row r="226" spans="1:8" x14ac:dyDescent="0.3">
      <c r="A226" s="36" t="s">
        <v>665</v>
      </c>
      <c r="B226" s="34">
        <v>-2.8129681199999998</v>
      </c>
      <c r="C226" s="34">
        <v>-4.1342058799999997</v>
      </c>
      <c r="E226" s="34">
        <f t="shared" si="8"/>
        <v>1.3212377599999998</v>
      </c>
      <c r="F226" s="35">
        <v>42879</v>
      </c>
      <c r="H226" s="34">
        <f t="shared" si="7"/>
        <v>1.3212377599999998</v>
      </c>
    </row>
    <row r="227" spans="1:8" x14ac:dyDescent="0.3">
      <c r="A227" s="36" t="s">
        <v>881</v>
      </c>
      <c r="B227" s="34">
        <v>-3.8540814700000001</v>
      </c>
      <c r="C227" s="34">
        <v>-4.7074549499999998</v>
      </c>
      <c r="E227" s="34">
        <f t="shared" si="8"/>
        <v>0.85337347999999968</v>
      </c>
      <c r="F227" s="35">
        <v>42880</v>
      </c>
      <c r="H227" s="34">
        <f t="shared" si="7"/>
        <v>0.85337347999999968</v>
      </c>
    </row>
    <row r="228" spans="1:8" x14ac:dyDescent="0.3">
      <c r="A228" s="36" t="s">
        <v>882</v>
      </c>
      <c r="B228" s="34">
        <v>-3.9483146200000001</v>
      </c>
      <c r="C228" s="34">
        <v>-3.9563430400000001</v>
      </c>
      <c r="E228" s="34">
        <f t="shared" si="8"/>
        <v>8.0284200000000361E-3</v>
      </c>
      <c r="F228" s="35">
        <v>42881</v>
      </c>
      <c r="H228" s="34">
        <f t="shared" si="7"/>
        <v>8.0284200000000361E-3</v>
      </c>
    </row>
    <row r="229" spans="1:8" x14ac:dyDescent="0.3">
      <c r="A229" s="36" t="s">
        <v>2011</v>
      </c>
      <c r="B229" s="34">
        <v>-4.2509781599999998</v>
      </c>
      <c r="C229" s="34">
        <v>-4.9557446799999996</v>
      </c>
      <c r="E229" s="34">
        <f t="shared" si="8"/>
        <v>0.70476651999999973</v>
      </c>
      <c r="F229" s="35">
        <v>42882</v>
      </c>
      <c r="H229" s="34">
        <f t="shared" si="7"/>
        <v>0.70476651999999973</v>
      </c>
    </row>
    <row r="230" spans="1:8" x14ac:dyDescent="0.3">
      <c r="A230" s="36" t="s">
        <v>884</v>
      </c>
      <c r="B230" s="34">
        <v>-4.6040441400000001</v>
      </c>
      <c r="C230" s="34">
        <v>-4.5748815199999999</v>
      </c>
      <c r="E230" s="34">
        <f t="shared" si="8"/>
        <v>-2.9162620000000139E-2</v>
      </c>
      <c r="F230" s="35">
        <v>42883</v>
      </c>
      <c r="H230" s="34">
        <f t="shared" si="7"/>
        <v>2.9162620000000139E-2</v>
      </c>
    </row>
    <row r="231" spans="1:8" x14ac:dyDescent="0.3">
      <c r="A231" s="36" t="s">
        <v>885</v>
      </c>
      <c r="B231" s="34">
        <v>-4.56116177</v>
      </c>
      <c r="C231" s="34">
        <v>-3.86488437</v>
      </c>
      <c r="E231" s="34">
        <f t="shared" si="8"/>
        <v>-0.69627740000000005</v>
      </c>
      <c r="F231" s="35">
        <v>42884</v>
      </c>
      <c r="H231" s="34">
        <f t="shared" si="7"/>
        <v>0.69627740000000005</v>
      </c>
    </row>
    <row r="232" spans="1:8" x14ac:dyDescent="0.3">
      <c r="A232" s="36" t="s">
        <v>886</v>
      </c>
      <c r="B232" s="34">
        <v>-5.35704227</v>
      </c>
      <c r="C232" s="34">
        <v>-4.90959492</v>
      </c>
      <c r="E232" s="34">
        <f t="shared" si="8"/>
        <v>-0.44744735000000002</v>
      </c>
      <c r="F232" s="35">
        <v>42885</v>
      </c>
      <c r="H232" s="34">
        <f t="shared" si="7"/>
        <v>0.44744735000000002</v>
      </c>
    </row>
    <row r="233" spans="1:8" x14ac:dyDescent="0.3">
      <c r="A233" s="36" t="s">
        <v>2012</v>
      </c>
      <c r="B233" s="34">
        <v>-4.45850481</v>
      </c>
      <c r="C233" s="34">
        <v>-5.0346421399999999</v>
      </c>
      <c r="E233" s="34">
        <f t="shared" si="8"/>
        <v>0.57613732999999989</v>
      </c>
      <c r="F233" s="35">
        <v>42886</v>
      </c>
      <c r="H233" s="34">
        <f t="shared" si="7"/>
        <v>0.57613732999999989</v>
      </c>
    </row>
    <row r="234" spans="1:8" x14ac:dyDescent="0.3">
      <c r="A234" s="36" t="s">
        <v>2013</v>
      </c>
      <c r="B234" s="34">
        <v>-3.23194194</v>
      </c>
      <c r="C234" s="34">
        <v>-3.6440583000000002</v>
      </c>
      <c r="E234" s="34">
        <f t="shared" si="8"/>
        <v>0.41211636000000018</v>
      </c>
      <c r="F234" s="35">
        <v>42887</v>
      </c>
      <c r="H234" s="34">
        <f t="shared" si="7"/>
        <v>0.41211636000000018</v>
      </c>
    </row>
    <row r="235" spans="1:8" x14ac:dyDescent="0.3">
      <c r="A235" s="36" t="s">
        <v>2014</v>
      </c>
      <c r="B235" s="34">
        <v>-2.37422954</v>
      </c>
      <c r="C235" s="34">
        <v>-2.8173677100000001</v>
      </c>
      <c r="E235" s="34">
        <f t="shared" si="8"/>
        <v>0.44313817000000011</v>
      </c>
      <c r="F235" s="35">
        <v>42888</v>
      </c>
      <c r="H235" s="34">
        <f t="shared" si="7"/>
        <v>0.44313817000000011</v>
      </c>
    </row>
    <row r="236" spans="1:8" x14ac:dyDescent="0.3">
      <c r="A236" s="36" t="s">
        <v>2015</v>
      </c>
      <c r="B236" s="34">
        <v>-2.3115139199999999</v>
      </c>
      <c r="C236" s="34">
        <v>-2.5807007400000002</v>
      </c>
      <c r="E236" s="34">
        <f t="shared" si="8"/>
        <v>0.26918682000000027</v>
      </c>
      <c r="F236" s="35">
        <v>42889</v>
      </c>
      <c r="H236" s="34">
        <f t="shared" si="7"/>
        <v>0.26918682000000027</v>
      </c>
    </row>
    <row r="237" spans="1:8" x14ac:dyDescent="0.3">
      <c r="A237" s="36" t="s">
        <v>891</v>
      </c>
      <c r="B237" s="34">
        <v>-3.33643081</v>
      </c>
      <c r="C237" s="34">
        <v>-2.40202961</v>
      </c>
      <c r="E237" s="34">
        <f t="shared" si="8"/>
        <v>-0.93440119999999993</v>
      </c>
      <c r="F237" s="35">
        <v>42890</v>
      </c>
      <c r="H237" s="34">
        <f t="shared" si="7"/>
        <v>0.93440119999999993</v>
      </c>
    </row>
    <row r="238" spans="1:8" x14ac:dyDescent="0.3">
      <c r="A238" s="36" t="s">
        <v>677</v>
      </c>
      <c r="B238" s="34">
        <v>-4.3662442700000001</v>
      </c>
      <c r="C238" s="34">
        <v>-1.13372888</v>
      </c>
      <c r="E238" s="34">
        <f t="shared" si="8"/>
        <v>-3.2325153900000001</v>
      </c>
      <c r="F238" s="35">
        <v>42891</v>
      </c>
      <c r="H238" s="34">
        <f t="shared" si="7"/>
        <v>3.2325153900000001</v>
      </c>
    </row>
    <row r="239" spans="1:8" x14ac:dyDescent="0.3">
      <c r="A239" s="36" t="s">
        <v>678</v>
      </c>
      <c r="B239" s="34">
        <v>-5.2493699300000003</v>
      </c>
      <c r="C239" s="34">
        <v>-2.4739440799999999</v>
      </c>
      <c r="E239" s="34">
        <f t="shared" si="8"/>
        <v>-2.7754258500000004</v>
      </c>
      <c r="F239" s="35">
        <v>42892</v>
      </c>
      <c r="H239" s="34">
        <f t="shared" si="7"/>
        <v>2.7754258500000004</v>
      </c>
    </row>
    <row r="240" spans="1:8" x14ac:dyDescent="0.3">
      <c r="A240" s="36" t="s">
        <v>679</v>
      </c>
      <c r="B240" s="34">
        <v>-7.52023609</v>
      </c>
      <c r="C240" s="34">
        <v>-2.4541918699999998</v>
      </c>
      <c r="E240" s="34">
        <f t="shared" si="8"/>
        <v>-5.0660442200000002</v>
      </c>
      <c r="F240" s="35">
        <v>42893</v>
      </c>
      <c r="H240" s="34">
        <f t="shared" si="7"/>
        <v>5.0660442200000002</v>
      </c>
    </row>
    <row r="241" spans="1:8" x14ac:dyDescent="0.3">
      <c r="A241" s="36" t="s">
        <v>680</v>
      </c>
      <c r="B241" s="34">
        <v>-9.2427784000000006</v>
      </c>
      <c r="C241" s="34">
        <v>-4.3304495000000003</v>
      </c>
      <c r="E241" s="34">
        <f t="shared" si="8"/>
        <v>-4.9123289000000003</v>
      </c>
      <c r="F241" s="35">
        <v>42894</v>
      </c>
      <c r="H241" s="34">
        <f t="shared" si="7"/>
        <v>4.9123289000000003</v>
      </c>
    </row>
    <row r="242" spans="1:8" x14ac:dyDescent="0.3">
      <c r="A242" s="36" t="s">
        <v>681</v>
      </c>
      <c r="B242" s="34">
        <v>-8.7120010000000008</v>
      </c>
      <c r="C242" s="34">
        <v>-4.3701404300000002</v>
      </c>
      <c r="E242" s="34">
        <f t="shared" si="8"/>
        <v>-4.3418605700000006</v>
      </c>
      <c r="F242" s="35">
        <v>42895</v>
      </c>
      <c r="H242" s="34">
        <f t="shared" si="7"/>
        <v>4.3418605700000006</v>
      </c>
    </row>
    <row r="243" spans="1:8" x14ac:dyDescent="0.3">
      <c r="A243" s="36" t="s">
        <v>682</v>
      </c>
      <c r="B243" s="34">
        <v>-9.2898105100000006</v>
      </c>
      <c r="C243" s="34">
        <v>-3.1823456399999999</v>
      </c>
      <c r="E243" s="34">
        <f t="shared" si="8"/>
        <v>-6.1074648700000012</v>
      </c>
      <c r="F243" s="35">
        <v>42896</v>
      </c>
      <c r="H243" s="34">
        <f t="shared" si="7"/>
        <v>6.1074648700000012</v>
      </c>
    </row>
    <row r="244" spans="1:8" x14ac:dyDescent="0.3">
      <c r="A244" s="36" t="s">
        <v>683</v>
      </c>
      <c r="B244" s="34">
        <v>-7.86420751</v>
      </c>
      <c r="C244" s="34">
        <v>-2.9545684900000002</v>
      </c>
      <c r="E244" s="34">
        <f t="shared" si="8"/>
        <v>-4.9096390200000002</v>
      </c>
      <c r="F244" s="35">
        <v>42897</v>
      </c>
      <c r="H244" s="34">
        <f t="shared" si="7"/>
        <v>4.9096390200000002</v>
      </c>
    </row>
    <row r="245" spans="1:8" x14ac:dyDescent="0.3">
      <c r="A245" s="36" t="s">
        <v>684</v>
      </c>
      <c r="B245" s="34">
        <v>-8.0467448699999995</v>
      </c>
      <c r="C245" s="34">
        <v>-4.5107880299999996</v>
      </c>
      <c r="E245" s="34">
        <f t="shared" si="8"/>
        <v>-3.5359568399999999</v>
      </c>
      <c r="F245" s="35">
        <v>42898</v>
      </c>
      <c r="H245" s="34">
        <f t="shared" si="7"/>
        <v>3.5359568399999999</v>
      </c>
    </row>
    <row r="246" spans="1:8" x14ac:dyDescent="0.3">
      <c r="A246" s="36" t="s">
        <v>685</v>
      </c>
      <c r="B246" s="34">
        <v>-8.4364645300000003</v>
      </c>
      <c r="C246" s="34">
        <v>-4.2161018700000001</v>
      </c>
      <c r="E246" s="34">
        <f t="shared" si="8"/>
        <v>-4.2203626600000002</v>
      </c>
      <c r="F246" s="35">
        <v>42899</v>
      </c>
      <c r="H246" s="34">
        <f t="shared" si="7"/>
        <v>4.2203626600000002</v>
      </c>
    </row>
    <row r="247" spans="1:8" x14ac:dyDescent="0.3">
      <c r="A247" s="36" t="s">
        <v>686</v>
      </c>
      <c r="B247" s="34">
        <v>-8.1777437499999994</v>
      </c>
      <c r="C247" s="34">
        <v>-2.6880377100000001</v>
      </c>
      <c r="E247" s="34">
        <f t="shared" si="8"/>
        <v>-5.4897060399999997</v>
      </c>
      <c r="F247" s="35">
        <v>42900</v>
      </c>
      <c r="H247" s="34">
        <f t="shared" si="7"/>
        <v>5.4897060399999997</v>
      </c>
    </row>
    <row r="248" spans="1:8" x14ac:dyDescent="0.3">
      <c r="A248" s="36" t="s">
        <v>687</v>
      </c>
      <c r="B248" s="34">
        <v>-8.0040029399999995</v>
      </c>
      <c r="C248" s="34">
        <v>-2.6521810800000001</v>
      </c>
      <c r="E248" s="34">
        <f t="shared" si="8"/>
        <v>-5.3518218599999994</v>
      </c>
      <c r="F248" s="35">
        <v>42901</v>
      </c>
      <c r="H248" s="34">
        <f t="shared" si="7"/>
        <v>5.3518218599999994</v>
      </c>
    </row>
    <row r="249" spans="1:8" x14ac:dyDescent="0.3">
      <c r="A249" s="36" t="s">
        <v>688</v>
      </c>
      <c r="B249" s="34">
        <v>-8.9570524000000002</v>
      </c>
      <c r="C249" s="34">
        <v>-4.77562599</v>
      </c>
      <c r="E249" s="34">
        <f t="shared" si="8"/>
        <v>-4.1814264100000003</v>
      </c>
      <c r="F249" s="35">
        <v>42902</v>
      </c>
      <c r="H249" s="34">
        <f t="shared" si="7"/>
        <v>4.1814264100000003</v>
      </c>
    </row>
    <row r="250" spans="1:8" x14ac:dyDescent="0.3">
      <c r="A250" s="36" t="s">
        <v>2016</v>
      </c>
      <c r="B250" s="34">
        <v>-10.77015654</v>
      </c>
      <c r="C250" s="34">
        <v>-6.9698485699999999</v>
      </c>
      <c r="E250" s="34">
        <f t="shared" si="8"/>
        <v>-3.8003079700000004</v>
      </c>
      <c r="F250" s="35">
        <v>42903</v>
      </c>
      <c r="H250" s="34">
        <f t="shared" si="7"/>
        <v>3.8003079700000004</v>
      </c>
    </row>
    <row r="251" spans="1:8" x14ac:dyDescent="0.3">
      <c r="A251" s="36" t="s">
        <v>2017</v>
      </c>
      <c r="B251" s="34">
        <v>-10.559292299999999</v>
      </c>
      <c r="C251" s="34">
        <v>-5.8781348500000004</v>
      </c>
      <c r="E251" s="34">
        <f t="shared" si="8"/>
        <v>-4.6811574499999988</v>
      </c>
      <c r="F251" s="35">
        <v>42904</v>
      </c>
      <c r="H251" s="34">
        <f t="shared" si="7"/>
        <v>4.6811574499999988</v>
      </c>
    </row>
    <row r="252" spans="1:8" x14ac:dyDescent="0.3">
      <c r="A252" s="36" t="s">
        <v>2018</v>
      </c>
      <c r="B252" s="34">
        <v>-10.67990578</v>
      </c>
      <c r="C252" s="34">
        <v>-6.7573305299999999</v>
      </c>
      <c r="E252" s="34">
        <f t="shared" si="8"/>
        <v>-3.9225752500000004</v>
      </c>
      <c r="F252" s="35">
        <v>42905</v>
      </c>
      <c r="H252" s="34">
        <f t="shared" si="7"/>
        <v>3.9225752500000004</v>
      </c>
    </row>
    <row r="253" spans="1:8" x14ac:dyDescent="0.3">
      <c r="A253" s="36" t="s">
        <v>2019</v>
      </c>
      <c r="B253" s="34">
        <v>-11.03849116</v>
      </c>
      <c r="C253" s="34">
        <v>-7.5606815200000002</v>
      </c>
      <c r="E253" s="34">
        <f t="shared" si="8"/>
        <v>-3.4778096399999994</v>
      </c>
      <c r="F253" s="35">
        <v>42906</v>
      </c>
      <c r="H253" s="34">
        <f t="shared" si="7"/>
        <v>3.4778096399999994</v>
      </c>
    </row>
    <row r="254" spans="1:8" x14ac:dyDescent="0.3">
      <c r="A254" s="36" t="s">
        <v>2020</v>
      </c>
      <c r="B254" s="34">
        <v>-12.327087669999999</v>
      </c>
      <c r="C254" s="34">
        <v>-6.8289364199999998</v>
      </c>
      <c r="E254" s="34">
        <f t="shared" si="8"/>
        <v>-5.4981512499999994</v>
      </c>
      <c r="F254" s="35">
        <v>42907</v>
      </c>
      <c r="H254" s="34">
        <f t="shared" si="7"/>
        <v>5.4981512499999994</v>
      </c>
    </row>
    <row r="255" spans="1:8" x14ac:dyDescent="0.3">
      <c r="A255" s="36" t="s">
        <v>2021</v>
      </c>
      <c r="B255" s="34">
        <v>-11.74487626</v>
      </c>
      <c r="C255" s="34">
        <v>-6.7248643799999996</v>
      </c>
      <c r="E255" s="34">
        <f t="shared" si="8"/>
        <v>-5.0200118800000002</v>
      </c>
      <c r="F255" s="35">
        <v>42908</v>
      </c>
      <c r="H255" s="34">
        <f t="shared" si="7"/>
        <v>5.0200118800000002</v>
      </c>
    </row>
    <row r="256" spans="1:8" x14ac:dyDescent="0.3">
      <c r="A256" s="36" t="s">
        <v>2022</v>
      </c>
      <c r="B256" s="34">
        <v>-12.359437979999999</v>
      </c>
      <c r="C256" s="34">
        <v>-8.0566948699999994</v>
      </c>
      <c r="E256" s="34">
        <f t="shared" si="8"/>
        <v>-4.3027431099999998</v>
      </c>
      <c r="F256" s="35">
        <v>42909</v>
      </c>
      <c r="H256" s="34">
        <f t="shared" si="7"/>
        <v>4.3027431099999998</v>
      </c>
    </row>
    <row r="257" spans="1:8" x14ac:dyDescent="0.3">
      <c r="A257" s="36" t="s">
        <v>892</v>
      </c>
      <c r="B257" s="34">
        <v>-13.753702390000001</v>
      </c>
      <c r="C257" s="34">
        <v>-7.5896141999999998</v>
      </c>
      <c r="E257" s="34">
        <f t="shared" si="8"/>
        <v>-6.1640881900000011</v>
      </c>
      <c r="F257" s="35">
        <v>42910</v>
      </c>
      <c r="H257" s="34">
        <f t="shared" si="7"/>
        <v>6.1640881900000011</v>
      </c>
    </row>
    <row r="258" spans="1:8" x14ac:dyDescent="0.3">
      <c r="A258" s="36" t="s">
        <v>2023</v>
      </c>
      <c r="B258" s="34">
        <v>-14.37554643</v>
      </c>
      <c r="C258" s="34">
        <v>-6.5914268399999996</v>
      </c>
      <c r="E258" s="34">
        <f t="shared" si="8"/>
        <v>-7.7841195900000004</v>
      </c>
      <c r="F258" s="35">
        <v>42911</v>
      </c>
      <c r="H258" s="34">
        <f t="shared" si="7"/>
        <v>7.7841195900000004</v>
      </c>
    </row>
    <row r="259" spans="1:8" x14ac:dyDescent="0.3">
      <c r="A259" s="36" t="s">
        <v>893</v>
      </c>
      <c r="B259" s="34">
        <v>-14.979778339999999</v>
      </c>
      <c r="C259" s="34">
        <v>-4.82514851</v>
      </c>
      <c r="E259" s="34">
        <f t="shared" si="8"/>
        <v>-10.154629829999999</v>
      </c>
      <c r="F259" s="35">
        <v>42912</v>
      </c>
      <c r="H259" s="34">
        <f t="shared" ref="H259:H322" si="9">ABS(E259)</f>
        <v>10.154629829999999</v>
      </c>
    </row>
    <row r="260" spans="1:8" x14ac:dyDescent="0.3">
      <c r="A260" s="36" t="s">
        <v>894</v>
      </c>
      <c r="B260" s="34">
        <v>-15.09387791</v>
      </c>
      <c r="C260" s="34">
        <v>-5.5880527999999998</v>
      </c>
      <c r="E260" s="34">
        <f t="shared" si="8"/>
        <v>-9.50582511</v>
      </c>
      <c r="F260" s="35">
        <v>42913</v>
      </c>
      <c r="H260" s="34">
        <f t="shared" si="9"/>
        <v>9.50582511</v>
      </c>
    </row>
    <row r="261" spans="1:8" x14ac:dyDescent="0.3">
      <c r="A261" s="36" t="s">
        <v>895</v>
      </c>
      <c r="B261" s="34">
        <v>-15.438442</v>
      </c>
      <c r="C261" s="34">
        <v>-5.4118809900000002</v>
      </c>
      <c r="E261" s="34">
        <f t="shared" si="8"/>
        <v>-10.02656101</v>
      </c>
      <c r="F261" s="35">
        <v>42914</v>
      </c>
      <c r="H261" s="34">
        <f t="shared" si="9"/>
        <v>10.02656101</v>
      </c>
    </row>
    <row r="262" spans="1:8" x14ac:dyDescent="0.3">
      <c r="A262" s="36" t="s">
        <v>701</v>
      </c>
      <c r="B262" s="34">
        <v>-13.58310913</v>
      </c>
      <c r="C262" s="34">
        <v>-5.0873927300000004</v>
      </c>
      <c r="E262" s="34">
        <f t="shared" si="8"/>
        <v>-8.4957163999999992</v>
      </c>
      <c r="F262" s="35">
        <v>42915</v>
      </c>
      <c r="H262" s="34">
        <f t="shared" si="9"/>
        <v>8.4957163999999992</v>
      </c>
    </row>
    <row r="263" spans="1:8" x14ac:dyDescent="0.3">
      <c r="A263" s="36" t="s">
        <v>702</v>
      </c>
      <c r="B263" s="34">
        <v>-14.6968619</v>
      </c>
      <c r="C263" s="34">
        <v>-5.0227137900000001</v>
      </c>
      <c r="E263" s="34">
        <f t="shared" ref="E263:E326" si="10">B263-C263</f>
        <v>-9.6741481100000009</v>
      </c>
      <c r="F263" s="35">
        <v>42916</v>
      </c>
      <c r="H263" s="34">
        <f t="shared" si="9"/>
        <v>9.6741481100000009</v>
      </c>
    </row>
    <row r="264" spans="1:8" x14ac:dyDescent="0.3">
      <c r="A264" s="36" t="s">
        <v>896</v>
      </c>
      <c r="B264" s="34">
        <v>-15.227648889999999</v>
      </c>
      <c r="C264" s="34">
        <v>-4.6376268500000002</v>
      </c>
      <c r="E264" s="34">
        <f t="shared" si="10"/>
        <v>-10.590022039999999</v>
      </c>
      <c r="F264" s="35">
        <v>42917</v>
      </c>
      <c r="H264" s="34">
        <f t="shared" si="9"/>
        <v>10.590022039999999</v>
      </c>
    </row>
    <row r="265" spans="1:8" x14ac:dyDescent="0.3">
      <c r="A265" s="36" t="s">
        <v>704</v>
      </c>
      <c r="B265" s="34">
        <v>-14.84166183</v>
      </c>
      <c r="C265" s="34">
        <v>-5.3185737900000003</v>
      </c>
      <c r="E265" s="34">
        <f t="shared" si="10"/>
        <v>-9.5230880399999993</v>
      </c>
      <c r="F265" s="35">
        <v>42918</v>
      </c>
      <c r="H265" s="34">
        <f t="shared" si="9"/>
        <v>9.5230880399999993</v>
      </c>
    </row>
    <row r="266" spans="1:8" x14ac:dyDescent="0.3">
      <c r="A266" s="36" t="s">
        <v>705</v>
      </c>
      <c r="B266" s="34">
        <v>-15.630362939999999</v>
      </c>
      <c r="C266" s="34">
        <v>-5.3618148699999999</v>
      </c>
      <c r="E266" s="34">
        <f t="shared" si="10"/>
        <v>-10.26854807</v>
      </c>
      <c r="F266" s="35">
        <v>42919</v>
      </c>
      <c r="H266" s="34">
        <f t="shared" si="9"/>
        <v>10.26854807</v>
      </c>
    </row>
    <row r="267" spans="1:8" x14ac:dyDescent="0.3">
      <c r="A267" s="36" t="s">
        <v>706</v>
      </c>
      <c r="B267" s="34">
        <v>-14.176191169999999</v>
      </c>
      <c r="C267" s="34">
        <v>-5.9504128400000003</v>
      </c>
      <c r="E267" s="34">
        <f t="shared" si="10"/>
        <v>-8.2257783299999989</v>
      </c>
      <c r="F267" s="35">
        <v>42920</v>
      </c>
      <c r="H267" s="34">
        <f t="shared" si="9"/>
        <v>8.2257783299999989</v>
      </c>
    </row>
    <row r="268" spans="1:8" x14ac:dyDescent="0.3">
      <c r="A268" s="36" t="s">
        <v>707</v>
      </c>
      <c r="B268" s="34">
        <v>-14.164030090000001</v>
      </c>
      <c r="C268" s="34">
        <v>-4.4269378899999996</v>
      </c>
      <c r="E268" s="34">
        <f t="shared" si="10"/>
        <v>-9.7370922000000011</v>
      </c>
      <c r="F268" s="35">
        <v>42921</v>
      </c>
      <c r="H268" s="34">
        <f t="shared" si="9"/>
        <v>9.7370922000000011</v>
      </c>
    </row>
    <row r="269" spans="1:8" x14ac:dyDescent="0.3">
      <c r="A269" s="36" t="s">
        <v>708</v>
      </c>
      <c r="B269" s="34">
        <v>-13.159014109999999</v>
      </c>
      <c r="C269" s="34">
        <v>-5.0926397200000002</v>
      </c>
      <c r="E269" s="34">
        <f t="shared" si="10"/>
        <v>-8.06637439</v>
      </c>
      <c r="F269" s="35">
        <v>42922</v>
      </c>
      <c r="H269" s="34">
        <f t="shared" si="9"/>
        <v>8.06637439</v>
      </c>
    </row>
    <row r="270" spans="1:8" x14ac:dyDescent="0.3">
      <c r="A270" s="36" t="s">
        <v>709</v>
      </c>
      <c r="B270" s="34">
        <v>-12.37612152</v>
      </c>
      <c r="C270" s="34">
        <v>-5.0714684200000004</v>
      </c>
      <c r="E270" s="34">
        <f t="shared" si="10"/>
        <v>-7.3046530999999995</v>
      </c>
      <c r="F270" s="35">
        <v>42923</v>
      </c>
      <c r="H270" s="34">
        <f t="shared" si="9"/>
        <v>7.3046530999999995</v>
      </c>
    </row>
    <row r="271" spans="1:8" x14ac:dyDescent="0.3">
      <c r="A271" s="36" t="s">
        <v>897</v>
      </c>
      <c r="B271" s="34">
        <v>-12.403678060000001</v>
      </c>
      <c r="C271" s="34">
        <v>-4.4587764600000002</v>
      </c>
      <c r="E271" s="34">
        <f t="shared" si="10"/>
        <v>-7.9449016000000006</v>
      </c>
      <c r="F271" s="35">
        <v>42924</v>
      </c>
      <c r="H271" s="34">
        <f t="shared" si="9"/>
        <v>7.9449016000000006</v>
      </c>
    </row>
    <row r="272" spans="1:8" x14ac:dyDescent="0.3">
      <c r="A272" s="36" t="s">
        <v>898</v>
      </c>
      <c r="B272" s="34">
        <v>-12.288712240000001</v>
      </c>
      <c r="C272" s="34">
        <v>-6.0323950499999999</v>
      </c>
      <c r="E272" s="34">
        <f t="shared" si="10"/>
        <v>-6.2563171900000007</v>
      </c>
      <c r="F272" s="35">
        <v>42925</v>
      </c>
      <c r="H272" s="34">
        <f t="shared" si="9"/>
        <v>6.2563171900000007</v>
      </c>
    </row>
    <row r="273" spans="1:8" x14ac:dyDescent="0.3">
      <c r="A273" s="36" t="s">
        <v>899</v>
      </c>
      <c r="B273" s="34">
        <v>-13.780017580000001</v>
      </c>
      <c r="C273" s="34">
        <v>-4.6351524099999999</v>
      </c>
      <c r="E273" s="34">
        <f t="shared" si="10"/>
        <v>-9.144865170000001</v>
      </c>
      <c r="F273" s="35">
        <v>42926</v>
      </c>
      <c r="H273" s="34">
        <f t="shared" si="9"/>
        <v>9.144865170000001</v>
      </c>
    </row>
    <row r="274" spans="1:8" x14ac:dyDescent="0.3">
      <c r="A274" s="36" t="s">
        <v>900</v>
      </c>
      <c r="B274" s="34">
        <v>-14.07532365</v>
      </c>
      <c r="C274" s="34">
        <v>-5.1067475699999996</v>
      </c>
      <c r="E274" s="34">
        <f t="shared" si="10"/>
        <v>-8.9685760800000001</v>
      </c>
      <c r="F274" s="35">
        <v>42927</v>
      </c>
      <c r="H274" s="34">
        <f t="shared" si="9"/>
        <v>8.9685760800000001</v>
      </c>
    </row>
    <row r="275" spans="1:8" x14ac:dyDescent="0.3">
      <c r="A275" s="36" t="s">
        <v>901</v>
      </c>
      <c r="B275" s="34">
        <v>-14.9093854</v>
      </c>
      <c r="C275" s="34">
        <v>-3.7293333400000002</v>
      </c>
      <c r="E275" s="34">
        <f t="shared" si="10"/>
        <v>-11.18005206</v>
      </c>
      <c r="F275" s="35">
        <v>42928</v>
      </c>
      <c r="H275" s="34">
        <f t="shared" si="9"/>
        <v>11.18005206</v>
      </c>
    </row>
    <row r="276" spans="1:8" x14ac:dyDescent="0.3">
      <c r="A276" s="36" t="s">
        <v>902</v>
      </c>
      <c r="B276" s="34">
        <v>-14.56149748</v>
      </c>
      <c r="C276" s="34">
        <v>-4.3058483799999996</v>
      </c>
      <c r="E276" s="34">
        <f t="shared" si="10"/>
        <v>-10.255649099999999</v>
      </c>
      <c r="F276" s="35">
        <v>42929</v>
      </c>
      <c r="H276" s="34">
        <f t="shared" si="9"/>
        <v>10.255649099999999</v>
      </c>
    </row>
    <row r="277" spans="1:8" x14ac:dyDescent="0.3">
      <c r="A277" s="36" t="s">
        <v>903</v>
      </c>
      <c r="B277" s="34">
        <v>-15.42415016</v>
      </c>
      <c r="C277" s="34">
        <v>-4.4322319400000003</v>
      </c>
      <c r="E277" s="34">
        <f t="shared" si="10"/>
        <v>-10.991918219999999</v>
      </c>
      <c r="F277" s="35">
        <v>42930</v>
      </c>
      <c r="H277" s="34">
        <f t="shared" si="9"/>
        <v>10.991918219999999</v>
      </c>
    </row>
    <row r="278" spans="1:8" x14ac:dyDescent="0.3">
      <c r="A278" s="36" t="s">
        <v>904</v>
      </c>
      <c r="B278" s="34">
        <v>-15.062958350000001</v>
      </c>
      <c r="C278" s="34">
        <v>-4.0066188199999999</v>
      </c>
      <c r="E278" s="34">
        <f t="shared" si="10"/>
        <v>-11.056339530000001</v>
      </c>
      <c r="F278" s="35">
        <v>42931</v>
      </c>
      <c r="H278" s="34">
        <f t="shared" si="9"/>
        <v>11.056339530000001</v>
      </c>
    </row>
    <row r="279" spans="1:8" x14ac:dyDescent="0.3">
      <c r="A279" s="36" t="s">
        <v>905</v>
      </c>
      <c r="B279" s="34">
        <v>-15.4788178</v>
      </c>
      <c r="C279" s="34">
        <v>-4.8483135700000002</v>
      </c>
      <c r="E279" s="34">
        <f t="shared" si="10"/>
        <v>-10.63050423</v>
      </c>
      <c r="F279" s="35">
        <v>42932</v>
      </c>
      <c r="H279" s="34">
        <f t="shared" si="9"/>
        <v>10.63050423</v>
      </c>
    </row>
    <row r="280" spans="1:8" x14ac:dyDescent="0.3">
      <c r="A280" s="36" t="s">
        <v>906</v>
      </c>
      <c r="B280" s="34">
        <v>-15.35620763</v>
      </c>
      <c r="C280" s="34">
        <v>-6.0039867200000003</v>
      </c>
      <c r="E280" s="34">
        <f t="shared" si="10"/>
        <v>-9.3522209099999998</v>
      </c>
      <c r="F280" s="35">
        <v>42933</v>
      </c>
      <c r="H280" s="34">
        <f t="shared" si="9"/>
        <v>9.3522209099999998</v>
      </c>
    </row>
    <row r="281" spans="1:8" x14ac:dyDescent="0.3">
      <c r="A281" s="36" t="s">
        <v>907</v>
      </c>
      <c r="B281" s="34">
        <v>-14.349205830000001</v>
      </c>
      <c r="C281" s="34">
        <v>-5.7734824400000004</v>
      </c>
      <c r="E281" s="34">
        <f t="shared" si="10"/>
        <v>-8.5757233900000003</v>
      </c>
      <c r="F281" s="35">
        <v>42934</v>
      </c>
      <c r="H281" s="34">
        <f t="shared" si="9"/>
        <v>8.5757233900000003</v>
      </c>
    </row>
    <row r="282" spans="1:8" x14ac:dyDescent="0.3">
      <c r="A282" s="36" t="s">
        <v>908</v>
      </c>
      <c r="B282" s="34">
        <v>-14.942482119999999</v>
      </c>
      <c r="C282" s="34">
        <v>-6.1316802099999999</v>
      </c>
      <c r="E282" s="34">
        <f t="shared" si="10"/>
        <v>-8.8108019099999986</v>
      </c>
      <c r="F282" s="35">
        <v>42935</v>
      </c>
      <c r="H282" s="34">
        <f t="shared" si="9"/>
        <v>8.8108019099999986</v>
      </c>
    </row>
    <row r="283" spans="1:8" x14ac:dyDescent="0.3">
      <c r="A283" s="36" t="s">
        <v>909</v>
      </c>
      <c r="B283" s="34">
        <v>-12.3790269</v>
      </c>
      <c r="C283" s="34">
        <v>-8.4827150699999994</v>
      </c>
      <c r="E283" s="34">
        <f t="shared" si="10"/>
        <v>-3.8963118300000001</v>
      </c>
      <c r="F283" s="35">
        <v>42936</v>
      </c>
      <c r="H283" s="34">
        <f t="shared" si="9"/>
        <v>3.8963118300000001</v>
      </c>
    </row>
    <row r="284" spans="1:8" x14ac:dyDescent="0.3">
      <c r="A284" s="36" t="s">
        <v>910</v>
      </c>
      <c r="B284" s="34">
        <v>-12.9769384</v>
      </c>
      <c r="C284" s="34">
        <v>-8.7661711100000002</v>
      </c>
      <c r="E284" s="34">
        <f t="shared" si="10"/>
        <v>-4.2107672899999997</v>
      </c>
      <c r="F284" s="35">
        <v>42937</v>
      </c>
      <c r="H284" s="34">
        <f t="shared" si="9"/>
        <v>4.2107672899999997</v>
      </c>
    </row>
    <row r="285" spans="1:8" x14ac:dyDescent="0.3">
      <c r="A285" s="36" t="s">
        <v>911</v>
      </c>
      <c r="B285" s="34">
        <v>-13.714481620000001</v>
      </c>
      <c r="C285" s="34">
        <v>-9.0665634100000005</v>
      </c>
      <c r="E285" s="34">
        <f t="shared" si="10"/>
        <v>-4.6479182100000003</v>
      </c>
      <c r="F285" s="35">
        <v>42938</v>
      </c>
      <c r="H285" s="34">
        <f t="shared" si="9"/>
        <v>4.6479182100000003</v>
      </c>
    </row>
    <row r="286" spans="1:8" x14ac:dyDescent="0.3">
      <c r="A286" s="36" t="s">
        <v>912</v>
      </c>
      <c r="B286" s="34">
        <v>-15.04880717</v>
      </c>
      <c r="C286" s="34">
        <v>-9.1387147899999999</v>
      </c>
      <c r="E286" s="34">
        <f t="shared" si="10"/>
        <v>-5.91009238</v>
      </c>
      <c r="F286" s="35">
        <v>42939</v>
      </c>
      <c r="H286" s="34">
        <f t="shared" si="9"/>
        <v>5.91009238</v>
      </c>
    </row>
    <row r="287" spans="1:8" x14ac:dyDescent="0.3">
      <c r="A287" s="36" t="s">
        <v>913</v>
      </c>
      <c r="B287" s="34">
        <v>-14.19050534</v>
      </c>
      <c r="C287" s="34">
        <v>-9.30985935</v>
      </c>
      <c r="E287" s="34">
        <f t="shared" si="10"/>
        <v>-4.8806459899999997</v>
      </c>
      <c r="F287" s="35">
        <v>42940</v>
      </c>
      <c r="H287" s="34">
        <f t="shared" si="9"/>
        <v>4.8806459899999997</v>
      </c>
    </row>
    <row r="288" spans="1:8" x14ac:dyDescent="0.3">
      <c r="A288" s="36" t="s">
        <v>914</v>
      </c>
      <c r="B288" s="34">
        <v>-14.02787955</v>
      </c>
      <c r="C288" s="34">
        <v>-7.28113075</v>
      </c>
      <c r="E288" s="34">
        <f t="shared" si="10"/>
        <v>-6.7467487999999998</v>
      </c>
      <c r="F288" s="35">
        <v>42941</v>
      </c>
      <c r="H288" s="34">
        <f t="shared" si="9"/>
        <v>6.7467487999999998</v>
      </c>
    </row>
    <row r="289" spans="1:8" x14ac:dyDescent="0.3">
      <c r="A289" s="36" t="s">
        <v>915</v>
      </c>
      <c r="B289" s="34">
        <v>-13.33653614</v>
      </c>
      <c r="C289" s="34">
        <v>-6.5097776200000004</v>
      </c>
      <c r="E289" s="34">
        <f t="shared" si="10"/>
        <v>-6.8267585199999994</v>
      </c>
      <c r="F289" s="35">
        <v>42942</v>
      </c>
      <c r="H289" s="34">
        <f t="shared" si="9"/>
        <v>6.8267585199999994</v>
      </c>
    </row>
    <row r="290" spans="1:8" x14ac:dyDescent="0.3">
      <c r="A290" s="36" t="s">
        <v>916</v>
      </c>
      <c r="B290" s="34">
        <v>-12.427499859999999</v>
      </c>
      <c r="C290" s="34">
        <v>-5.39597192</v>
      </c>
      <c r="E290" s="34">
        <f t="shared" si="10"/>
        <v>-7.0315279399999993</v>
      </c>
      <c r="F290" s="35">
        <v>42943</v>
      </c>
      <c r="H290" s="34">
        <f t="shared" si="9"/>
        <v>7.0315279399999993</v>
      </c>
    </row>
    <row r="291" spans="1:8" x14ac:dyDescent="0.3">
      <c r="A291" s="36" t="s">
        <v>917</v>
      </c>
      <c r="B291" s="34">
        <v>-10.88676076</v>
      </c>
      <c r="C291" s="34">
        <v>-3.4544484299999998</v>
      </c>
      <c r="E291" s="34">
        <f t="shared" si="10"/>
        <v>-7.4323123300000002</v>
      </c>
      <c r="F291" s="35">
        <v>42944</v>
      </c>
      <c r="H291" s="34">
        <f t="shared" si="9"/>
        <v>7.4323123300000002</v>
      </c>
    </row>
    <row r="292" spans="1:8" x14ac:dyDescent="0.3">
      <c r="A292" s="36" t="s">
        <v>731</v>
      </c>
      <c r="B292" s="34">
        <v>-9.1921133299999997</v>
      </c>
      <c r="C292" s="34">
        <v>-3.38124212</v>
      </c>
      <c r="E292" s="34">
        <f t="shared" si="10"/>
        <v>-5.8108712100000002</v>
      </c>
      <c r="F292" s="35">
        <v>42945</v>
      </c>
      <c r="H292" s="34">
        <f t="shared" si="9"/>
        <v>5.8108712100000002</v>
      </c>
    </row>
    <row r="293" spans="1:8" x14ac:dyDescent="0.3">
      <c r="A293" s="36" t="s">
        <v>919</v>
      </c>
      <c r="B293" s="34">
        <v>-10.1237838</v>
      </c>
      <c r="C293" s="34">
        <v>-3.9969034799999998</v>
      </c>
      <c r="E293" s="34">
        <f t="shared" si="10"/>
        <v>-6.1268803199999997</v>
      </c>
      <c r="F293" s="35">
        <v>42946</v>
      </c>
      <c r="H293" s="34">
        <f t="shared" si="9"/>
        <v>6.1268803199999997</v>
      </c>
    </row>
    <row r="294" spans="1:8" x14ac:dyDescent="0.3">
      <c r="A294" s="36" t="s">
        <v>920</v>
      </c>
      <c r="B294" s="34">
        <v>-11.64161298</v>
      </c>
      <c r="C294" s="34">
        <v>-5.3551104699999996</v>
      </c>
      <c r="E294" s="34">
        <f t="shared" si="10"/>
        <v>-6.28650251</v>
      </c>
      <c r="F294" s="35">
        <v>42947</v>
      </c>
      <c r="H294" s="34">
        <f t="shared" si="9"/>
        <v>6.28650251</v>
      </c>
    </row>
    <row r="295" spans="1:8" x14ac:dyDescent="0.3">
      <c r="A295" s="36" t="s">
        <v>921</v>
      </c>
      <c r="B295" s="34">
        <v>-13.33560859</v>
      </c>
      <c r="C295" s="34">
        <v>-4.6618796900000001</v>
      </c>
      <c r="E295" s="34">
        <f t="shared" si="10"/>
        <v>-8.6737289000000004</v>
      </c>
      <c r="F295" s="35">
        <v>42948</v>
      </c>
      <c r="H295" s="34">
        <f t="shared" si="9"/>
        <v>8.6737289000000004</v>
      </c>
    </row>
    <row r="296" spans="1:8" x14ac:dyDescent="0.3">
      <c r="A296" s="36" t="s">
        <v>922</v>
      </c>
      <c r="B296" s="34">
        <v>-14.27333535</v>
      </c>
      <c r="C296" s="34">
        <v>-4.2882593</v>
      </c>
      <c r="E296" s="34">
        <f t="shared" si="10"/>
        <v>-9.98507605</v>
      </c>
      <c r="F296" s="35">
        <v>42949</v>
      </c>
      <c r="H296" s="34">
        <f t="shared" si="9"/>
        <v>9.98507605</v>
      </c>
    </row>
    <row r="297" spans="1:8" x14ac:dyDescent="0.3">
      <c r="A297" s="36" t="s">
        <v>923</v>
      </c>
      <c r="B297" s="34">
        <v>-15.18926697</v>
      </c>
      <c r="C297" s="34">
        <v>-4.7196622000000001</v>
      </c>
      <c r="E297" s="34">
        <f t="shared" si="10"/>
        <v>-10.46960477</v>
      </c>
      <c r="F297" s="35">
        <v>42950</v>
      </c>
      <c r="H297" s="34">
        <f t="shared" si="9"/>
        <v>10.46960477</v>
      </c>
    </row>
    <row r="298" spans="1:8" x14ac:dyDescent="0.3">
      <c r="A298" s="36" t="s">
        <v>924</v>
      </c>
      <c r="B298" s="34">
        <v>-17.78924335</v>
      </c>
      <c r="C298" s="34">
        <v>-5.3718307899999997</v>
      </c>
      <c r="E298" s="34">
        <f t="shared" si="10"/>
        <v>-12.417412559999999</v>
      </c>
      <c r="F298" s="35">
        <v>42951</v>
      </c>
      <c r="H298" s="34">
        <f t="shared" si="9"/>
        <v>12.417412559999999</v>
      </c>
    </row>
    <row r="299" spans="1:8" x14ac:dyDescent="0.3">
      <c r="A299" s="36" t="s">
        <v>925</v>
      </c>
      <c r="B299" s="34">
        <v>-16.78232276</v>
      </c>
      <c r="C299" s="34">
        <v>-6.6055107599999996</v>
      </c>
      <c r="E299" s="34">
        <f t="shared" si="10"/>
        <v>-10.176812</v>
      </c>
      <c r="F299" s="35">
        <v>42952</v>
      </c>
      <c r="H299" s="34">
        <f t="shared" si="9"/>
        <v>10.176812</v>
      </c>
    </row>
    <row r="300" spans="1:8" x14ac:dyDescent="0.3">
      <c r="A300" s="36" t="s">
        <v>926</v>
      </c>
      <c r="B300" s="34">
        <v>-16.8043497</v>
      </c>
      <c r="C300" s="34">
        <v>-5.12038174</v>
      </c>
      <c r="E300" s="34">
        <f t="shared" si="10"/>
        <v>-11.68396796</v>
      </c>
      <c r="F300" s="35">
        <v>42953</v>
      </c>
      <c r="H300" s="34">
        <f t="shared" si="9"/>
        <v>11.68396796</v>
      </c>
    </row>
    <row r="301" spans="1:8" x14ac:dyDescent="0.3">
      <c r="A301" s="36" t="s">
        <v>927</v>
      </c>
      <c r="B301" s="34">
        <v>-18.691667559999999</v>
      </c>
      <c r="C301" s="34">
        <v>-5.2404224099999999</v>
      </c>
      <c r="E301" s="34">
        <f t="shared" si="10"/>
        <v>-13.451245149999998</v>
      </c>
      <c r="F301" s="35">
        <v>42954</v>
      </c>
      <c r="H301" s="34">
        <f t="shared" si="9"/>
        <v>13.451245149999998</v>
      </c>
    </row>
    <row r="302" spans="1:8" x14ac:dyDescent="0.3">
      <c r="A302" s="36" t="s">
        <v>928</v>
      </c>
      <c r="B302" s="34">
        <v>-19.500900519999998</v>
      </c>
      <c r="C302" s="34">
        <v>-3.8461424900000001</v>
      </c>
      <c r="E302" s="34">
        <f t="shared" si="10"/>
        <v>-15.654758029999998</v>
      </c>
      <c r="F302" s="35">
        <v>42955</v>
      </c>
      <c r="H302" s="34">
        <f t="shared" si="9"/>
        <v>15.654758029999998</v>
      </c>
    </row>
    <row r="303" spans="1:8" x14ac:dyDescent="0.3">
      <c r="A303" s="36" t="s">
        <v>929</v>
      </c>
      <c r="B303" s="34">
        <v>-18.188333220000001</v>
      </c>
      <c r="C303" s="34">
        <v>-5.79608334</v>
      </c>
      <c r="E303" s="34">
        <f t="shared" si="10"/>
        <v>-12.392249880000001</v>
      </c>
      <c r="F303" s="35">
        <v>42956</v>
      </c>
      <c r="H303" s="34">
        <f t="shared" si="9"/>
        <v>12.392249880000001</v>
      </c>
    </row>
    <row r="304" spans="1:8" x14ac:dyDescent="0.3">
      <c r="A304" s="36" t="s">
        <v>930</v>
      </c>
      <c r="B304" s="34">
        <v>-18.774106750000001</v>
      </c>
      <c r="C304" s="34">
        <v>-7.2046479300000001</v>
      </c>
      <c r="E304" s="34">
        <f t="shared" si="10"/>
        <v>-11.569458820000001</v>
      </c>
      <c r="F304" s="35">
        <v>42957</v>
      </c>
      <c r="H304" s="34">
        <f t="shared" si="9"/>
        <v>11.569458820000001</v>
      </c>
    </row>
    <row r="305" spans="1:8" x14ac:dyDescent="0.3">
      <c r="A305" s="36" t="s">
        <v>931</v>
      </c>
      <c r="B305" s="34">
        <v>-18.416368349999999</v>
      </c>
      <c r="C305" s="34">
        <v>-7.1480554700000001</v>
      </c>
      <c r="E305" s="34">
        <f t="shared" si="10"/>
        <v>-11.26831288</v>
      </c>
      <c r="F305" s="35">
        <v>42958</v>
      </c>
      <c r="H305" s="34">
        <f t="shared" si="9"/>
        <v>11.26831288</v>
      </c>
    </row>
    <row r="306" spans="1:8" x14ac:dyDescent="0.3">
      <c r="A306" s="36" t="s">
        <v>932</v>
      </c>
      <c r="B306" s="34">
        <v>-18.946852750000001</v>
      </c>
      <c r="C306" s="34">
        <v>-7.2477020599999999</v>
      </c>
      <c r="E306" s="34">
        <f t="shared" si="10"/>
        <v>-11.699150690000002</v>
      </c>
      <c r="F306" s="35">
        <v>42959</v>
      </c>
      <c r="H306" s="34">
        <f t="shared" si="9"/>
        <v>11.699150690000002</v>
      </c>
    </row>
    <row r="307" spans="1:8" x14ac:dyDescent="0.3">
      <c r="A307" s="36" t="s">
        <v>933</v>
      </c>
      <c r="B307" s="34">
        <v>-20.43070685</v>
      </c>
      <c r="C307" s="34">
        <v>-7.72862677</v>
      </c>
      <c r="E307" s="34">
        <f t="shared" si="10"/>
        <v>-12.70208008</v>
      </c>
      <c r="F307" s="35">
        <v>42960</v>
      </c>
      <c r="H307" s="34">
        <f t="shared" si="9"/>
        <v>12.70208008</v>
      </c>
    </row>
    <row r="308" spans="1:8" x14ac:dyDescent="0.3">
      <c r="A308" s="36" t="s">
        <v>934</v>
      </c>
      <c r="B308" s="34">
        <v>-19.982824229999999</v>
      </c>
      <c r="C308" s="34">
        <v>-8.3927937900000007</v>
      </c>
      <c r="E308" s="34">
        <f t="shared" si="10"/>
        <v>-11.590030439999998</v>
      </c>
      <c r="F308" s="35">
        <v>42961</v>
      </c>
      <c r="H308" s="34">
        <f t="shared" si="9"/>
        <v>11.590030439999998</v>
      </c>
    </row>
    <row r="309" spans="1:8" x14ac:dyDescent="0.3">
      <c r="A309" s="36" t="s">
        <v>935</v>
      </c>
      <c r="B309" s="34">
        <v>-19.52273198</v>
      </c>
      <c r="C309" s="34">
        <v>-8.2052714400000006</v>
      </c>
      <c r="E309" s="34">
        <f t="shared" si="10"/>
        <v>-11.317460539999999</v>
      </c>
      <c r="F309" s="35">
        <v>42962</v>
      </c>
      <c r="H309" s="34">
        <f t="shared" si="9"/>
        <v>11.317460539999999</v>
      </c>
    </row>
    <row r="310" spans="1:8" x14ac:dyDescent="0.3">
      <c r="A310" s="36" t="s">
        <v>936</v>
      </c>
      <c r="B310" s="34">
        <v>-20.464412930000002</v>
      </c>
      <c r="C310" s="34">
        <v>-8.6401449199999991</v>
      </c>
      <c r="E310" s="34">
        <f t="shared" si="10"/>
        <v>-11.824268010000003</v>
      </c>
      <c r="F310" s="35">
        <v>42963</v>
      </c>
      <c r="H310" s="34">
        <f t="shared" si="9"/>
        <v>11.824268010000003</v>
      </c>
    </row>
    <row r="311" spans="1:8" x14ac:dyDescent="0.3">
      <c r="A311" s="36" t="s">
        <v>937</v>
      </c>
      <c r="B311" s="34">
        <v>-19.304694189999999</v>
      </c>
      <c r="C311" s="34">
        <v>-7.1815235700000004</v>
      </c>
      <c r="E311" s="34">
        <f t="shared" si="10"/>
        <v>-12.12317062</v>
      </c>
      <c r="F311" s="35">
        <v>42964</v>
      </c>
      <c r="H311" s="34">
        <f t="shared" si="9"/>
        <v>12.12317062</v>
      </c>
    </row>
    <row r="312" spans="1:8" x14ac:dyDescent="0.3">
      <c r="A312" s="36" t="s">
        <v>938</v>
      </c>
      <c r="B312" s="34">
        <v>-18.292801390000001</v>
      </c>
      <c r="C312" s="34">
        <v>-6.5073470100000002</v>
      </c>
      <c r="E312" s="34">
        <f t="shared" si="10"/>
        <v>-11.785454380000001</v>
      </c>
      <c r="F312" s="35">
        <v>42965</v>
      </c>
      <c r="H312" s="34">
        <f t="shared" si="9"/>
        <v>11.785454380000001</v>
      </c>
    </row>
    <row r="313" spans="1:8" x14ac:dyDescent="0.3">
      <c r="A313" s="36" t="s">
        <v>939</v>
      </c>
      <c r="B313" s="34">
        <v>-18.236343160000001</v>
      </c>
      <c r="C313" s="34">
        <v>-6.1068777799999996</v>
      </c>
      <c r="E313" s="34">
        <f t="shared" si="10"/>
        <v>-12.129465380000001</v>
      </c>
      <c r="F313" s="35">
        <v>42966</v>
      </c>
      <c r="H313" s="34">
        <f t="shared" si="9"/>
        <v>12.129465380000001</v>
      </c>
    </row>
    <row r="314" spans="1:8" x14ac:dyDescent="0.3">
      <c r="A314" s="36" t="s">
        <v>940</v>
      </c>
      <c r="B314" s="34">
        <v>-18.39283987</v>
      </c>
      <c r="C314" s="34">
        <v>-7.4963121299999997</v>
      </c>
      <c r="E314" s="34">
        <f t="shared" si="10"/>
        <v>-10.89652774</v>
      </c>
      <c r="F314" s="35">
        <v>42967</v>
      </c>
      <c r="H314" s="34">
        <f t="shared" si="9"/>
        <v>10.89652774</v>
      </c>
    </row>
    <row r="315" spans="1:8" x14ac:dyDescent="0.3">
      <c r="A315" s="36" t="s">
        <v>941</v>
      </c>
      <c r="B315" s="34">
        <v>-18.273757929999999</v>
      </c>
      <c r="C315" s="34">
        <v>-9.1339206199999996</v>
      </c>
      <c r="E315" s="34">
        <f t="shared" si="10"/>
        <v>-9.139837309999999</v>
      </c>
      <c r="F315" s="35">
        <v>42968</v>
      </c>
      <c r="H315" s="34">
        <f t="shared" si="9"/>
        <v>9.139837309999999</v>
      </c>
    </row>
    <row r="316" spans="1:8" x14ac:dyDescent="0.3">
      <c r="A316" s="36" t="s">
        <v>942</v>
      </c>
      <c r="B316" s="34">
        <v>-19.301189310000002</v>
      </c>
      <c r="C316" s="34">
        <v>-8.9485682000000004</v>
      </c>
      <c r="E316" s="34">
        <f t="shared" si="10"/>
        <v>-10.352621110000001</v>
      </c>
      <c r="F316" s="35">
        <v>42969</v>
      </c>
      <c r="H316" s="34">
        <f t="shared" si="9"/>
        <v>10.352621110000001</v>
      </c>
    </row>
    <row r="317" spans="1:8" x14ac:dyDescent="0.3">
      <c r="A317" s="36" t="s">
        <v>943</v>
      </c>
      <c r="B317" s="34">
        <v>-18.972382889999999</v>
      </c>
      <c r="C317" s="34">
        <v>-7.9820689700000003</v>
      </c>
      <c r="E317" s="34">
        <f t="shared" si="10"/>
        <v>-10.990313919999998</v>
      </c>
      <c r="F317" s="35">
        <v>42970</v>
      </c>
      <c r="H317" s="34">
        <f t="shared" si="9"/>
        <v>10.990313919999998</v>
      </c>
    </row>
    <row r="318" spans="1:8" x14ac:dyDescent="0.3">
      <c r="A318" s="36" t="s">
        <v>944</v>
      </c>
      <c r="B318" s="34">
        <v>-19.149671690000002</v>
      </c>
      <c r="C318" s="34">
        <v>-8.2911357599999995</v>
      </c>
      <c r="E318" s="34">
        <f t="shared" si="10"/>
        <v>-10.858535930000002</v>
      </c>
      <c r="F318" s="35">
        <v>42971</v>
      </c>
      <c r="H318" s="34">
        <f t="shared" si="9"/>
        <v>10.858535930000002</v>
      </c>
    </row>
    <row r="319" spans="1:8" x14ac:dyDescent="0.3">
      <c r="A319" s="36" t="s">
        <v>945</v>
      </c>
      <c r="B319" s="34">
        <v>-19.345387160000001</v>
      </c>
      <c r="C319" s="34">
        <v>-9.3115303199999993</v>
      </c>
      <c r="E319" s="34">
        <f t="shared" si="10"/>
        <v>-10.033856840000002</v>
      </c>
      <c r="F319" s="35">
        <v>42972</v>
      </c>
      <c r="H319" s="34">
        <f t="shared" si="9"/>
        <v>10.033856840000002</v>
      </c>
    </row>
    <row r="320" spans="1:8" x14ac:dyDescent="0.3">
      <c r="A320" s="36" t="s">
        <v>946</v>
      </c>
      <c r="B320" s="34">
        <v>-17.25229869</v>
      </c>
      <c r="C320" s="34">
        <v>-9.8608637699999999</v>
      </c>
      <c r="E320" s="34">
        <f t="shared" si="10"/>
        <v>-7.39143492</v>
      </c>
      <c r="F320" s="35">
        <v>42973</v>
      </c>
      <c r="H320" s="34">
        <f t="shared" si="9"/>
        <v>7.39143492</v>
      </c>
    </row>
    <row r="321" spans="1:8" x14ac:dyDescent="0.3">
      <c r="A321" s="36" t="s">
        <v>947</v>
      </c>
      <c r="B321" s="34">
        <v>-17.38262452</v>
      </c>
      <c r="C321" s="34">
        <v>-9.96676042</v>
      </c>
      <c r="E321" s="34">
        <f t="shared" si="10"/>
        <v>-7.4158641000000003</v>
      </c>
      <c r="F321" s="35">
        <v>42974</v>
      </c>
      <c r="H321" s="34">
        <f t="shared" si="9"/>
        <v>7.4158641000000003</v>
      </c>
    </row>
    <row r="322" spans="1:8" x14ac:dyDescent="0.3">
      <c r="A322" s="36" t="s">
        <v>948</v>
      </c>
      <c r="B322" s="34">
        <v>-18.841796760000001</v>
      </c>
      <c r="C322" s="34">
        <v>-10.485193150000001</v>
      </c>
      <c r="E322" s="34">
        <f t="shared" si="10"/>
        <v>-8.3566036100000005</v>
      </c>
      <c r="F322" s="35">
        <v>42975</v>
      </c>
      <c r="H322" s="34">
        <f t="shared" si="9"/>
        <v>8.3566036100000005</v>
      </c>
    </row>
    <row r="323" spans="1:8" x14ac:dyDescent="0.3">
      <c r="A323" s="36" t="s">
        <v>949</v>
      </c>
      <c r="B323" s="34">
        <v>-18.69849176</v>
      </c>
      <c r="C323" s="34">
        <v>-9.4709215899999997</v>
      </c>
      <c r="E323" s="34">
        <f t="shared" si="10"/>
        <v>-9.2275701699999999</v>
      </c>
      <c r="F323" s="35">
        <v>42976</v>
      </c>
      <c r="H323" s="34">
        <f t="shared" ref="H323:H339" si="11">ABS(E323)</f>
        <v>9.2275701699999999</v>
      </c>
    </row>
    <row r="324" spans="1:8" x14ac:dyDescent="0.3">
      <c r="A324" s="36" t="s">
        <v>950</v>
      </c>
      <c r="B324" s="34">
        <v>-17.517737489999998</v>
      </c>
      <c r="C324" s="34">
        <v>-9.3682498699999996</v>
      </c>
      <c r="E324" s="34">
        <f t="shared" si="10"/>
        <v>-8.1494876199999986</v>
      </c>
      <c r="F324" s="35">
        <v>42977</v>
      </c>
      <c r="H324" s="34">
        <f t="shared" si="11"/>
        <v>8.1494876199999986</v>
      </c>
    </row>
    <row r="325" spans="1:8" x14ac:dyDescent="0.3">
      <c r="A325" s="36" t="s">
        <v>951</v>
      </c>
      <c r="B325" s="34">
        <v>-17.77166471</v>
      </c>
      <c r="C325" s="34">
        <v>-7.5826248200000004</v>
      </c>
      <c r="E325" s="34">
        <f t="shared" si="10"/>
        <v>-10.18903989</v>
      </c>
      <c r="F325" s="35">
        <v>42978</v>
      </c>
      <c r="H325" s="34">
        <f t="shared" si="11"/>
        <v>10.18903989</v>
      </c>
    </row>
    <row r="326" spans="1:8" x14ac:dyDescent="0.3">
      <c r="A326" s="36" t="s">
        <v>952</v>
      </c>
      <c r="B326" s="34">
        <v>-18.320355670000001</v>
      </c>
      <c r="C326" s="34">
        <v>-8.6860300800000001</v>
      </c>
      <c r="E326" s="34">
        <f t="shared" si="10"/>
        <v>-9.6343255900000013</v>
      </c>
      <c r="F326" s="35">
        <v>42979</v>
      </c>
      <c r="H326" s="34">
        <f t="shared" si="11"/>
        <v>9.6343255900000013</v>
      </c>
    </row>
    <row r="327" spans="1:8" x14ac:dyDescent="0.3">
      <c r="A327" s="36" t="s">
        <v>953</v>
      </c>
      <c r="B327" s="34">
        <v>-19.014020859999999</v>
      </c>
      <c r="C327" s="34">
        <v>-7.8805813899999997</v>
      </c>
      <c r="E327" s="34">
        <f t="shared" ref="E327:E339" si="12">B327-C327</f>
        <v>-11.133439469999999</v>
      </c>
      <c r="F327" s="35">
        <v>42980</v>
      </c>
      <c r="H327" s="34">
        <f t="shared" si="11"/>
        <v>11.133439469999999</v>
      </c>
    </row>
    <row r="328" spans="1:8" x14ac:dyDescent="0.3">
      <c r="A328" s="36" t="s">
        <v>954</v>
      </c>
      <c r="B328" s="34">
        <v>-18.997814930000001</v>
      </c>
      <c r="C328" s="34">
        <v>-7.2573151899999999</v>
      </c>
      <c r="E328" s="34">
        <f t="shared" si="12"/>
        <v>-11.740499740000001</v>
      </c>
      <c r="F328" s="35">
        <v>42981</v>
      </c>
      <c r="H328" s="34">
        <f t="shared" si="11"/>
        <v>11.740499740000001</v>
      </c>
    </row>
    <row r="329" spans="1:8" x14ac:dyDescent="0.3">
      <c r="A329" s="36" t="s">
        <v>955</v>
      </c>
      <c r="B329" s="34">
        <v>-18.575521720000001</v>
      </c>
      <c r="C329" s="34">
        <v>-8.7290608699999996</v>
      </c>
      <c r="E329" s="34">
        <f t="shared" si="12"/>
        <v>-9.8464608500000015</v>
      </c>
      <c r="F329" s="35">
        <v>42982</v>
      </c>
      <c r="H329" s="34">
        <f t="shared" si="11"/>
        <v>9.8464608500000015</v>
      </c>
    </row>
    <row r="330" spans="1:8" x14ac:dyDescent="0.3">
      <c r="A330" s="36" t="s">
        <v>956</v>
      </c>
      <c r="B330" s="34">
        <v>-17.68922856</v>
      </c>
      <c r="C330" s="34">
        <v>-8.1211799199999994</v>
      </c>
      <c r="E330" s="34">
        <f t="shared" si="12"/>
        <v>-9.5680486400000007</v>
      </c>
      <c r="F330" s="35">
        <v>42983</v>
      </c>
      <c r="H330" s="34">
        <f t="shared" si="11"/>
        <v>9.5680486400000007</v>
      </c>
    </row>
    <row r="331" spans="1:8" x14ac:dyDescent="0.3">
      <c r="A331" s="36" t="s">
        <v>957</v>
      </c>
      <c r="B331" s="34">
        <v>-18.008537279999999</v>
      </c>
      <c r="C331" s="34">
        <v>-8.9024523299999991</v>
      </c>
      <c r="E331" s="34">
        <f t="shared" si="12"/>
        <v>-9.1060849499999996</v>
      </c>
      <c r="F331" s="35">
        <v>42984</v>
      </c>
      <c r="H331" s="34">
        <f t="shared" si="11"/>
        <v>9.1060849499999996</v>
      </c>
    </row>
    <row r="332" spans="1:8" x14ac:dyDescent="0.3">
      <c r="A332" s="36" t="s">
        <v>958</v>
      </c>
      <c r="B332" s="34">
        <v>-20.195210339999999</v>
      </c>
      <c r="C332" s="34">
        <v>-7.9613782799999999</v>
      </c>
      <c r="E332" s="34">
        <f t="shared" si="12"/>
        <v>-12.233832059999999</v>
      </c>
      <c r="F332" s="35">
        <v>42985</v>
      </c>
      <c r="H332" s="34">
        <f t="shared" si="11"/>
        <v>12.233832059999999</v>
      </c>
    </row>
    <row r="333" spans="1:8" x14ac:dyDescent="0.3">
      <c r="A333" s="36" t="s">
        <v>959</v>
      </c>
      <c r="B333" s="34">
        <v>-19.718371049999998</v>
      </c>
      <c r="C333" s="34">
        <v>-8.6395944100000008</v>
      </c>
      <c r="E333" s="34">
        <f t="shared" si="12"/>
        <v>-11.078776639999997</v>
      </c>
      <c r="F333" s="35">
        <v>42986</v>
      </c>
      <c r="H333" s="34">
        <f t="shared" si="11"/>
        <v>11.078776639999997</v>
      </c>
    </row>
    <row r="334" spans="1:8" x14ac:dyDescent="0.3">
      <c r="A334" s="36" t="s">
        <v>960</v>
      </c>
      <c r="B334" s="34">
        <v>-19.696550500000001</v>
      </c>
      <c r="C334" s="34">
        <v>-8.8019481000000006</v>
      </c>
      <c r="E334" s="34">
        <f t="shared" si="12"/>
        <v>-10.8946024</v>
      </c>
      <c r="F334" s="35">
        <v>42987</v>
      </c>
      <c r="H334" s="34">
        <f t="shared" si="11"/>
        <v>10.8946024</v>
      </c>
    </row>
    <row r="335" spans="1:8" x14ac:dyDescent="0.3">
      <c r="A335" s="36" t="s">
        <v>961</v>
      </c>
      <c r="B335" s="34">
        <v>-19.26220631</v>
      </c>
      <c r="C335" s="34">
        <v>-7.4348965800000002</v>
      </c>
      <c r="E335" s="34">
        <f t="shared" si="12"/>
        <v>-11.82730973</v>
      </c>
      <c r="F335" s="35">
        <v>42988</v>
      </c>
      <c r="H335" s="34">
        <f t="shared" si="11"/>
        <v>11.82730973</v>
      </c>
    </row>
    <row r="336" spans="1:8" x14ac:dyDescent="0.3">
      <c r="A336" s="36" t="s">
        <v>958</v>
      </c>
      <c r="B336" s="34">
        <v>-20.195210339999999</v>
      </c>
      <c r="C336" s="34">
        <v>-7.9613782799999999</v>
      </c>
      <c r="E336" s="34">
        <f t="shared" si="12"/>
        <v>-12.233832059999999</v>
      </c>
      <c r="F336" s="35">
        <v>42989</v>
      </c>
      <c r="H336" s="34">
        <f t="shared" si="11"/>
        <v>12.233832059999999</v>
      </c>
    </row>
    <row r="337" spans="1:8" x14ac:dyDescent="0.3">
      <c r="A337" s="36" t="s">
        <v>959</v>
      </c>
      <c r="B337" s="34">
        <v>-19.718371049999998</v>
      </c>
      <c r="C337" s="34">
        <v>-8.6395944100000008</v>
      </c>
      <c r="E337" s="34">
        <f t="shared" si="12"/>
        <v>-11.078776639999997</v>
      </c>
      <c r="F337" s="35">
        <v>42990</v>
      </c>
      <c r="H337" s="34">
        <f t="shared" si="11"/>
        <v>11.078776639999997</v>
      </c>
    </row>
    <row r="338" spans="1:8" x14ac:dyDescent="0.3">
      <c r="A338" s="36" t="s">
        <v>960</v>
      </c>
      <c r="B338" s="34">
        <v>-19.696550500000001</v>
      </c>
      <c r="C338" s="34">
        <v>-8.8019481000000006</v>
      </c>
      <c r="E338" s="34">
        <f t="shared" si="12"/>
        <v>-10.8946024</v>
      </c>
      <c r="F338" s="35">
        <v>42991</v>
      </c>
      <c r="H338" s="34">
        <f t="shared" si="11"/>
        <v>10.8946024</v>
      </c>
    </row>
    <row r="339" spans="1:8" x14ac:dyDescent="0.3">
      <c r="A339" s="36" t="s">
        <v>961</v>
      </c>
      <c r="B339" s="34">
        <v>-19.26220631</v>
      </c>
      <c r="C339" s="34">
        <v>-7.4348965800000002</v>
      </c>
      <c r="E339" s="34">
        <f t="shared" si="12"/>
        <v>-11.82730973</v>
      </c>
      <c r="F339" s="35">
        <v>42992</v>
      </c>
      <c r="H339" s="34">
        <f t="shared" si="11"/>
        <v>11.82730973</v>
      </c>
    </row>
    <row r="340" spans="1:8" x14ac:dyDescent="0.3">
      <c r="F340" s="35"/>
    </row>
    <row r="341" spans="1:8" x14ac:dyDescent="0.3">
      <c r="E341" s="37">
        <f>STDEV(E2:E339)</f>
        <v>5.7978711584039111</v>
      </c>
      <c r="F341" s="35"/>
      <c r="H341" s="37">
        <f>AVERAGE(H2:H339)</f>
        <v>4.9505397413313554</v>
      </c>
    </row>
    <row r="342" spans="1:8" x14ac:dyDescent="0.3">
      <c r="F342" s="35"/>
    </row>
    <row r="343" spans="1:8" x14ac:dyDescent="0.3">
      <c r="F343" s="35"/>
    </row>
    <row r="344" spans="1:8" x14ac:dyDescent="0.3">
      <c r="F344" s="35"/>
    </row>
    <row r="345" spans="1:8" x14ac:dyDescent="0.3">
      <c r="F345" s="35"/>
    </row>
    <row r="346" spans="1:8" x14ac:dyDescent="0.3">
      <c r="F346" s="35"/>
    </row>
    <row r="347" spans="1:8" x14ac:dyDescent="0.3">
      <c r="F347" s="35"/>
    </row>
    <row r="348" spans="1:8" x14ac:dyDescent="0.3">
      <c r="F348" s="35"/>
    </row>
    <row r="349" spans="1:8" x14ac:dyDescent="0.3">
      <c r="F349" s="35"/>
    </row>
    <row r="350" spans="1:8" x14ac:dyDescent="0.3">
      <c r="F350" s="35"/>
    </row>
    <row r="351" spans="1:8" x14ac:dyDescent="0.3">
      <c r="F351" s="35"/>
    </row>
    <row r="352" spans="1:8" x14ac:dyDescent="0.3">
      <c r="F352" s="35"/>
    </row>
    <row r="353" spans="6:6" x14ac:dyDescent="0.3">
      <c r="F353" s="35"/>
    </row>
    <row r="354" spans="6:6" x14ac:dyDescent="0.3">
      <c r="F354" s="35"/>
    </row>
    <row r="355" spans="6:6" x14ac:dyDescent="0.3">
      <c r="F355" s="35"/>
    </row>
    <row r="356" spans="6:6" x14ac:dyDescent="0.3">
      <c r="F356" s="35"/>
    </row>
    <row r="357" spans="6:6" x14ac:dyDescent="0.3">
      <c r="F357" s="35"/>
    </row>
    <row r="358" spans="6:6" x14ac:dyDescent="0.3">
      <c r="F358" s="35"/>
    </row>
    <row r="359" spans="6:6" x14ac:dyDescent="0.3">
      <c r="F359" s="35"/>
    </row>
    <row r="360" spans="6:6" x14ac:dyDescent="0.3">
      <c r="F360" s="35"/>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EF3DB-B1A1-476D-917A-0C694E24DC15}">
  <sheetPr codeName="Sheet16"/>
  <dimension ref="A1:H360"/>
  <sheetViews>
    <sheetView topLeftCell="B309" workbookViewId="0">
      <selection activeCell="H309" sqref="H1:H1048576"/>
    </sheetView>
  </sheetViews>
  <sheetFormatPr defaultRowHeight="14.4" x14ac:dyDescent="0.3"/>
  <cols>
    <col min="1" max="1" width="37.21875" style="34" bestFit="1" customWidth="1"/>
    <col min="2" max="5" width="8.88671875" style="34"/>
    <col min="6" max="6" width="9.88671875" style="34" bestFit="1" customWidth="1"/>
    <col min="7" max="16384" width="8.88671875" style="34"/>
  </cols>
  <sheetData>
    <row r="1" spans="1:8" x14ac:dyDescent="0.3">
      <c r="E1" s="34" t="s">
        <v>776</v>
      </c>
      <c r="F1" s="34" t="s">
        <v>775</v>
      </c>
      <c r="H1" s="37" t="s">
        <v>2685</v>
      </c>
    </row>
    <row r="2" spans="1:8" x14ac:dyDescent="0.3">
      <c r="A2" s="36" t="s">
        <v>2358</v>
      </c>
      <c r="B2" s="34">
        <v>-0.89181500000000002</v>
      </c>
      <c r="C2" s="34">
        <v>6.6185678000000001</v>
      </c>
      <c r="E2" s="34">
        <f t="shared" ref="E2:E65" si="0">B2-C2</f>
        <v>-7.5103828000000004</v>
      </c>
      <c r="F2" s="35">
        <v>42659</v>
      </c>
      <c r="H2" s="34">
        <f>ABS(E2)</f>
        <v>7.5103828000000004</v>
      </c>
    </row>
    <row r="3" spans="1:8" x14ac:dyDescent="0.3">
      <c r="A3" s="36" t="s">
        <v>2359</v>
      </c>
      <c r="B3" s="34">
        <v>-0.6021166</v>
      </c>
      <c r="C3" s="34">
        <v>6.3225553999999997</v>
      </c>
      <c r="E3" s="34">
        <f t="shared" si="0"/>
        <v>-6.9246719999999993</v>
      </c>
      <c r="F3" s="35">
        <v>42660</v>
      </c>
      <c r="H3" s="34">
        <f t="shared" ref="H3:H66" si="1">ABS(E3)</f>
        <v>6.9246719999999993</v>
      </c>
    </row>
    <row r="4" spans="1:8" x14ac:dyDescent="0.3">
      <c r="A4" s="36" t="s">
        <v>2360</v>
      </c>
      <c r="B4" s="34">
        <v>1.168515</v>
      </c>
      <c r="C4" s="34">
        <v>7.3869616000000002</v>
      </c>
      <c r="E4" s="34">
        <f t="shared" si="0"/>
        <v>-6.2184466</v>
      </c>
      <c r="F4" s="35">
        <v>42661</v>
      </c>
      <c r="H4" s="34">
        <f t="shared" si="1"/>
        <v>6.2184466</v>
      </c>
    </row>
    <row r="5" spans="1:8" x14ac:dyDescent="0.3">
      <c r="A5" s="36" t="s">
        <v>2361</v>
      </c>
      <c r="B5" s="34">
        <v>1.9949796</v>
      </c>
      <c r="C5" s="34">
        <v>6.3055971</v>
      </c>
      <c r="E5" s="34">
        <f t="shared" si="0"/>
        <v>-4.3106175000000002</v>
      </c>
      <c r="F5" s="35">
        <v>42662</v>
      </c>
      <c r="H5" s="34">
        <f t="shared" si="1"/>
        <v>4.3106175000000002</v>
      </c>
    </row>
    <row r="6" spans="1:8" x14ac:dyDescent="0.3">
      <c r="A6" s="36" t="s">
        <v>2362</v>
      </c>
      <c r="B6" s="34">
        <v>1.1031719</v>
      </c>
      <c r="C6" s="34">
        <v>8.3538499999999996</v>
      </c>
      <c r="E6" s="34">
        <f t="shared" si="0"/>
        <v>-7.2506781</v>
      </c>
      <c r="F6" s="35">
        <v>42663</v>
      </c>
      <c r="H6" s="34">
        <f t="shared" si="1"/>
        <v>7.2506781</v>
      </c>
    </row>
    <row r="7" spans="1:8" x14ac:dyDescent="0.3">
      <c r="A7" s="36" t="s">
        <v>2363</v>
      </c>
      <c r="B7" s="34">
        <v>1.5450533</v>
      </c>
      <c r="C7" s="34">
        <v>8.1100259999999995</v>
      </c>
      <c r="E7" s="34">
        <f t="shared" si="0"/>
        <v>-6.5649726999999993</v>
      </c>
      <c r="F7" s="35">
        <v>42664</v>
      </c>
      <c r="H7" s="34">
        <f t="shared" si="1"/>
        <v>6.5649726999999993</v>
      </c>
    </row>
    <row r="8" spans="1:8" x14ac:dyDescent="0.3">
      <c r="A8" s="36" t="s">
        <v>2364</v>
      </c>
      <c r="B8" s="34">
        <v>1.9814187000000001</v>
      </c>
      <c r="C8" s="34">
        <v>8.3407537000000005</v>
      </c>
      <c r="E8" s="34">
        <f t="shared" si="0"/>
        <v>-6.3593350000000006</v>
      </c>
      <c r="F8" s="35">
        <v>42665</v>
      </c>
      <c r="H8" s="34">
        <f t="shared" si="1"/>
        <v>6.3593350000000006</v>
      </c>
    </row>
    <row r="9" spans="1:8" x14ac:dyDescent="0.3">
      <c r="A9" s="36" t="s">
        <v>2365</v>
      </c>
      <c r="B9" s="34">
        <v>2.1912148</v>
      </c>
      <c r="C9" s="34">
        <v>10.021079800000001</v>
      </c>
      <c r="E9" s="34">
        <f t="shared" si="0"/>
        <v>-7.8298650000000007</v>
      </c>
      <c r="F9" s="35">
        <v>42666</v>
      </c>
      <c r="H9" s="34">
        <f t="shared" si="1"/>
        <v>7.8298650000000007</v>
      </c>
    </row>
    <row r="10" spans="1:8" x14ac:dyDescent="0.3">
      <c r="A10" s="36" t="s">
        <v>2366</v>
      </c>
      <c r="B10" s="34">
        <v>2.3183254999999998</v>
      </c>
      <c r="C10" s="34">
        <v>11.107310500000001</v>
      </c>
      <c r="E10" s="34">
        <f t="shared" si="0"/>
        <v>-8.7889850000000003</v>
      </c>
      <c r="F10" s="35">
        <v>42667</v>
      </c>
      <c r="H10" s="34">
        <f t="shared" si="1"/>
        <v>8.7889850000000003</v>
      </c>
    </row>
    <row r="11" spans="1:8" x14ac:dyDescent="0.3">
      <c r="A11" s="36" t="s">
        <v>2367</v>
      </c>
      <c r="B11" s="34">
        <v>2.1571088999999999</v>
      </c>
      <c r="C11" s="34">
        <v>11.2721602</v>
      </c>
      <c r="E11" s="34">
        <f t="shared" si="0"/>
        <v>-9.1150513000000011</v>
      </c>
      <c r="F11" s="35">
        <v>42668</v>
      </c>
      <c r="H11" s="34">
        <f t="shared" si="1"/>
        <v>9.1150513000000011</v>
      </c>
    </row>
    <row r="12" spans="1:8" x14ac:dyDescent="0.3">
      <c r="A12" s="36" t="s">
        <v>2368</v>
      </c>
      <c r="B12" s="34">
        <v>2.1452258</v>
      </c>
      <c r="C12" s="34">
        <v>12.1735638</v>
      </c>
      <c r="E12" s="34">
        <f t="shared" si="0"/>
        <v>-10.028338</v>
      </c>
      <c r="F12" s="35">
        <v>42669</v>
      </c>
      <c r="H12" s="34">
        <f t="shared" si="1"/>
        <v>10.028338</v>
      </c>
    </row>
    <row r="13" spans="1:8" x14ac:dyDescent="0.3">
      <c r="A13" s="36" t="s">
        <v>2369</v>
      </c>
      <c r="B13" s="34">
        <v>-0.18808030000000001</v>
      </c>
      <c r="C13" s="34">
        <v>12.3286909</v>
      </c>
      <c r="E13" s="34">
        <f t="shared" si="0"/>
        <v>-12.516771199999999</v>
      </c>
      <c r="F13" s="35">
        <v>42670</v>
      </c>
      <c r="H13" s="34">
        <f t="shared" si="1"/>
        <v>12.516771199999999</v>
      </c>
    </row>
    <row r="14" spans="1:8" x14ac:dyDescent="0.3">
      <c r="A14" s="36" t="s">
        <v>2370</v>
      </c>
      <c r="B14" s="34">
        <v>1.4679624</v>
      </c>
      <c r="C14" s="34">
        <v>11.7636535</v>
      </c>
      <c r="E14" s="34">
        <f t="shared" si="0"/>
        <v>-10.295691100000001</v>
      </c>
      <c r="F14" s="35">
        <v>42671</v>
      </c>
      <c r="H14" s="34">
        <f t="shared" si="1"/>
        <v>10.295691100000001</v>
      </c>
    </row>
    <row r="15" spans="1:8" x14ac:dyDescent="0.3">
      <c r="A15" s="36" t="s">
        <v>2371</v>
      </c>
      <c r="B15" s="34">
        <v>1.4861447000000001</v>
      </c>
      <c r="C15" s="34">
        <v>11.198853099999999</v>
      </c>
      <c r="E15" s="34">
        <f t="shared" si="0"/>
        <v>-9.7127083999999986</v>
      </c>
      <c r="F15" s="35">
        <v>42672</v>
      </c>
      <c r="H15" s="34">
        <f t="shared" si="1"/>
        <v>9.7127083999999986</v>
      </c>
    </row>
    <row r="16" spans="1:8" x14ac:dyDescent="0.3">
      <c r="A16" s="36" t="s">
        <v>2372</v>
      </c>
      <c r="B16" s="34">
        <v>2.4723242000000001</v>
      </c>
      <c r="C16" s="34">
        <v>13.1923216</v>
      </c>
      <c r="E16" s="34">
        <f t="shared" si="0"/>
        <v>-10.7199974</v>
      </c>
      <c r="F16" s="35">
        <v>42669</v>
      </c>
      <c r="H16" s="34">
        <f t="shared" si="1"/>
        <v>10.7199974</v>
      </c>
    </row>
    <row r="17" spans="1:8" x14ac:dyDescent="0.3">
      <c r="A17" s="36" t="s">
        <v>2373</v>
      </c>
      <c r="B17" s="34">
        <v>2.6664591999999998</v>
      </c>
      <c r="C17" s="34">
        <v>14.4029963</v>
      </c>
      <c r="E17" s="34">
        <f t="shared" si="0"/>
        <v>-11.7365371</v>
      </c>
      <c r="F17" s="35">
        <v>42670</v>
      </c>
      <c r="H17" s="34">
        <f t="shared" si="1"/>
        <v>11.7365371</v>
      </c>
    </row>
    <row r="18" spans="1:8" x14ac:dyDescent="0.3">
      <c r="A18" s="36" t="s">
        <v>2374</v>
      </c>
      <c r="B18" s="34">
        <v>4.1893693000000001</v>
      </c>
      <c r="C18" s="34">
        <v>15.279722100000001</v>
      </c>
      <c r="E18" s="34">
        <f t="shared" si="0"/>
        <v>-11.090352800000002</v>
      </c>
      <c r="F18" s="35">
        <v>42671</v>
      </c>
      <c r="H18" s="34">
        <f t="shared" si="1"/>
        <v>11.090352800000002</v>
      </c>
    </row>
    <row r="19" spans="1:8" x14ac:dyDescent="0.3">
      <c r="A19" s="36" t="s">
        <v>2375</v>
      </c>
      <c r="B19" s="34">
        <v>2.4320822999999998</v>
      </c>
      <c r="C19" s="34">
        <v>15.8147138</v>
      </c>
      <c r="E19" s="34">
        <f t="shared" si="0"/>
        <v>-13.3826315</v>
      </c>
      <c r="F19" s="35">
        <v>42672</v>
      </c>
      <c r="H19" s="34">
        <f t="shared" si="1"/>
        <v>13.3826315</v>
      </c>
    </row>
    <row r="20" spans="1:8" x14ac:dyDescent="0.3">
      <c r="A20" s="36" t="s">
        <v>2376</v>
      </c>
      <c r="B20" s="34">
        <v>2.9398304999999998</v>
      </c>
      <c r="C20" s="34">
        <v>14.1783096</v>
      </c>
      <c r="E20" s="34">
        <f t="shared" si="0"/>
        <v>-11.238479100000001</v>
      </c>
      <c r="F20" s="35">
        <v>42673</v>
      </c>
      <c r="H20" s="34">
        <f t="shared" si="1"/>
        <v>11.238479100000001</v>
      </c>
    </row>
    <row r="21" spans="1:8" x14ac:dyDescent="0.3">
      <c r="A21" s="36" t="s">
        <v>2377</v>
      </c>
      <c r="B21" s="34">
        <v>4.4872614000000004</v>
      </c>
      <c r="C21" s="34">
        <v>13.183961800000001</v>
      </c>
      <c r="E21" s="34">
        <f t="shared" si="0"/>
        <v>-8.696700400000001</v>
      </c>
      <c r="F21" s="35">
        <v>42674</v>
      </c>
      <c r="H21" s="34">
        <f t="shared" si="1"/>
        <v>8.696700400000001</v>
      </c>
    </row>
    <row r="22" spans="1:8" x14ac:dyDescent="0.3">
      <c r="A22" s="36" t="s">
        <v>2378</v>
      </c>
      <c r="B22" s="34">
        <v>4.2091545000000004</v>
      </c>
      <c r="C22" s="34">
        <v>14.451050800000001</v>
      </c>
      <c r="E22" s="34">
        <f t="shared" si="0"/>
        <v>-10.241896300000001</v>
      </c>
      <c r="F22" s="35">
        <v>42675</v>
      </c>
      <c r="H22" s="34">
        <f t="shared" si="1"/>
        <v>10.241896300000001</v>
      </c>
    </row>
    <row r="23" spans="1:8" x14ac:dyDescent="0.3">
      <c r="A23" s="36" t="s">
        <v>2379</v>
      </c>
      <c r="B23" s="34">
        <v>4.6532524999999998</v>
      </c>
      <c r="C23" s="34">
        <v>15.871734399999999</v>
      </c>
      <c r="E23" s="34">
        <f t="shared" si="0"/>
        <v>-11.2184819</v>
      </c>
      <c r="F23" s="35">
        <v>42676</v>
      </c>
      <c r="H23" s="34">
        <f t="shared" si="1"/>
        <v>11.2184819</v>
      </c>
    </row>
    <row r="24" spans="1:8" x14ac:dyDescent="0.3">
      <c r="A24" s="36" t="s">
        <v>2380</v>
      </c>
      <c r="B24" s="34">
        <v>5.3037580999999996</v>
      </c>
      <c r="C24" s="34">
        <v>17.5924932</v>
      </c>
      <c r="E24" s="34">
        <f t="shared" si="0"/>
        <v>-12.2887351</v>
      </c>
      <c r="F24" s="35">
        <v>42677</v>
      </c>
      <c r="H24" s="34">
        <f t="shared" si="1"/>
        <v>12.2887351</v>
      </c>
    </row>
    <row r="25" spans="1:8" x14ac:dyDescent="0.3">
      <c r="A25" s="36" t="s">
        <v>2381</v>
      </c>
      <c r="B25" s="34">
        <v>3.3860800000000002</v>
      </c>
      <c r="C25" s="34">
        <v>16.7484152</v>
      </c>
      <c r="E25" s="34">
        <f t="shared" si="0"/>
        <v>-13.3623352</v>
      </c>
      <c r="F25" s="35">
        <v>42678</v>
      </c>
      <c r="H25" s="34">
        <f t="shared" si="1"/>
        <v>13.3623352</v>
      </c>
    </row>
    <row r="26" spans="1:8" x14ac:dyDescent="0.3">
      <c r="A26" s="36" t="s">
        <v>2382</v>
      </c>
      <c r="B26" s="34">
        <v>3.2361059000000001</v>
      </c>
      <c r="C26" s="34">
        <v>16.290990399999998</v>
      </c>
      <c r="E26" s="34">
        <f t="shared" si="0"/>
        <v>-13.054884499999998</v>
      </c>
      <c r="F26" s="35">
        <v>42679</v>
      </c>
      <c r="H26" s="34">
        <f t="shared" si="1"/>
        <v>13.054884499999998</v>
      </c>
    </row>
    <row r="27" spans="1:8" x14ac:dyDescent="0.3">
      <c r="A27" s="36" t="s">
        <v>2383</v>
      </c>
      <c r="B27" s="34">
        <v>2.8302124000000002</v>
      </c>
      <c r="C27" s="34">
        <v>16.0134395</v>
      </c>
      <c r="E27" s="34">
        <f t="shared" si="0"/>
        <v>-13.1832271</v>
      </c>
      <c r="F27" s="35">
        <v>42680</v>
      </c>
      <c r="H27" s="34">
        <f t="shared" si="1"/>
        <v>13.1832271</v>
      </c>
    </row>
    <row r="28" spans="1:8" x14ac:dyDescent="0.3">
      <c r="A28" s="36" t="s">
        <v>2384</v>
      </c>
      <c r="B28" s="34">
        <v>1.4461352000000001</v>
      </c>
      <c r="C28" s="34">
        <v>17.7098285</v>
      </c>
      <c r="E28" s="34">
        <f t="shared" si="0"/>
        <v>-16.2636933</v>
      </c>
      <c r="F28" s="35">
        <v>42681</v>
      </c>
      <c r="H28" s="34">
        <f t="shared" si="1"/>
        <v>16.2636933</v>
      </c>
    </row>
    <row r="29" spans="1:8" x14ac:dyDescent="0.3">
      <c r="A29" s="36" t="s">
        <v>2385</v>
      </c>
      <c r="B29" s="34">
        <v>1.9027243</v>
      </c>
      <c r="C29" s="34">
        <v>18.817591700000001</v>
      </c>
      <c r="E29" s="34">
        <f t="shared" si="0"/>
        <v>-16.914867400000002</v>
      </c>
      <c r="F29" s="35">
        <v>42682</v>
      </c>
      <c r="H29" s="34">
        <f t="shared" si="1"/>
        <v>16.914867400000002</v>
      </c>
    </row>
    <row r="30" spans="1:8" x14ac:dyDescent="0.3">
      <c r="A30" s="36" t="s">
        <v>2386</v>
      </c>
      <c r="B30" s="34">
        <v>1.3711769</v>
      </c>
      <c r="C30" s="34">
        <v>19.472888999999999</v>
      </c>
      <c r="E30" s="34">
        <f t="shared" si="0"/>
        <v>-18.1017121</v>
      </c>
      <c r="F30" s="35">
        <v>42683</v>
      </c>
      <c r="H30" s="34">
        <f t="shared" si="1"/>
        <v>18.1017121</v>
      </c>
    </row>
    <row r="31" spans="1:8" x14ac:dyDescent="0.3">
      <c r="A31" s="36" t="s">
        <v>2387</v>
      </c>
      <c r="B31" s="34">
        <v>2.6559396</v>
      </c>
      <c r="C31" s="34">
        <v>18.717906899999999</v>
      </c>
      <c r="E31" s="34">
        <f t="shared" si="0"/>
        <v>-16.061967299999999</v>
      </c>
      <c r="F31" s="35">
        <v>42684</v>
      </c>
      <c r="H31" s="34">
        <f t="shared" si="1"/>
        <v>16.061967299999999</v>
      </c>
    </row>
    <row r="32" spans="1:8" x14ac:dyDescent="0.3">
      <c r="A32" s="36" t="s">
        <v>2388</v>
      </c>
      <c r="B32" s="34">
        <v>0.78852580000000005</v>
      </c>
      <c r="C32" s="34">
        <v>19.963555800000002</v>
      </c>
      <c r="E32" s="34">
        <f t="shared" si="0"/>
        <v>-19.175030000000003</v>
      </c>
      <c r="F32" s="35">
        <v>42685</v>
      </c>
      <c r="H32" s="34">
        <f t="shared" si="1"/>
        <v>19.175030000000003</v>
      </c>
    </row>
    <row r="33" spans="1:8" x14ac:dyDescent="0.3">
      <c r="A33" s="36" t="s">
        <v>2389</v>
      </c>
      <c r="B33" s="34">
        <v>-0.49447819999999998</v>
      </c>
      <c r="C33" s="34">
        <v>20.541299800000001</v>
      </c>
      <c r="E33" s="34">
        <f t="shared" si="0"/>
        <v>-21.035778000000001</v>
      </c>
      <c r="F33" s="35">
        <v>42686</v>
      </c>
      <c r="H33" s="34">
        <f t="shared" si="1"/>
        <v>21.035778000000001</v>
      </c>
    </row>
    <row r="34" spans="1:8" x14ac:dyDescent="0.3">
      <c r="A34" s="36" t="s">
        <v>2390</v>
      </c>
      <c r="B34" s="34">
        <v>0.25345830000000003</v>
      </c>
      <c r="C34" s="34">
        <v>21.000996700000002</v>
      </c>
      <c r="E34" s="34">
        <f t="shared" si="0"/>
        <v>-20.747538400000003</v>
      </c>
      <c r="F34" s="35">
        <v>42687</v>
      </c>
      <c r="H34" s="34">
        <f t="shared" si="1"/>
        <v>20.747538400000003</v>
      </c>
    </row>
    <row r="35" spans="1:8" x14ac:dyDescent="0.3">
      <c r="A35" s="36" t="s">
        <v>2391</v>
      </c>
      <c r="B35" s="34">
        <v>-0.39130969999999998</v>
      </c>
      <c r="C35" s="34">
        <v>20.381931900000001</v>
      </c>
      <c r="E35" s="34">
        <f t="shared" si="0"/>
        <v>-20.773241600000002</v>
      </c>
      <c r="F35" s="35">
        <v>42688</v>
      </c>
      <c r="H35" s="34">
        <f t="shared" si="1"/>
        <v>20.773241600000002</v>
      </c>
    </row>
    <row r="36" spans="1:8" x14ac:dyDescent="0.3">
      <c r="A36" s="36" t="s">
        <v>2392</v>
      </c>
      <c r="B36" s="34">
        <v>-1.3688153999999999</v>
      </c>
      <c r="C36" s="34">
        <v>20.050566700000001</v>
      </c>
      <c r="E36" s="34">
        <f t="shared" si="0"/>
        <v>-21.4193821</v>
      </c>
      <c r="F36" s="35">
        <v>42689</v>
      </c>
      <c r="H36" s="34">
        <f t="shared" si="1"/>
        <v>21.4193821</v>
      </c>
    </row>
    <row r="37" spans="1:8" x14ac:dyDescent="0.3">
      <c r="A37" s="36" t="s">
        <v>2393</v>
      </c>
      <c r="B37" s="34">
        <v>-0.91974610000000001</v>
      </c>
      <c r="C37" s="34">
        <v>20.053874799999999</v>
      </c>
      <c r="E37" s="34">
        <f t="shared" si="0"/>
        <v>-20.9736209</v>
      </c>
      <c r="F37" s="35">
        <v>42690</v>
      </c>
      <c r="H37" s="34">
        <f t="shared" si="1"/>
        <v>20.9736209</v>
      </c>
    </row>
    <row r="38" spans="1:8" x14ac:dyDescent="0.3">
      <c r="A38" s="36" t="s">
        <v>2394</v>
      </c>
      <c r="B38" s="34">
        <v>-0.92221989999999998</v>
      </c>
      <c r="C38" s="34">
        <v>19.863454999999998</v>
      </c>
      <c r="E38" s="34">
        <f t="shared" si="0"/>
        <v>-20.785674899999997</v>
      </c>
      <c r="F38" s="35">
        <v>42691</v>
      </c>
      <c r="H38" s="34">
        <f t="shared" si="1"/>
        <v>20.785674899999997</v>
      </c>
    </row>
    <row r="39" spans="1:8" x14ac:dyDescent="0.3">
      <c r="A39" s="36" t="s">
        <v>2395</v>
      </c>
      <c r="B39" s="34">
        <v>-0.3790347</v>
      </c>
      <c r="C39" s="34">
        <v>18.6650642</v>
      </c>
      <c r="E39" s="34">
        <f t="shared" si="0"/>
        <v>-19.044098899999998</v>
      </c>
      <c r="F39" s="35">
        <v>42692</v>
      </c>
      <c r="H39" s="34">
        <f t="shared" si="1"/>
        <v>19.044098899999998</v>
      </c>
    </row>
    <row r="40" spans="1:8" x14ac:dyDescent="0.3">
      <c r="A40" s="36" t="s">
        <v>2396</v>
      </c>
      <c r="B40" s="34">
        <v>-0.1953116</v>
      </c>
      <c r="C40" s="34">
        <v>20.055199600000002</v>
      </c>
      <c r="E40" s="34">
        <f t="shared" si="0"/>
        <v>-20.250511200000002</v>
      </c>
      <c r="F40" s="35">
        <v>42693</v>
      </c>
      <c r="H40" s="34">
        <f t="shared" si="1"/>
        <v>20.250511200000002</v>
      </c>
    </row>
    <row r="41" spans="1:8" x14ac:dyDescent="0.3">
      <c r="A41" s="36" t="s">
        <v>2397</v>
      </c>
      <c r="B41" s="34">
        <v>-0.27456399999999997</v>
      </c>
      <c r="C41" s="34">
        <v>18.728744599999999</v>
      </c>
      <c r="E41" s="34">
        <f t="shared" si="0"/>
        <v>-19.0033086</v>
      </c>
      <c r="F41" s="35">
        <v>42694</v>
      </c>
      <c r="H41" s="34">
        <f t="shared" si="1"/>
        <v>19.0033086</v>
      </c>
    </row>
    <row r="42" spans="1:8" x14ac:dyDescent="0.3">
      <c r="A42" s="36" t="s">
        <v>2398</v>
      </c>
      <c r="B42" s="34">
        <v>0.40471760000000001</v>
      </c>
      <c r="C42" s="34">
        <v>18.835756</v>
      </c>
      <c r="E42" s="34">
        <f t="shared" si="0"/>
        <v>-18.431038399999998</v>
      </c>
      <c r="F42" s="35">
        <v>42695</v>
      </c>
      <c r="H42" s="34">
        <f t="shared" si="1"/>
        <v>18.431038399999998</v>
      </c>
    </row>
    <row r="43" spans="1:8" x14ac:dyDescent="0.3">
      <c r="A43" s="36" t="s">
        <v>2399</v>
      </c>
      <c r="B43" s="34">
        <v>-0.87413649999999998</v>
      </c>
      <c r="C43" s="34">
        <v>18.4974968</v>
      </c>
      <c r="E43" s="34">
        <f t="shared" si="0"/>
        <v>-19.371633299999999</v>
      </c>
      <c r="F43" s="35">
        <v>42696</v>
      </c>
      <c r="H43" s="34">
        <f t="shared" si="1"/>
        <v>19.371633299999999</v>
      </c>
    </row>
    <row r="44" spans="1:8" x14ac:dyDescent="0.3">
      <c r="A44" s="36" t="s">
        <v>2400</v>
      </c>
      <c r="B44" s="34">
        <v>-1.1531397999999999</v>
      </c>
      <c r="C44" s="34">
        <v>18.0219542</v>
      </c>
      <c r="E44" s="34">
        <f t="shared" si="0"/>
        <v>-19.175094000000001</v>
      </c>
      <c r="F44" s="35">
        <v>42697</v>
      </c>
      <c r="H44" s="34">
        <f t="shared" si="1"/>
        <v>19.175094000000001</v>
      </c>
    </row>
    <row r="45" spans="1:8" x14ac:dyDescent="0.3">
      <c r="A45" s="36" t="s">
        <v>2401</v>
      </c>
      <c r="B45" s="34">
        <v>-0.62429349999999995</v>
      </c>
      <c r="C45" s="34">
        <v>17.197235599999999</v>
      </c>
      <c r="E45" s="34">
        <f t="shared" si="0"/>
        <v>-17.821529099999999</v>
      </c>
      <c r="F45" s="35">
        <v>42698</v>
      </c>
      <c r="H45" s="34">
        <f t="shared" si="1"/>
        <v>17.821529099999999</v>
      </c>
    </row>
    <row r="46" spans="1:8" x14ac:dyDescent="0.3">
      <c r="A46" s="36" t="s">
        <v>2402</v>
      </c>
      <c r="B46" s="34">
        <v>-2.0713626999999999</v>
      </c>
      <c r="C46" s="34">
        <v>16.4826981</v>
      </c>
      <c r="E46" s="34">
        <f t="shared" si="0"/>
        <v>-18.554060800000002</v>
      </c>
      <c r="F46" s="35">
        <v>42699</v>
      </c>
      <c r="H46" s="34">
        <f t="shared" si="1"/>
        <v>18.554060800000002</v>
      </c>
    </row>
    <row r="47" spans="1:8" x14ac:dyDescent="0.3">
      <c r="A47" s="36" t="s">
        <v>2403</v>
      </c>
      <c r="B47" s="34">
        <v>-2.0694186999999999</v>
      </c>
      <c r="C47" s="34">
        <v>15.397020299999999</v>
      </c>
      <c r="E47" s="34">
        <f t="shared" si="0"/>
        <v>-17.466439000000001</v>
      </c>
      <c r="F47" s="35">
        <v>42700</v>
      </c>
      <c r="H47" s="34">
        <f t="shared" si="1"/>
        <v>17.466439000000001</v>
      </c>
    </row>
    <row r="48" spans="1:8" x14ac:dyDescent="0.3">
      <c r="A48" s="36" t="s">
        <v>2404</v>
      </c>
      <c r="B48" s="34">
        <v>-3.4405250000000001</v>
      </c>
      <c r="C48" s="34">
        <v>15.450180700000001</v>
      </c>
      <c r="E48" s="34">
        <f t="shared" si="0"/>
        <v>-18.890705700000002</v>
      </c>
      <c r="F48" s="35">
        <v>42701</v>
      </c>
      <c r="H48" s="34">
        <f t="shared" si="1"/>
        <v>18.890705700000002</v>
      </c>
    </row>
    <row r="49" spans="1:8" x14ac:dyDescent="0.3">
      <c r="A49" s="36" t="s">
        <v>2405</v>
      </c>
      <c r="B49" s="34">
        <v>-0.94967889999999999</v>
      </c>
      <c r="C49" s="34">
        <v>13.980183200000001</v>
      </c>
      <c r="E49" s="34">
        <f t="shared" si="0"/>
        <v>-14.929862100000001</v>
      </c>
      <c r="F49" s="35">
        <v>42702</v>
      </c>
      <c r="H49" s="34">
        <f t="shared" si="1"/>
        <v>14.929862100000001</v>
      </c>
    </row>
    <row r="50" spans="1:8" x14ac:dyDescent="0.3">
      <c r="A50" s="36" t="s">
        <v>2406</v>
      </c>
      <c r="B50" s="34">
        <v>-2.0905263999999999</v>
      </c>
      <c r="C50" s="34">
        <v>13.526077900000001</v>
      </c>
      <c r="E50" s="34">
        <f t="shared" si="0"/>
        <v>-15.616604300000001</v>
      </c>
      <c r="F50" s="35">
        <v>42703</v>
      </c>
      <c r="H50" s="34">
        <f t="shared" si="1"/>
        <v>15.616604300000001</v>
      </c>
    </row>
    <row r="51" spans="1:8" x14ac:dyDescent="0.3">
      <c r="A51" s="36" t="s">
        <v>2407</v>
      </c>
      <c r="B51" s="34">
        <v>-3.7678894000000001</v>
      </c>
      <c r="C51" s="34">
        <v>13.8303422</v>
      </c>
      <c r="E51" s="34">
        <f t="shared" si="0"/>
        <v>-17.598231600000002</v>
      </c>
      <c r="F51" s="35">
        <v>42704</v>
      </c>
      <c r="H51" s="34">
        <f t="shared" si="1"/>
        <v>17.598231600000002</v>
      </c>
    </row>
    <row r="52" spans="1:8" x14ac:dyDescent="0.3">
      <c r="A52" s="36" t="s">
        <v>2408</v>
      </c>
      <c r="B52" s="34">
        <v>-3.3077610000000002</v>
      </c>
      <c r="C52" s="34">
        <v>14.1402289</v>
      </c>
      <c r="E52" s="34">
        <f t="shared" si="0"/>
        <v>-17.4479899</v>
      </c>
      <c r="F52" s="35">
        <v>42705</v>
      </c>
      <c r="H52" s="34">
        <f t="shared" si="1"/>
        <v>17.4479899</v>
      </c>
    </row>
    <row r="53" spans="1:8" x14ac:dyDescent="0.3">
      <c r="A53" s="36" t="s">
        <v>2409</v>
      </c>
      <c r="B53" s="34">
        <v>-4.7471388000000001</v>
      </c>
      <c r="C53" s="34">
        <v>14.735301</v>
      </c>
      <c r="E53" s="34">
        <f t="shared" si="0"/>
        <v>-19.482439800000002</v>
      </c>
      <c r="F53" s="35">
        <v>42706</v>
      </c>
      <c r="H53" s="34">
        <f t="shared" si="1"/>
        <v>19.482439800000002</v>
      </c>
    </row>
    <row r="54" spans="1:8" x14ac:dyDescent="0.3">
      <c r="A54" s="36" t="s">
        <v>2410</v>
      </c>
      <c r="B54" s="34">
        <v>-5.4520558000000001</v>
      </c>
      <c r="C54" s="34">
        <v>13.817488000000001</v>
      </c>
      <c r="E54" s="34">
        <f t="shared" si="0"/>
        <v>-19.269543800000001</v>
      </c>
      <c r="F54" s="35">
        <v>42707</v>
      </c>
      <c r="H54" s="34">
        <f t="shared" si="1"/>
        <v>19.269543800000001</v>
      </c>
    </row>
    <row r="55" spans="1:8" x14ac:dyDescent="0.3">
      <c r="A55" s="36" t="s">
        <v>2411</v>
      </c>
      <c r="B55" s="34">
        <v>-6.8247302000000003</v>
      </c>
      <c r="C55" s="34">
        <v>14.9878596</v>
      </c>
      <c r="E55" s="34">
        <f t="shared" si="0"/>
        <v>-21.812589800000001</v>
      </c>
      <c r="F55" s="35">
        <v>42708</v>
      </c>
      <c r="H55" s="34">
        <f t="shared" si="1"/>
        <v>21.812589800000001</v>
      </c>
    </row>
    <row r="56" spans="1:8" x14ac:dyDescent="0.3">
      <c r="A56" s="36" t="s">
        <v>2412</v>
      </c>
      <c r="B56" s="34">
        <v>-5.8753922999999997</v>
      </c>
      <c r="C56" s="34">
        <v>15.2115838</v>
      </c>
      <c r="E56" s="34">
        <f t="shared" si="0"/>
        <v>-21.086976100000001</v>
      </c>
      <c r="F56" s="35">
        <v>42709</v>
      </c>
      <c r="H56" s="34">
        <f t="shared" si="1"/>
        <v>21.086976100000001</v>
      </c>
    </row>
    <row r="57" spans="1:8" x14ac:dyDescent="0.3">
      <c r="A57" s="36" t="s">
        <v>2413</v>
      </c>
      <c r="B57" s="34">
        <v>-4.7577178</v>
      </c>
      <c r="C57" s="34">
        <v>15.111611699999999</v>
      </c>
      <c r="E57" s="34">
        <f t="shared" si="0"/>
        <v>-19.869329499999999</v>
      </c>
      <c r="F57" s="35">
        <v>42710</v>
      </c>
      <c r="H57" s="34">
        <f t="shared" si="1"/>
        <v>19.869329499999999</v>
      </c>
    </row>
    <row r="58" spans="1:8" x14ac:dyDescent="0.3">
      <c r="A58" s="36" t="s">
        <v>2414</v>
      </c>
      <c r="B58" s="34">
        <v>-6.0157772999999999</v>
      </c>
      <c r="C58" s="34">
        <v>13.2874944</v>
      </c>
      <c r="E58" s="34">
        <f t="shared" si="0"/>
        <v>-19.3032717</v>
      </c>
      <c r="F58" s="35">
        <v>42711</v>
      </c>
      <c r="H58" s="34">
        <f t="shared" si="1"/>
        <v>19.3032717</v>
      </c>
    </row>
    <row r="59" spans="1:8" x14ac:dyDescent="0.3">
      <c r="A59" s="36" t="s">
        <v>2415</v>
      </c>
      <c r="B59" s="34">
        <v>-7.1720157000000002</v>
      </c>
      <c r="C59" s="34">
        <v>14.8923934</v>
      </c>
      <c r="E59" s="34">
        <f t="shared" si="0"/>
        <v>-22.064409099999999</v>
      </c>
      <c r="F59" s="35">
        <v>42712</v>
      </c>
      <c r="H59" s="34">
        <f t="shared" si="1"/>
        <v>22.064409099999999</v>
      </c>
    </row>
    <row r="60" spans="1:8" x14ac:dyDescent="0.3">
      <c r="A60" s="36" t="s">
        <v>2416</v>
      </c>
      <c r="B60" s="34">
        <v>-7.8105678999999997</v>
      </c>
      <c r="C60" s="34">
        <v>15.368563200000001</v>
      </c>
      <c r="E60" s="34">
        <f t="shared" si="0"/>
        <v>-23.179131099999999</v>
      </c>
      <c r="F60" s="35">
        <v>42713</v>
      </c>
      <c r="H60" s="34">
        <f t="shared" si="1"/>
        <v>23.179131099999999</v>
      </c>
    </row>
    <row r="61" spans="1:8" x14ac:dyDescent="0.3">
      <c r="A61" s="36" t="s">
        <v>2417</v>
      </c>
      <c r="B61" s="34">
        <v>-8.9220074999999994</v>
      </c>
      <c r="C61" s="34">
        <v>16.018768000000001</v>
      </c>
      <c r="E61" s="34">
        <f t="shared" si="0"/>
        <v>-24.940775500000001</v>
      </c>
      <c r="F61" s="35">
        <v>42714</v>
      </c>
      <c r="H61" s="34">
        <f t="shared" si="1"/>
        <v>24.940775500000001</v>
      </c>
    </row>
    <row r="62" spans="1:8" x14ac:dyDescent="0.3">
      <c r="A62" s="36" t="s">
        <v>2418</v>
      </c>
      <c r="B62" s="34">
        <v>-10.1412233</v>
      </c>
      <c r="C62" s="34">
        <v>15.442883</v>
      </c>
      <c r="E62" s="34">
        <f t="shared" si="0"/>
        <v>-25.584106300000002</v>
      </c>
      <c r="F62" s="35">
        <v>42715</v>
      </c>
      <c r="H62" s="34">
        <f t="shared" si="1"/>
        <v>25.584106300000002</v>
      </c>
    </row>
    <row r="63" spans="1:8" x14ac:dyDescent="0.3">
      <c r="A63" s="36" t="s">
        <v>2419</v>
      </c>
      <c r="B63" s="34">
        <v>-9.3350158000000008</v>
      </c>
      <c r="C63" s="34">
        <v>17.3542916</v>
      </c>
      <c r="E63" s="34">
        <f t="shared" si="0"/>
        <v>-26.689307400000001</v>
      </c>
      <c r="F63" s="35">
        <v>42716</v>
      </c>
      <c r="H63" s="34">
        <f t="shared" si="1"/>
        <v>26.689307400000001</v>
      </c>
    </row>
    <row r="64" spans="1:8" x14ac:dyDescent="0.3">
      <c r="A64" s="36" t="s">
        <v>2420</v>
      </c>
      <c r="B64" s="34">
        <v>-11.0458394</v>
      </c>
      <c r="C64" s="34">
        <v>17.358519399999999</v>
      </c>
      <c r="E64" s="34">
        <f t="shared" si="0"/>
        <v>-28.404358799999997</v>
      </c>
      <c r="F64" s="35">
        <v>42717</v>
      </c>
      <c r="H64" s="34">
        <f t="shared" si="1"/>
        <v>28.404358799999997</v>
      </c>
    </row>
    <row r="65" spans="1:8" x14ac:dyDescent="0.3">
      <c r="A65" s="36" t="s">
        <v>2421</v>
      </c>
      <c r="B65" s="34">
        <v>-9.9268637999999996</v>
      </c>
      <c r="C65" s="34">
        <v>15.937836799999999</v>
      </c>
      <c r="E65" s="34">
        <f t="shared" si="0"/>
        <v>-25.864700599999999</v>
      </c>
      <c r="F65" s="35">
        <v>42718</v>
      </c>
      <c r="H65" s="34">
        <f t="shared" si="1"/>
        <v>25.864700599999999</v>
      </c>
    </row>
    <row r="66" spans="1:8" x14ac:dyDescent="0.3">
      <c r="A66" s="36" t="s">
        <v>2422</v>
      </c>
      <c r="B66" s="34">
        <v>-9.5846128000000004</v>
      </c>
      <c r="C66" s="34">
        <v>17.333549000000001</v>
      </c>
      <c r="E66" s="34">
        <f t="shared" ref="E66:E129" si="2">B66-C66</f>
        <v>-26.9181618</v>
      </c>
      <c r="F66" s="35">
        <v>42719</v>
      </c>
      <c r="H66" s="34">
        <f t="shared" si="1"/>
        <v>26.9181618</v>
      </c>
    </row>
    <row r="67" spans="1:8" x14ac:dyDescent="0.3">
      <c r="A67" s="36" t="s">
        <v>2423</v>
      </c>
      <c r="B67" s="34">
        <v>-8.5285934000000001</v>
      </c>
      <c r="C67" s="34">
        <v>17.544802900000001</v>
      </c>
      <c r="E67" s="34">
        <f t="shared" si="2"/>
        <v>-26.073396299999999</v>
      </c>
      <c r="F67" s="35">
        <v>42720</v>
      </c>
      <c r="H67" s="34">
        <f t="shared" ref="H67:H130" si="3">ABS(E67)</f>
        <v>26.073396299999999</v>
      </c>
    </row>
    <row r="68" spans="1:8" x14ac:dyDescent="0.3">
      <c r="A68" s="36" t="s">
        <v>2424</v>
      </c>
      <c r="B68" s="34">
        <v>-9.4374131999999999</v>
      </c>
      <c r="C68" s="34">
        <v>17.109918400000002</v>
      </c>
      <c r="E68" s="34">
        <f t="shared" si="2"/>
        <v>-26.5473316</v>
      </c>
      <c r="F68" s="35">
        <v>42721</v>
      </c>
      <c r="H68" s="34">
        <f t="shared" si="3"/>
        <v>26.5473316</v>
      </c>
    </row>
    <row r="69" spans="1:8" x14ac:dyDescent="0.3">
      <c r="A69" s="36" t="s">
        <v>2425</v>
      </c>
      <c r="B69" s="34">
        <v>-9.8681256000000008</v>
      </c>
      <c r="C69" s="34">
        <v>18.003558099999999</v>
      </c>
      <c r="E69" s="34">
        <f t="shared" si="2"/>
        <v>-27.871683699999998</v>
      </c>
      <c r="F69" s="35">
        <v>42722</v>
      </c>
      <c r="H69" s="34">
        <f t="shared" si="3"/>
        <v>27.871683699999998</v>
      </c>
    </row>
    <row r="70" spans="1:8" x14ac:dyDescent="0.3">
      <c r="A70" s="36" t="s">
        <v>2426</v>
      </c>
      <c r="B70" s="34">
        <v>-7.9458365999999998</v>
      </c>
      <c r="C70" s="34">
        <v>17.580824499999999</v>
      </c>
      <c r="E70" s="34">
        <f t="shared" si="2"/>
        <v>-25.526661099999998</v>
      </c>
      <c r="F70" s="35">
        <v>42723</v>
      </c>
      <c r="H70" s="34">
        <f t="shared" si="3"/>
        <v>25.526661099999998</v>
      </c>
    </row>
    <row r="71" spans="1:8" x14ac:dyDescent="0.3">
      <c r="A71" s="36" t="s">
        <v>2427</v>
      </c>
      <c r="B71" s="34">
        <v>-8.0722634000000006</v>
      </c>
      <c r="C71" s="34">
        <v>17.8146144</v>
      </c>
      <c r="E71" s="34">
        <f t="shared" si="2"/>
        <v>-25.886877800000001</v>
      </c>
      <c r="F71" s="35">
        <v>42724</v>
      </c>
      <c r="H71" s="34">
        <f t="shared" si="3"/>
        <v>25.886877800000001</v>
      </c>
    </row>
    <row r="72" spans="1:8" x14ac:dyDescent="0.3">
      <c r="A72" s="36" t="s">
        <v>2428</v>
      </c>
      <c r="B72" s="34">
        <v>-8.2334008000000001</v>
      </c>
      <c r="C72" s="34">
        <v>18.0047423</v>
      </c>
      <c r="E72" s="34">
        <f t="shared" si="2"/>
        <v>-26.238143100000002</v>
      </c>
      <c r="F72" s="35">
        <v>42725</v>
      </c>
      <c r="H72" s="34">
        <f t="shared" si="3"/>
        <v>26.238143100000002</v>
      </c>
    </row>
    <row r="73" spans="1:8" x14ac:dyDescent="0.3">
      <c r="A73" s="36" t="s">
        <v>2429</v>
      </c>
      <c r="B73" s="34">
        <v>-8.4195928000000002</v>
      </c>
      <c r="C73" s="34">
        <v>18.632449099999999</v>
      </c>
      <c r="E73" s="34">
        <f t="shared" si="2"/>
        <v>-27.052041899999999</v>
      </c>
      <c r="F73" s="35">
        <v>42726</v>
      </c>
      <c r="H73" s="34">
        <f t="shared" si="3"/>
        <v>27.052041899999999</v>
      </c>
    </row>
    <row r="74" spans="1:8" x14ac:dyDescent="0.3">
      <c r="A74" s="36" t="s">
        <v>2430</v>
      </c>
      <c r="B74" s="34">
        <v>-8.1112234000000001</v>
      </c>
      <c r="C74" s="34">
        <v>17.950154000000001</v>
      </c>
      <c r="E74" s="34">
        <f t="shared" si="2"/>
        <v>-26.061377400000001</v>
      </c>
      <c r="F74" s="35">
        <v>42727</v>
      </c>
      <c r="H74" s="34">
        <f t="shared" si="3"/>
        <v>26.061377400000001</v>
      </c>
    </row>
    <row r="75" spans="1:8" x14ac:dyDescent="0.3">
      <c r="A75" s="36" t="s">
        <v>2431</v>
      </c>
      <c r="B75" s="34">
        <v>-8.3988803999999995</v>
      </c>
      <c r="C75" s="34">
        <v>17.826185299999999</v>
      </c>
      <c r="E75" s="34">
        <f t="shared" si="2"/>
        <v>-26.225065699999998</v>
      </c>
      <c r="F75" s="35">
        <v>42728</v>
      </c>
      <c r="H75" s="34">
        <f t="shared" si="3"/>
        <v>26.225065699999998</v>
      </c>
    </row>
    <row r="76" spans="1:8" x14ac:dyDescent="0.3">
      <c r="A76" s="36" t="s">
        <v>2432</v>
      </c>
      <c r="B76" s="34">
        <v>-8.5258208</v>
      </c>
      <c r="C76" s="34">
        <v>18.1275054</v>
      </c>
      <c r="E76" s="34">
        <f t="shared" si="2"/>
        <v>-26.653326200000002</v>
      </c>
      <c r="F76" s="35">
        <v>42729</v>
      </c>
      <c r="H76" s="34">
        <f t="shared" si="3"/>
        <v>26.653326200000002</v>
      </c>
    </row>
    <row r="77" spans="1:8" x14ac:dyDescent="0.3">
      <c r="A77" s="36" t="s">
        <v>2433</v>
      </c>
      <c r="B77" s="34">
        <v>-9.6124541000000008</v>
      </c>
      <c r="C77" s="34">
        <v>18.4436894</v>
      </c>
      <c r="E77" s="34">
        <f t="shared" si="2"/>
        <v>-28.056143500000001</v>
      </c>
      <c r="F77" s="35">
        <v>42730</v>
      </c>
      <c r="H77" s="34">
        <f t="shared" si="3"/>
        <v>28.056143500000001</v>
      </c>
    </row>
    <row r="78" spans="1:8" x14ac:dyDescent="0.3">
      <c r="A78" s="36" t="s">
        <v>2434</v>
      </c>
      <c r="B78" s="34">
        <v>-9.6828044999999996</v>
      </c>
      <c r="C78" s="34">
        <v>18.2610919</v>
      </c>
      <c r="E78" s="34">
        <f t="shared" si="2"/>
        <v>-27.9438964</v>
      </c>
      <c r="F78" s="35">
        <v>42731</v>
      </c>
      <c r="H78" s="34">
        <f t="shared" si="3"/>
        <v>27.9438964</v>
      </c>
    </row>
    <row r="79" spans="1:8" x14ac:dyDescent="0.3">
      <c r="A79" s="36" t="s">
        <v>2435</v>
      </c>
      <c r="B79" s="34">
        <v>-11.63561</v>
      </c>
      <c r="C79" s="34">
        <v>17.154781499999999</v>
      </c>
      <c r="E79" s="34">
        <f t="shared" si="2"/>
        <v>-28.790391499999998</v>
      </c>
      <c r="F79" s="35">
        <v>42732</v>
      </c>
      <c r="H79" s="34">
        <f t="shared" si="3"/>
        <v>28.790391499999998</v>
      </c>
    </row>
    <row r="80" spans="1:8" x14ac:dyDescent="0.3">
      <c r="A80" s="36" t="s">
        <v>2436</v>
      </c>
      <c r="B80" s="34">
        <v>-12.301175799999999</v>
      </c>
      <c r="C80" s="34">
        <v>17.418363299999999</v>
      </c>
      <c r="E80" s="34">
        <f t="shared" si="2"/>
        <v>-29.719539099999999</v>
      </c>
      <c r="F80" s="35">
        <v>42733</v>
      </c>
      <c r="H80" s="34">
        <f t="shared" si="3"/>
        <v>29.719539099999999</v>
      </c>
    </row>
    <row r="81" spans="1:8" x14ac:dyDescent="0.3">
      <c r="A81" s="36" t="s">
        <v>2437</v>
      </c>
      <c r="B81" s="34">
        <v>-11.6478193</v>
      </c>
      <c r="C81" s="34">
        <v>15.6876231</v>
      </c>
      <c r="E81" s="34">
        <f t="shared" si="2"/>
        <v>-27.335442399999998</v>
      </c>
      <c r="F81" s="35">
        <v>42734</v>
      </c>
      <c r="H81" s="34">
        <f t="shared" si="3"/>
        <v>27.335442399999998</v>
      </c>
    </row>
    <row r="82" spans="1:8" x14ac:dyDescent="0.3">
      <c r="A82" s="36" t="s">
        <v>2438</v>
      </c>
      <c r="B82" s="34">
        <v>-12.5255657</v>
      </c>
      <c r="C82" s="34">
        <v>16.6718327</v>
      </c>
      <c r="E82" s="34">
        <f t="shared" si="2"/>
        <v>-29.197398399999997</v>
      </c>
      <c r="F82" s="35">
        <v>42735</v>
      </c>
      <c r="H82" s="34">
        <f t="shared" si="3"/>
        <v>29.197398399999997</v>
      </c>
    </row>
    <row r="83" spans="1:8" x14ac:dyDescent="0.3">
      <c r="A83" s="36" t="s">
        <v>2439</v>
      </c>
      <c r="B83" s="34">
        <v>-13.1157523</v>
      </c>
      <c r="C83" s="34">
        <v>18.5874655</v>
      </c>
      <c r="E83" s="34">
        <f t="shared" si="2"/>
        <v>-31.703217800000001</v>
      </c>
      <c r="F83" s="35">
        <v>42736</v>
      </c>
      <c r="H83" s="34">
        <f t="shared" si="3"/>
        <v>31.703217800000001</v>
      </c>
    </row>
    <row r="84" spans="1:8" x14ac:dyDescent="0.3">
      <c r="A84" s="36" t="s">
        <v>2440</v>
      </c>
      <c r="B84" s="34">
        <v>-13.8730115</v>
      </c>
      <c r="C84" s="34">
        <v>17.500145799999999</v>
      </c>
      <c r="E84" s="34">
        <f t="shared" si="2"/>
        <v>-31.373157299999999</v>
      </c>
      <c r="F84" s="35">
        <v>42737</v>
      </c>
      <c r="H84" s="34">
        <f t="shared" si="3"/>
        <v>31.373157299999999</v>
      </c>
    </row>
    <row r="85" spans="1:8" x14ac:dyDescent="0.3">
      <c r="A85" s="36" t="s">
        <v>2441</v>
      </c>
      <c r="B85" s="34">
        <v>-11.6812179</v>
      </c>
      <c r="C85" s="34">
        <v>18.096503500000001</v>
      </c>
      <c r="E85" s="34">
        <f t="shared" si="2"/>
        <v>-29.777721400000001</v>
      </c>
      <c r="F85" s="35">
        <v>42738</v>
      </c>
      <c r="H85" s="34">
        <f t="shared" si="3"/>
        <v>29.777721400000001</v>
      </c>
    </row>
    <row r="86" spans="1:8" x14ac:dyDescent="0.3">
      <c r="A86" s="36" t="s">
        <v>2442</v>
      </c>
      <c r="B86" s="34">
        <v>-11.0169579</v>
      </c>
      <c r="C86" s="34">
        <v>17.020424800000001</v>
      </c>
      <c r="E86" s="34">
        <f t="shared" si="2"/>
        <v>-28.037382700000002</v>
      </c>
      <c r="F86" s="35">
        <v>42739</v>
      </c>
      <c r="H86" s="34">
        <f t="shared" si="3"/>
        <v>28.037382700000002</v>
      </c>
    </row>
    <row r="87" spans="1:8" x14ac:dyDescent="0.3">
      <c r="A87" s="36" t="s">
        <v>2443</v>
      </c>
      <c r="B87" s="34">
        <v>-10.9177572</v>
      </c>
      <c r="C87" s="34">
        <v>17.663174000000001</v>
      </c>
      <c r="E87" s="34">
        <f t="shared" si="2"/>
        <v>-28.580931200000002</v>
      </c>
      <c r="F87" s="35">
        <v>42740</v>
      </c>
      <c r="H87" s="34">
        <f t="shared" si="3"/>
        <v>28.580931200000002</v>
      </c>
    </row>
    <row r="88" spans="1:8" x14ac:dyDescent="0.3">
      <c r="A88" s="36" t="s">
        <v>2444</v>
      </c>
      <c r="B88" s="34">
        <v>-11.341099399999999</v>
      </c>
      <c r="C88" s="34">
        <v>19.267035400000001</v>
      </c>
      <c r="E88" s="34">
        <f t="shared" si="2"/>
        <v>-30.608134800000002</v>
      </c>
      <c r="F88" s="35">
        <v>42741</v>
      </c>
      <c r="H88" s="34">
        <f t="shared" si="3"/>
        <v>30.608134800000002</v>
      </c>
    </row>
    <row r="89" spans="1:8" x14ac:dyDescent="0.3">
      <c r="A89" s="36" t="s">
        <v>2445</v>
      </c>
      <c r="B89" s="34">
        <v>-11.878833500000001</v>
      </c>
      <c r="C89" s="34">
        <v>17.9586869</v>
      </c>
      <c r="E89" s="34">
        <f t="shared" si="2"/>
        <v>-29.837520400000002</v>
      </c>
      <c r="F89" s="35">
        <v>42742</v>
      </c>
      <c r="H89" s="34">
        <f t="shared" si="3"/>
        <v>29.837520400000002</v>
      </c>
    </row>
    <row r="90" spans="1:8" x14ac:dyDescent="0.3">
      <c r="A90" s="36" t="s">
        <v>2446</v>
      </c>
      <c r="B90" s="34">
        <v>-11.5853567</v>
      </c>
      <c r="C90" s="34">
        <v>16.481339699999999</v>
      </c>
      <c r="E90" s="34">
        <f t="shared" si="2"/>
        <v>-28.066696399999998</v>
      </c>
      <c r="F90" s="35">
        <v>42743</v>
      </c>
      <c r="H90" s="34">
        <f t="shared" si="3"/>
        <v>28.066696399999998</v>
      </c>
    </row>
    <row r="91" spans="1:8" x14ac:dyDescent="0.3">
      <c r="A91" s="36" t="s">
        <v>2447</v>
      </c>
      <c r="B91" s="34">
        <v>-12.5505443</v>
      </c>
      <c r="C91" s="34">
        <v>16.812794100000001</v>
      </c>
      <c r="E91" s="34">
        <f t="shared" si="2"/>
        <v>-29.363338400000004</v>
      </c>
      <c r="F91" s="35">
        <v>42744</v>
      </c>
      <c r="H91" s="34">
        <f t="shared" si="3"/>
        <v>29.363338400000004</v>
      </c>
    </row>
    <row r="92" spans="1:8" x14ac:dyDescent="0.3">
      <c r="A92" s="36" t="s">
        <v>2448</v>
      </c>
      <c r="B92" s="34">
        <v>-13.801308799999999</v>
      </c>
      <c r="C92" s="34">
        <v>17.575369299999998</v>
      </c>
      <c r="E92" s="34">
        <f t="shared" si="2"/>
        <v>-31.376678099999999</v>
      </c>
      <c r="F92" s="35">
        <v>42745</v>
      </c>
      <c r="H92" s="34">
        <f t="shared" si="3"/>
        <v>31.376678099999999</v>
      </c>
    </row>
    <row r="93" spans="1:8" x14ac:dyDescent="0.3">
      <c r="A93" s="36" t="s">
        <v>2449</v>
      </c>
      <c r="B93" s="34">
        <v>-13.9225294</v>
      </c>
      <c r="C93" s="34">
        <v>17.789647800000001</v>
      </c>
      <c r="E93" s="34">
        <f t="shared" si="2"/>
        <v>-31.712177199999999</v>
      </c>
      <c r="F93" s="35">
        <v>42746</v>
      </c>
      <c r="H93" s="34">
        <f t="shared" si="3"/>
        <v>31.712177199999999</v>
      </c>
    </row>
    <row r="94" spans="1:8" x14ac:dyDescent="0.3">
      <c r="A94" s="36" t="s">
        <v>2450</v>
      </c>
      <c r="B94" s="34">
        <v>-14.460717499999999</v>
      </c>
      <c r="C94" s="34">
        <v>17.6628638</v>
      </c>
      <c r="E94" s="34">
        <f t="shared" si="2"/>
        <v>-32.123581299999998</v>
      </c>
      <c r="F94" s="35">
        <v>42747</v>
      </c>
      <c r="H94" s="34">
        <f t="shared" si="3"/>
        <v>32.123581299999998</v>
      </c>
    </row>
    <row r="95" spans="1:8" x14ac:dyDescent="0.3">
      <c r="A95" s="36" t="s">
        <v>2451</v>
      </c>
      <c r="B95" s="34">
        <v>-14.477365199999999</v>
      </c>
      <c r="C95" s="34">
        <v>16.5280673</v>
      </c>
      <c r="E95" s="34">
        <f t="shared" si="2"/>
        <v>-31.005432499999998</v>
      </c>
      <c r="F95" s="35">
        <v>42748</v>
      </c>
      <c r="H95" s="34">
        <f t="shared" si="3"/>
        <v>31.005432499999998</v>
      </c>
    </row>
    <row r="96" spans="1:8" x14ac:dyDescent="0.3">
      <c r="A96" s="36" t="s">
        <v>2452</v>
      </c>
      <c r="B96" s="34">
        <v>-12.714923300000001</v>
      </c>
      <c r="C96" s="34">
        <v>17.765575699999999</v>
      </c>
      <c r="E96" s="34">
        <f t="shared" si="2"/>
        <v>-30.480499000000002</v>
      </c>
      <c r="F96" s="35">
        <v>42749</v>
      </c>
      <c r="H96" s="34">
        <f t="shared" si="3"/>
        <v>30.480499000000002</v>
      </c>
    </row>
    <row r="97" spans="1:8" x14ac:dyDescent="0.3">
      <c r="A97" s="36" t="s">
        <v>2453</v>
      </c>
      <c r="B97" s="34">
        <v>-10.324817400000001</v>
      </c>
      <c r="C97" s="34">
        <v>17.573428199999999</v>
      </c>
      <c r="E97" s="34">
        <f t="shared" si="2"/>
        <v>-27.898245599999999</v>
      </c>
      <c r="F97" s="35">
        <v>42750</v>
      </c>
      <c r="H97" s="34">
        <f t="shared" si="3"/>
        <v>27.898245599999999</v>
      </c>
    </row>
    <row r="98" spans="1:8" x14ac:dyDescent="0.3">
      <c r="A98" s="36" t="s">
        <v>2454</v>
      </c>
      <c r="B98" s="34">
        <v>-9.5606509000000006</v>
      </c>
      <c r="C98" s="34">
        <v>18.588780799999999</v>
      </c>
      <c r="E98" s="34">
        <f t="shared" si="2"/>
        <v>-28.149431700000001</v>
      </c>
      <c r="F98" s="35">
        <v>42751</v>
      </c>
      <c r="H98" s="34">
        <f t="shared" si="3"/>
        <v>28.149431700000001</v>
      </c>
    </row>
    <row r="99" spans="1:8" x14ac:dyDescent="0.3">
      <c r="A99" s="36" t="s">
        <v>2455</v>
      </c>
      <c r="B99" s="34">
        <v>-9.4162681999999993</v>
      </c>
      <c r="C99" s="34">
        <v>17.284357400000001</v>
      </c>
      <c r="E99" s="34">
        <f t="shared" si="2"/>
        <v>-26.700625600000002</v>
      </c>
      <c r="F99" s="35">
        <v>42752</v>
      </c>
      <c r="H99" s="34">
        <f t="shared" si="3"/>
        <v>26.700625600000002</v>
      </c>
    </row>
    <row r="100" spans="1:8" x14ac:dyDescent="0.3">
      <c r="A100" s="36" t="s">
        <v>2456</v>
      </c>
      <c r="B100" s="34">
        <v>-8.7811372999999993</v>
      </c>
      <c r="C100" s="34">
        <v>16.5185812</v>
      </c>
      <c r="E100" s="34">
        <f t="shared" si="2"/>
        <v>-25.299718499999997</v>
      </c>
      <c r="F100" s="35">
        <v>42753</v>
      </c>
      <c r="H100" s="34">
        <f t="shared" si="3"/>
        <v>25.299718499999997</v>
      </c>
    </row>
    <row r="101" spans="1:8" x14ac:dyDescent="0.3">
      <c r="A101" s="36" t="s">
        <v>2457</v>
      </c>
      <c r="B101" s="34">
        <v>-6.8586340000000003</v>
      </c>
      <c r="C101" s="34">
        <v>17.2311996</v>
      </c>
      <c r="E101" s="34">
        <f t="shared" si="2"/>
        <v>-24.089833599999999</v>
      </c>
      <c r="F101" s="35">
        <v>42754</v>
      </c>
      <c r="H101" s="34">
        <f t="shared" si="3"/>
        <v>24.089833599999999</v>
      </c>
    </row>
    <row r="102" spans="1:8" x14ac:dyDescent="0.3">
      <c r="A102" s="36" t="s">
        <v>2458</v>
      </c>
      <c r="B102" s="34">
        <v>-6.0811712</v>
      </c>
      <c r="C102" s="34">
        <v>15.5585454</v>
      </c>
      <c r="E102" s="34">
        <f t="shared" si="2"/>
        <v>-21.6397166</v>
      </c>
      <c r="F102" s="35">
        <v>42755</v>
      </c>
      <c r="H102" s="34">
        <f t="shared" si="3"/>
        <v>21.6397166</v>
      </c>
    </row>
    <row r="103" spans="1:8" x14ac:dyDescent="0.3">
      <c r="A103" s="36" t="s">
        <v>2459</v>
      </c>
      <c r="B103" s="34">
        <v>-6.6231543999999998</v>
      </c>
      <c r="C103" s="34">
        <v>15.3720055</v>
      </c>
      <c r="E103" s="34">
        <f t="shared" si="2"/>
        <v>-21.995159900000001</v>
      </c>
      <c r="F103" s="35">
        <v>42756</v>
      </c>
      <c r="H103" s="34">
        <f t="shared" si="3"/>
        <v>21.995159900000001</v>
      </c>
    </row>
    <row r="104" spans="1:8" x14ac:dyDescent="0.3">
      <c r="A104" s="36" t="s">
        <v>2460</v>
      </c>
      <c r="B104" s="34">
        <v>-7.7373773999999997</v>
      </c>
      <c r="C104" s="34">
        <v>17.604366800000001</v>
      </c>
      <c r="E104" s="34">
        <f t="shared" si="2"/>
        <v>-25.341744200000001</v>
      </c>
      <c r="F104" s="35">
        <v>42757</v>
      </c>
      <c r="H104" s="34">
        <f t="shared" si="3"/>
        <v>25.341744200000001</v>
      </c>
    </row>
    <row r="105" spans="1:8" x14ac:dyDescent="0.3">
      <c r="A105" s="36" t="s">
        <v>2461</v>
      </c>
      <c r="B105" s="34">
        <v>-8.2965087999999998</v>
      </c>
      <c r="C105" s="34">
        <v>17.273127500000001</v>
      </c>
      <c r="E105" s="34">
        <f t="shared" si="2"/>
        <v>-25.569636299999999</v>
      </c>
      <c r="F105" s="35">
        <v>42758</v>
      </c>
      <c r="H105" s="34">
        <f t="shared" si="3"/>
        <v>25.569636299999999</v>
      </c>
    </row>
    <row r="106" spans="1:8" x14ac:dyDescent="0.3">
      <c r="A106" s="36" t="s">
        <v>2462</v>
      </c>
      <c r="B106" s="34">
        <v>-7.6642391999999999</v>
      </c>
      <c r="C106" s="34">
        <v>18.6798924</v>
      </c>
      <c r="E106" s="34">
        <f t="shared" si="2"/>
        <v>-26.344131600000001</v>
      </c>
      <c r="F106" s="35">
        <v>42759</v>
      </c>
      <c r="H106" s="34">
        <f t="shared" si="3"/>
        <v>26.344131600000001</v>
      </c>
    </row>
    <row r="107" spans="1:8" x14ac:dyDescent="0.3">
      <c r="A107" s="36" t="s">
        <v>2463</v>
      </c>
      <c r="B107" s="34">
        <v>-7.5639345999999996</v>
      </c>
      <c r="C107" s="34">
        <v>19.460039699999999</v>
      </c>
      <c r="E107" s="34">
        <f t="shared" si="2"/>
        <v>-27.023974299999999</v>
      </c>
      <c r="F107" s="35">
        <v>42760</v>
      </c>
      <c r="H107" s="34">
        <f t="shared" si="3"/>
        <v>27.023974299999999</v>
      </c>
    </row>
    <row r="108" spans="1:8" x14ac:dyDescent="0.3">
      <c r="A108" s="36" t="s">
        <v>2464</v>
      </c>
      <c r="B108" s="34">
        <v>-9.0405963000000007</v>
      </c>
      <c r="C108" s="34">
        <v>20.180863200000001</v>
      </c>
      <c r="E108" s="34">
        <f t="shared" si="2"/>
        <v>-29.221459500000002</v>
      </c>
      <c r="F108" s="35">
        <v>42761</v>
      </c>
      <c r="H108" s="34">
        <f t="shared" si="3"/>
        <v>29.221459500000002</v>
      </c>
    </row>
    <row r="109" spans="1:8" x14ac:dyDescent="0.3">
      <c r="A109" s="36" t="s">
        <v>2465</v>
      </c>
      <c r="B109" s="34">
        <v>-7.6748960999999998</v>
      </c>
      <c r="C109" s="34">
        <v>20.605980800000001</v>
      </c>
      <c r="E109" s="34">
        <f t="shared" si="2"/>
        <v>-28.280876900000003</v>
      </c>
      <c r="F109" s="35">
        <v>42762</v>
      </c>
      <c r="H109" s="34">
        <f t="shared" si="3"/>
        <v>28.280876900000003</v>
      </c>
    </row>
    <row r="110" spans="1:8" x14ac:dyDescent="0.3">
      <c r="A110" s="36" t="s">
        <v>2466</v>
      </c>
      <c r="B110" s="34">
        <v>-6.7644298000000003</v>
      </c>
      <c r="C110" s="34">
        <v>21.65108</v>
      </c>
      <c r="E110" s="34">
        <f t="shared" si="2"/>
        <v>-28.415509800000002</v>
      </c>
      <c r="F110" s="35">
        <v>42763</v>
      </c>
      <c r="H110" s="34">
        <f t="shared" si="3"/>
        <v>28.415509800000002</v>
      </c>
    </row>
    <row r="111" spans="1:8" x14ac:dyDescent="0.3">
      <c r="A111" s="36" t="s">
        <v>2467</v>
      </c>
      <c r="B111" s="34">
        <v>-6.7904441999999996</v>
      </c>
      <c r="C111" s="34">
        <v>21.5843059</v>
      </c>
      <c r="E111" s="34">
        <f t="shared" si="2"/>
        <v>-28.3747501</v>
      </c>
      <c r="F111" s="35">
        <v>42764</v>
      </c>
      <c r="H111" s="34">
        <f t="shared" si="3"/>
        <v>28.3747501</v>
      </c>
    </row>
    <row r="112" spans="1:8" x14ac:dyDescent="0.3">
      <c r="A112" s="36" t="s">
        <v>2468</v>
      </c>
      <c r="B112" s="34">
        <v>-6.1724876000000002</v>
      </c>
      <c r="C112" s="34">
        <v>21.5783877</v>
      </c>
      <c r="E112" s="34">
        <f t="shared" si="2"/>
        <v>-27.750875300000001</v>
      </c>
      <c r="F112" s="35">
        <v>42765</v>
      </c>
      <c r="H112" s="34">
        <f t="shared" si="3"/>
        <v>27.750875300000001</v>
      </c>
    </row>
    <row r="113" spans="1:8" x14ac:dyDescent="0.3">
      <c r="A113" s="36" t="s">
        <v>2469</v>
      </c>
      <c r="B113" s="34">
        <v>-7.621524</v>
      </c>
      <c r="C113" s="34">
        <v>22.471943700000001</v>
      </c>
      <c r="E113" s="34">
        <f t="shared" si="2"/>
        <v>-30.093467700000001</v>
      </c>
      <c r="F113" s="35">
        <v>42766</v>
      </c>
      <c r="H113" s="34">
        <f t="shared" si="3"/>
        <v>30.093467700000001</v>
      </c>
    </row>
    <row r="114" spans="1:8" x14ac:dyDescent="0.3">
      <c r="A114" s="36" t="s">
        <v>2470</v>
      </c>
      <c r="B114" s="34">
        <v>-7.3606939000000002</v>
      </c>
      <c r="C114" s="34">
        <v>21.816566699999999</v>
      </c>
      <c r="E114" s="34">
        <f t="shared" si="2"/>
        <v>-29.1772606</v>
      </c>
      <c r="F114" s="35">
        <v>42767</v>
      </c>
      <c r="H114" s="34">
        <f t="shared" si="3"/>
        <v>29.1772606</v>
      </c>
    </row>
    <row r="115" spans="1:8" x14ac:dyDescent="0.3">
      <c r="A115" s="36" t="s">
        <v>2471</v>
      </c>
      <c r="B115" s="34">
        <v>-7.9787648000000004</v>
      </c>
      <c r="C115" s="34">
        <v>21.517883099999999</v>
      </c>
      <c r="E115" s="34">
        <f t="shared" si="2"/>
        <v>-29.496647899999999</v>
      </c>
      <c r="F115" s="35">
        <v>42768</v>
      </c>
      <c r="H115" s="34">
        <f t="shared" si="3"/>
        <v>29.496647899999999</v>
      </c>
    </row>
    <row r="116" spans="1:8" x14ac:dyDescent="0.3">
      <c r="A116" s="36" t="s">
        <v>2472</v>
      </c>
      <c r="B116" s="34">
        <v>-7.7902297999999996</v>
      </c>
      <c r="C116" s="34">
        <v>22.348729800000001</v>
      </c>
      <c r="E116" s="34">
        <f t="shared" si="2"/>
        <v>-30.1389596</v>
      </c>
      <c r="F116" s="35">
        <v>42769</v>
      </c>
      <c r="H116" s="34">
        <f t="shared" si="3"/>
        <v>30.1389596</v>
      </c>
    </row>
    <row r="117" spans="1:8" x14ac:dyDescent="0.3">
      <c r="A117" s="36" t="s">
        <v>2473</v>
      </c>
      <c r="B117" s="34">
        <v>-6.9285147</v>
      </c>
      <c r="C117" s="34">
        <v>22.218271999999999</v>
      </c>
      <c r="E117" s="34">
        <f t="shared" si="2"/>
        <v>-29.1467867</v>
      </c>
      <c r="F117" s="35">
        <v>42770</v>
      </c>
      <c r="H117" s="34">
        <f t="shared" si="3"/>
        <v>29.1467867</v>
      </c>
    </row>
    <row r="118" spans="1:8" x14ac:dyDescent="0.3">
      <c r="A118" s="36" t="s">
        <v>2474</v>
      </c>
      <c r="B118" s="34">
        <v>-7.5956386</v>
      </c>
      <c r="C118" s="34">
        <v>21.1140832</v>
      </c>
      <c r="E118" s="34">
        <f t="shared" si="2"/>
        <v>-28.709721800000001</v>
      </c>
      <c r="F118" s="35">
        <v>42771</v>
      </c>
      <c r="H118" s="34">
        <f t="shared" si="3"/>
        <v>28.709721800000001</v>
      </c>
    </row>
    <row r="119" spans="1:8" x14ac:dyDescent="0.3">
      <c r="A119" s="36" t="s">
        <v>2475</v>
      </c>
      <c r="B119" s="34">
        <v>-6.7879117000000004</v>
      </c>
      <c r="C119" s="34">
        <v>22.4923866</v>
      </c>
      <c r="E119" s="34">
        <f t="shared" si="2"/>
        <v>-29.280298299999998</v>
      </c>
      <c r="F119" s="35">
        <v>42772</v>
      </c>
      <c r="H119" s="34">
        <f t="shared" si="3"/>
        <v>29.280298299999998</v>
      </c>
    </row>
    <row r="120" spans="1:8" x14ac:dyDescent="0.3">
      <c r="A120" s="36" t="s">
        <v>2476</v>
      </c>
      <c r="B120" s="34">
        <v>-7.5661502</v>
      </c>
      <c r="C120" s="34">
        <v>22.303365199999998</v>
      </c>
      <c r="E120" s="34">
        <f t="shared" si="2"/>
        <v>-29.869515399999997</v>
      </c>
      <c r="F120" s="35">
        <v>42773</v>
      </c>
      <c r="H120" s="34">
        <f t="shared" si="3"/>
        <v>29.869515399999997</v>
      </c>
    </row>
    <row r="121" spans="1:8" x14ac:dyDescent="0.3">
      <c r="A121" s="36" t="s">
        <v>2477</v>
      </c>
      <c r="B121" s="34">
        <v>-7.1709616</v>
      </c>
      <c r="C121" s="34">
        <v>22.582978499999999</v>
      </c>
      <c r="E121" s="34">
        <f t="shared" si="2"/>
        <v>-29.753940100000001</v>
      </c>
      <c r="F121" s="35">
        <v>42774</v>
      </c>
      <c r="H121" s="34">
        <f t="shared" si="3"/>
        <v>29.753940100000001</v>
      </c>
    </row>
    <row r="122" spans="1:8" x14ac:dyDescent="0.3">
      <c r="A122" s="36" t="s">
        <v>2478</v>
      </c>
      <c r="B122" s="34">
        <v>-7.5789295000000001</v>
      </c>
      <c r="C122" s="34">
        <v>22.9870342</v>
      </c>
      <c r="E122" s="34">
        <f t="shared" si="2"/>
        <v>-30.565963700000001</v>
      </c>
      <c r="F122" s="35">
        <v>42775</v>
      </c>
      <c r="H122" s="34">
        <f t="shared" si="3"/>
        <v>30.565963700000001</v>
      </c>
    </row>
    <row r="123" spans="1:8" x14ac:dyDescent="0.3">
      <c r="A123" s="36" t="s">
        <v>2479</v>
      </c>
      <c r="B123" s="34">
        <v>-8.7977936000000003</v>
      </c>
      <c r="C123" s="34">
        <v>22.963807800000001</v>
      </c>
      <c r="E123" s="34">
        <f t="shared" si="2"/>
        <v>-31.761601400000004</v>
      </c>
      <c r="F123" s="35">
        <v>42776</v>
      </c>
      <c r="H123" s="34">
        <f t="shared" si="3"/>
        <v>31.761601400000004</v>
      </c>
    </row>
    <row r="124" spans="1:8" x14ac:dyDescent="0.3">
      <c r="A124" s="36" t="s">
        <v>2480</v>
      </c>
      <c r="B124" s="34">
        <v>-7.9722575999999998</v>
      </c>
      <c r="C124" s="34">
        <v>22.185899500000001</v>
      </c>
      <c r="E124" s="34">
        <f t="shared" si="2"/>
        <v>-30.1581571</v>
      </c>
      <c r="F124" s="35">
        <v>42777</v>
      </c>
      <c r="H124" s="34">
        <f t="shared" si="3"/>
        <v>30.1581571</v>
      </c>
    </row>
    <row r="125" spans="1:8" x14ac:dyDescent="0.3">
      <c r="A125" s="36" t="s">
        <v>2481</v>
      </c>
      <c r="B125" s="34">
        <v>-8.2724376999999993</v>
      </c>
      <c r="C125" s="34">
        <v>23.797623000000002</v>
      </c>
      <c r="E125" s="34">
        <f t="shared" si="2"/>
        <v>-32.070060699999999</v>
      </c>
      <c r="F125" s="35">
        <v>42778</v>
      </c>
      <c r="H125" s="34">
        <f t="shared" si="3"/>
        <v>32.070060699999999</v>
      </c>
    </row>
    <row r="126" spans="1:8" x14ac:dyDescent="0.3">
      <c r="A126" s="36" t="s">
        <v>2482</v>
      </c>
      <c r="B126" s="34">
        <v>-9.3585744000000002</v>
      </c>
      <c r="C126" s="34">
        <v>23.927633700000001</v>
      </c>
      <c r="E126" s="34">
        <f t="shared" si="2"/>
        <v>-33.286208100000003</v>
      </c>
      <c r="F126" s="35">
        <v>42779</v>
      </c>
      <c r="H126" s="34">
        <f t="shared" si="3"/>
        <v>33.286208100000003</v>
      </c>
    </row>
    <row r="127" spans="1:8" x14ac:dyDescent="0.3">
      <c r="A127" s="36" t="s">
        <v>2483</v>
      </c>
      <c r="B127" s="34">
        <v>-8.5451412999999992</v>
      </c>
      <c r="C127" s="34">
        <v>25.867140200000001</v>
      </c>
      <c r="E127" s="34">
        <f t="shared" si="2"/>
        <v>-34.412281499999999</v>
      </c>
      <c r="F127" s="35">
        <v>42780</v>
      </c>
      <c r="H127" s="34">
        <f t="shared" si="3"/>
        <v>34.412281499999999</v>
      </c>
    </row>
    <row r="128" spans="1:8" x14ac:dyDescent="0.3">
      <c r="A128" s="36" t="s">
        <v>2484</v>
      </c>
      <c r="B128" s="34">
        <v>-8.8091484999999992</v>
      </c>
      <c r="C128" s="34">
        <v>24.226561100000001</v>
      </c>
      <c r="E128" s="34">
        <f t="shared" si="2"/>
        <v>-33.035709600000004</v>
      </c>
      <c r="F128" s="35">
        <v>42781</v>
      </c>
      <c r="H128" s="34">
        <f t="shared" si="3"/>
        <v>33.035709600000004</v>
      </c>
    </row>
    <row r="129" spans="1:8" x14ac:dyDescent="0.3">
      <c r="A129" s="36" t="s">
        <v>2485</v>
      </c>
      <c r="B129" s="34">
        <v>-8.4023336000000004</v>
      </c>
      <c r="C129" s="34">
        <v>24.827535699999999</v>
      </c>
      <c r="E129" s="34">
        <f t="shared" si="2"/>
        <v>-33.229869299999997</v>
      </c>
      <c r="F129" s="35">
        <v>42782</v>
      </c>
      <c r="H129" s="34">
        <f t="shared" si="3"/>
        <v>33.229869299999997</v>
      </c>
    </row>
    <row r="130" spans="1:8" x14ac:dyDescent="0.3">
      <c r="A130" s="36" t="s">
        <v>2486</v>
      </c>
      <c r="B130" s="34">
        <v>-9.8690011000000002</v>
      </c>
      <c r="C130" s="34">
        <v>25.476153199999999</v>
      </c>
      <c r="E130" s="34">
        <f t="shared" ref="E130:E193" si="4">B130-C130</f>
        <v>-35.345154299999997</v>
      </c>
      <c r="F130" s="35">
        <v>42783</v>
      </c>
      <c r="H130" s="34">
        <f t="shared" si="3"/>
        <v>35.345154299999997</v>
      </c>
    </row>
    <row r="131" spans="1:8" x14ac:dyDescent="0.3">
      <c r="A131" s="36" t="s">
        <v>2487</v>
      </c>
      <c r="B131" s="34">
        <v>-10.1458417</v>
      </c>
      <c r="C131" s="34">
        <v>24.0422838</v>
      </c>
      <c r="E131" s="34">
        <f t="shared" si="4"/>
        <v>-34.188125499999998</v>
      </c>
      <c r="F131" s="35">
        <v>42784</v>
      </c>
      <c r="H131" s="34">
        <f t="shared" ref="H131:H194" si="5">ABS(E131)</f>
        <v>34.188125499999998</v>
      </c>
    </row>
    <row r="132" spans="1:8" x14ac:dyDescent="0.3">
      <c r="A132" s="36" t="s">
        <v>2488</v>
      </c>
      <c r="B132" s="34">
        <v>-10.4473456</v>
      </c>
      <c r="C132" s="34">
        <v>23.181299800000001</v>
      </c>
      <c r="E132" s="34">
        <f t="shared" si="4"/>
        <v>-33.628645400000003</v>
      </c>
      <c r="F132" s="35">
        <v>42785</v>
      </c>
      <c r="H132" s="34">
        <f t="shared" si="5"/>
        <v>33.628645400000003</v>
      </c>
    </row>
    <row r="133" spans="1:8" x14ac:dyDescent="0.3">
      <c r="A133" s="36" t="s">
        <v>2489</v>
      </c>
      <c r="B133" s="34">
        <v>-10.7712541</v>
      </c>
      <c r="C133" s="34">
        <v>23.633766099999999</v>
      </c>
      <c r="E133" s="34">
        <f t="shared" si="4"/>
        <v>-34.405020199999996</v>
      </c>
      <c r="F133" s="35">
        <v>42786</v>
      </c>
      <c r="H133" s="34">
        <f t="shared" si="5"/>
        <v>34.405020199999996</v>
      </c>
    </row>
    <row r="134" spans="1:8" x14ac:dyDescent="0.3">
      <c r="A134" s="36" t="s">
        <v>2490</v>
      </c>
      <c r="B134" s="34">
        <v>-10.159060999999999</v>
      </c>
      <c r="C134" s="34">
        <v>21.687382599999999</v>
      </c>
      <c r="E134" s="34">
        <f t="shared" si="4"/>
        <v>-31.846443600000001</v>
      </c>
      <c r="F134" s="35">
        <v>42787</v>
      </c>
      <c r="H134" s="34">
        <f t="shared" si="5"/>
        <v>31.846443600000001</v>
      </c>
    </row>
    <row r="135" spans="1:8" x14ac:dyDescent="0.3">
      <c r="A135" s="36" t="s">
        <v>2491</v>
      </c>
      <c r="B135" s="34">
        <v>-11.099064500000001</v>
      </c>
      <c r="C135" s="34">
        <v>22.145253199999999</v>
      </c>
      <c r="E135" s="34">
        <f t="shared" si="4"/>
        <v>-33.244317699999996</v>
      </c>
      <c r="F135" s="35">
        <v>42788</v>
      </c>
      <c r="H135" s="34">
        <f t="shared" si="5"/>
        <v>33.244317699999996</v>
      </c>
    </row>
    <row r="136" spans="1:8" x14ac:dyDescent="0.3">
      <c r="A136" s="36" t="s">
        <v>2492</v>
      </c>
      <c r="B136" s="34">
        <v>-10.7889061</v>
      </c>
      <c r="C136" s="34">
        <v>22.144948800000002</v>
      </c>
      <c r="E136" s="34">
        <f t="shared" si="4"/>
        <v>-32.9338549</v>
      </c>
      <c r="F136" s="35">
        <v>42789</v>
      </c>
      <c r="H136" s="34">
        <f t="shared" si="5"/>
        <v>32.9338549</v>
      </c>
    </row>
    <row r="137" spans="1:8" x14ac:dyDescent="0.3">
      <c r="A137" s="36" t="s">
        <v>2493</v>
      </c>
      <c r="B137" s="34">
        <v>-11.210304199999999</v>
      </c>
      <c r="C137" s="34">
        <v>23.3880467</v>
      </c>
      <c r="E137" s="34">
        <f t="shared" si="4"/>
        <v>-34.5983509</v>
      </c>
      <c r="F137" s="35">
        <v>42790</v>
      </c>
      <c r="H137" s="34">
        <f t="shared" si="5"/>
        <v>34.5983509</v>
      </c>
    </row>
    <row r="138" spans="1:8" x14ac:dyDescent="0.3">
      <c r="A138" s="36" t="s">
        <v>2494</v>
      </c>
      <c r="B138" s="34">
        <v>-11.1121324</v>
      </c>
      <c r="C138" s="34">
        <v>23.303473</v>
      </c>
      <c r="E138" s="34">
        <f t="shared" si="4"/>
        <v>-34.415605400000004</v>
      </c>
      <c r="F138" s="35">
        <v>42791</v>
      </c>
      <c r="H138" s="34">
        <f t="shared" si="5"/>
        <v>34.415605400000004</v>
      </c>
    </row>
    <row r="139" spans="1:8" x14ac:dyDescent="0.3">
      <c r="A139" s="36" t="s">
        <v>2495</v>
      </c>
      <c r="B139" s="34">
        <v>-10.2408222</v>
      </c>
      <c r="C139" s="34">
        <v>22.318861099999999</v>
      </c>
      <c r="E139" s="34">
        <f t="shared" si="4"/>
        <v>-32.559683300000003</v>
      </c>
      <c r="F139" s="35">
        <v>42792</v>
      </c>
      <c r="H139" s="34">
        <f t="shared" si="5"/>
        <v>32.559683300000003</v>
      </c>
    </row>
    <row r="140" spans="1:8" x14ac:dyDescent="0.3">
      <c r="A140" s="36" t="s">
        <v>2496</v>
      </c>
      <c r="B140" s="34">
        <v>-10.532796400000001</v>
      </c>
      <c r="C140" s="34">
        <v>23.0423121</v>
      </c>
      <c r="E140" s="34">
        <f t="shared" si="4"/>
        <v>-33.575108499999999</v>
      </c>
      <c r="F140" s="35">
        <v>42793</v>
      </c>
      <c r="H140" s="34">
        <f t="shared" si="5"/>
        <v>33.575108499999999</v>
      </c>
    </row>
    <row r="141" spans="1:8" x14ac:dyDescent="0.3">
      <c r="A141" s="36" t="s">
        <v>2497</v>
      </c>
      <c r="B141" s="34">
        <v>-10.563154300000001</v>
      </c>
      <c r="C141" s="34">
        <v>24.381392600000002</v>
      </c>
      <c r="E141" s="34">
        <f t="shared" si="4"/>
        <v>-34.944546900000006</v>
      </c>
      <c r="F141" s="35">
        <v>42794</v>
      </c>
      <c r="H141" s="34">
        <f t="shared" si="5"/>
        <v>34.944546900000006</v>
      </c>
    </row>
    <row r="142" spans="1:8" x14ac:dyDescent="0.3">
      <c r="A142" s="36" t="s">
        <v>2498</v>
      </c>
      <c r="B142" s="34">
        <v>-10.9794456</v>
      </c>
      <c r="C142" s="34">
        <v>25.343844600000001</v>
      </c>
      <c r="E142" s="34">
        <f t="shared" si="4"/>
        <v>-36.323290200000002</v>
      </c>
      <c r="F142" s="35">
        <v>42795</v>
      </c>
      <c r="H142" s="34">
        <f t="shared" si="5"/>
        <v>36.323290200000002</v>
      </c>
    </row>
    <row r="143" spans="1:8" x14ac:dyDescent="0.3">
      <c r="A143" s="36" t="s">
        <v>2499</v>
      </c>
      <c r="B143" s="34">
        <v>-11.5964945</v>
      </c>
      <c r="C143" s="34">
        <v>25.385725999999998</v>
      </c>
      <c r="E143" s="34">
        <f t="shared" si="4"/>
        <v>-36.982220499999997</v>
      </c>
      <c r="F143" s="35">
        <v>42796</v>
      </c>
      <c r="H143" s="34">
        <f t="shared" si="5"/>
        <v>36.982220499999997</v>
      </c>
    </row>
    <row r="144" spans="1:8" x14ac:dyDescent="0.3">
      <c r="A144" s="36" t="s">
        <v>2500</v>
      </c>
      <c r="B144" s="34">
        <v>-10.1144908</v>
      </c>
      <c r="C144" s="34">
        <v>26.092671200000002</v>
      </c>
      <c r="E144" s="34">
        <f t="shared" si="4"/>
        <v>-36.207162000000004</v>
      </c>
      <c r="F144" s="35">
        <v>42797</v>
      </c>
      <c r="H144" s="34">
        <f t="shared" si="5"/>
        <v>36.207162000000004</v>
      </c>
    </row>
    <row r="145" spans="1:8" x14ac:dyDescent="0.3">
      <c r="A145" s="36" t="s">
        <v>2501</v>
      </c>
      <c r="B145" s="34">
        <v>-9.4281292000000008</v>
      </c>
      <c r="C145" s="34">
        <v>25.537344699999998</v>
      </c>
      <c r="E145" s="34">
        <f t="shared" si="4"/>
        <v>-34.965473899999999</v>
      </c>
      <c r="F145" s="35">
        <v>42798</v>
      </c>
      <c r="H145" s="34">
        <f t="shared" si="5"/>
        <v>34.965473899999999</v>
      </c>
    </row>
    <row r="146" spans="1:8" x14ac:dyDescent="0.3">
      <c r="A146" s="36" t="s">
        <v>2502</v>
      </c>
      <c r="B146" s="34">
        <v>-10.992143</v>
      </c>
      <c r="C146" s="34">
        <v>25.8389618</v>
      </c>
      <c r="E146" s="34">
        <f t="shared" si="4"/>
        <v>-36.831104799999999</v>
      </c>
      <c r="F146" s="35">
        <v>42799</v>
      </c>
      <c r="H146" s="34">
        <f t="shared" si="5"/>
        <v>36.831104799999999</v>
      </c>
    </row>
    <row r="147" spans="1:8" x14ac:dyDescent="0.3">
      <c r="A147" s="36" t="s">
        <v>2503</v>
      </c>
      <c r="B147" s="34">
        <v>-12.3734951</v>
      </c>
      <c r="C147" s="34">
        <v>24.701910099999999</v>
      </c>
      <c r="E147" s="34">
        <f t="shared" si="4"/>
        <v>-37.075405199999999</v>
      </c>
      <c r="F147" s="35">
        <v>42800</v>
      </c>
      <c r="H147" s="34">
        <f t="shared" si="5"/>
        <v>37.075405199999999</v>
      </c>
    </row>
    <row r="148" spans="1:8" x14ac:dyDescent="0.3">
      <c r="A148" s="36" t="s">
        <v>2504</v>
      </c>
      <c r="B148" s="34">
        <v>-12.058288599999999</v>
      </c>
      <c r="C148" s="34">
        <v>26.0733845</v>
      </c>
      <c r="E148" s="34">
        <f t="shared" si="4"/>
        <v>-38.1316731</v>
      </c>
      <c r="F148" s="35">
        <v>42801</v>
      </c>
      <c r="H148" s="34">
        <f t="shared" si="5"/>
        <v>38.1316731</v>
      </c>
    </row>
    <row r="149" spans="1:8" x14ac:dyDescent="0.3">
      <c r="A149" s="36" t="s">
        <v>2505</v>
      </c>
      <c r="B149" s="34">
        <v>-11.5120884</v>
      </c>
      <c r="C149" s="34">
        <v>27.839549900000002</v>
      </c>
      <c r="E149" s="34">
        <f t="shared" si="4"/>
        <v>-39.351638300000005</v>
      </c>
      <c r="F149" s="35">
        <v>42802</v>
      </c>
      <c r="H149" s="34">
        <f t="shared" si="5"/>
        <v>39.351638300000005</v>
      </c>
    </row>
    <row r="150" spans="1:8" x14ac:dyDescent="0.3">
      <c r="A150" s="36" t="s">
        <v>2506</v>
      </c>
      <c r="B150" s="34">
        <v>-11.1014772</v>
      </c>
      <c r="C150" s="34">
        <v>28.232981599999999</v>
      </c>
      <c r="E150" s="34">
        <f t="shared" si="4"/>
        <v>-39.3344588</v>
      </c>
      <c r="F150" s="35">
        <v>42803</v>
      </c>
      <c r="H150" s="34">
        <f t="shared" si="5"/>
        <v>39.3344588</v>
      </c>
    </row>
    <row r="151" spans="1:8" x14ac:dyDescent="0.3">
      <c r="A151" s="36" t="s">
        <v>2507</v>
      </c>
      <c r="B151" s="34">
        <v>-10.099551699999999</v>
      </c>
      <c r="C151" s="34">
        <v>27.9408539</v>
      </c>
      <c r="E151" s="34">
        <f t="shared" si="4"/>
        <v>-38.0404056</v>
      </c>
      <c r="F151" s="35">
        <v>42804</v>
      </c>
      <c r="H151" s="34">
        <f t="shared" si="5"/>
        <v>38.0404056</v>
      </c>
    </row>
    <row r="152" spans="1:8" x14ac:dyDescent="0.3">
      <c r="A152" s="36" t="s">
        <v>2508</v>
      </c>
      <c r="B152" s="34">
        <v>-10.693616199999999</v>
      </c>
      <c r="C152" s="34">
        <v>28.577199799999999</v>
      </c>
      <c r="E152" s="34">
        <f t="shared" si="4"/>
        <v>-39.270815999999996</v>
      </c>
      <c r="F152" s="35">
        <v>42805</v>
      </c>
      <c r="H152" s="34">
        <f t="shared" si="5"/>
        <v>39.270815999999996</v>
      </c>
    </row>
    <row r="153" spans="1:8" x14ac:dyDescent="0.3">
      <c r="A153" s="36" t="s">
        <v>2509</v>
      </c>
      <c r="B153" s="34">
        <v>-10.876429399999999</v>
      </c>
      <c r="C153" s="34">
        <v>28.355803300000002</v>
      </c>
      <c r="E153" s="34">
        <f t="shared" si="4"/>
        <v>-39.232232699999997</v>
      </c>
      <c r="F153" s="35">
        <v>42806</v>
      </c>
      <c r="H153" s="34">
        <f t="shared" si="5"/>
        <v>39.232232699999997</v>
      </c>
    </row>
    <row r="154" spans="1:8" x14ac:dyDescent="0.3">
      <c r="A154" s="36" t="s">
        <v>2510</v>
      </c>
      <c r="B154" s="34">
        <v>-11.3713432</v>
      </c>
      <c r="C154" s="34">
        <v>27.796198400000002</v>
      </c>
      <c r="E154" s="34">
        <f t="shared" si="4"/>
        <v>-39.1675416</v>
      </c>
      <c r="F154" s="35">
        <v>42807</v>
      </c>
      <c r="H154" s="34">
        <f t="shared" si="5"/>
        <v>39.1675416</v>
      </c>
    </row>
    <row r="155" spans="1:8" x14ac:dyDescent="0.3">
      <c r="A155" s="36" t="s">
        <v>2511</v>
      </c>
      <c r="B155" s="34">
        <v>-10.021976499999999</v>
      </c>
      <c r="C155" s="34">
        <v>27.4835593</v>
      </c>
      <c r="E155" s="34">
        <f t="shared" si="4"/>
        <v>-37.505535799999997</v>
      </c>
      <c r="F155" s="35">
        <v>42808</v>
      </c>
      <c r="H155" s="34">
        <f t="shared" si="5"/>
        <v>37.505535799999997</v>
      </c>
    </row>
    <row r="156" spans="1:8" x14ac:dyDescent="0.3">
      <c r="A156" s="36" t="s">
        <v>2512</v>
      </c>
      <c r="B156" s="34">
        <v>-9.3350878999999996</v>
      </c>
      <c r="C156" s="34">
        <v>27.108912799999999</v>
      </c>
      <c r="E156" s="34">
        <f t="shared" si="4"/>
        <v>-36.444000699999997</v>
      </c>
      <c r="F156" s="35">
        <v>42809</v>
      </c>
      <c r="H156" s="34">
        <f t="shared" si="5"/>
        <v>36.444000699999997</v>
      </c>
    </row>
    <row r="157" spans="1:8" x14ac:dyDescent="0.3">
      <c r="A157" s="36" t="s">
        <v>2513</v>
      </c>
      <c r="B157" s="34">
        <v>-9.1206274999999994</v>
      </c>
      <c r="C157" s="34">
        <v>27.2847215</v>
      </c>
      <c r="E157" s="34">
        <f t="shared" si="4"/>
        <v>-36.405349000000001</v>
      </c>
      <c r="F157" s="35">
        <v>42810</v>
      </c>
      <c r="H157" s="34">
        <f t="shared" si="5"/>
        <v>36.405349000000001</v>
      </c>
    </row>
    <row r="158" spans="1:8" x14ac:dyDescent="0.3">
      <c r="A158" s="36" t="s">
        <v>2514</v>
      </c>
      <c r="B158" s="34">
        <v>-11.0049543</v>
      </c>
      <c r="C158" s="34">
        <v>25.500580599999999</v>
      </c>
      <c r="E158" s="34">
        <f t="shared" si="4"/>
        <v>-36.505534900000001</v>
      </c>
      <c r="F158" s="35">
        <v>42811</v>
      </c>
      <c r="H158" s="34">
        <f t="shared" si="5"/>
        <v>36.505534900000001</v>
      </c>
    </row>
    <row r="159" spans="1:8" x14ac:dyDescent="0.3">
      <c r="A159" s="36" t="s">
        <v>2515</v>
      </c>
      <c r="B159" s="34">
        <v>-10.2425392</v>
      </c>
      <c r="C159" s="34">
        <v>24.4143054</v>
      </c>
      <c r="E159" s="34">
        <f t="shared" si="4"/>
        <v>-34.656844599999999</v>
      </c>
      <c r="F159" s="35">
        <v>42812</v>
      </c>
      <c r="H159" s="34">
        <f t="shared" si="5"/>
        <v>34.656844599999999</v>
      </c>
    </row>
    <row r="160" spans="1:8" x14ac:dyDescent="0.3">
      <c r="A160" s="36" t="s">
        <v>2516</v>
      </c>
      <c r="B160" s="34">
        <v>-12.194618800000001</v>
      </c>
      <c r="C160" s="34">
        <v>24.205307900000001</v>
      </c>
      <c r="E160" s="34">
        <f t="shared" si="4"/>
        <v>-36.399926700000002</v>
      </c>
      <c r="F160" s="35">
        <v>42813</v>
      </c>
      <c r="H160" s="34">
        <f t="shared" si="5"/>
        <v>36.399926700000002</v>
      </c>
    </row>
    <row r="161" spans="1:8" x14ac:dyDescent="0.3">
      <c r="A161" s="36" t="s">
        <v>2517</v>
      </c>
      <c r="B161" s="34">
        <v>-13.097849</v>
      </c>
      <c r="C161" s="34">
        <v>24.8179202</v>
      </c>
      <c r="E161" s="34">
        <f t="shared" si="4"/>
        <v>-37.9157692</v>
      </c>
      <c r="F161" s="35">
        <v>42814</v>
      </c>
      <c r="H161" s="34">
        <f t="shared" si="5"/>
        <v>37.9157692</v>
      </c>
    </row>
    <row r="162" spans="1:8" x14ac:dyDescent="0.3">
      <c r="A162" s="36" t="s">
        <v>2518</v>
      </c>
      <c r="B162" s="34">
        <v>-12.488296699999999</v>
      </c>
      <c r="C162" s="34">
        <v>25.769383699999999</v>
      </c>
      <c r="E162" s="34">
        <f t="shared" si="4"/>
        <v>-38.257680399999998</v>
      </c>
      <c r="F162" s="35">
        <v>42815</v>
      </c>
      <c r="H162" s="34">
        <f t="shared" si="5"/>
        <v>38.257680399999998</v>
      </c>
    </row>
    <row r="163" spans="1:8" x14ac:dyDescent="0.3">
      <c r="A163" s="36" t="s">
        <v>2519</v>
      </c>
      <c r="B163" s="34">
        <v>-12.0921369</v>
      </c>
      <c r="C163" s="34">
        <v>24.324770399999998</v>
      </c>
      <c r="E163" s="34">
        <f t="shared" si="4"/>
        <v>-36.416907299999998</v>
      </c>
      <c r="F163" s="35">
        <v>42816</v>
      </c>
      <c r="H163" s="34">
        <f t="shared" si="5"/>
        <v>36.416907299999998</v>
      </c>
    </row>
    <row r="164" spans="1:8" x14ac:dyDescent="0.3">
      <c r="A164" s="36" t="s">
        <v>2520</v>
      </c>
      <c r="B164" s="34">
        <v>-11.279119700000001</v>
      </c>
      <c r="C164" s="34">
        <v>24.834332700000001</v>
      </c>
      <c r="E164" s="34">
        <f t="shared" si="4"/>
        <v>-36.1134524</v>
      </c>
      <c r="F164" s="35">
        <v>42817</v>
      </c>
      <c r="H164" s="34">
        <f t="shared" si="5"/>
        <v>36.1134524</v>
      </c>
    </row>
    <row r="165" spans="1:8" x14ac:dyDescent="0.3">
      <c r="A165" s="36" t="s">
        <v>2521</v>
      </c>
      <c r="B165" s="34">
        <v>-13.108752600000001</v>
      </c>
      <c r="C165" s="34">
        <v>24.2833142</v>
      </c>
      <c r="E165" s="34">
        <f t="shared" si="4"/>
        <v>-37.392066800000002</v>
      </c>
      <c r="F165" s="35">
        <v>42818</v>
      </c>
      <c r="H165" s="34">
        <f t="shared" si="5"/>
        <v>37.392066800000002</v>
      </c>
    </row>
    <row r="166" spans="1:8" x14ac:dyDescent="0.3">
      <c r="A166" s="36" t="s">
        <v>2522</v>
      </c>
      <c r="B166" s="34">
        <v>-14.5453679</v>
      </c>
      <c r="C166" s="34">
        <v>23.917383000000001</v>
      </c>
      <c r="E166" s="34">
        <f t="shared" si="4"/>
        <v>-38.462750900000003</v>
      </c>
      <c r="F166" s="35">
        <v>42819</v>
      </c>
      <c r="H166" s="34">
        <f t="shared" si="5"/>
        <v>38.462750900000003</v>
      </c>
    </row>
    <row r="167" spans="1:8" x14ac:dyDescent="0.3">
      <c r="A167" s="36" t="s">
        <v>2523</v>
      </c>
      <c r="B167" s="34">
        <v>-16.219190600000001</v>
      </c>
      <c r="C167" s="34">
        <v>24.117205200000001</v>
      </c>
      <c r="E167" s="34">
        <f t="shared" si="4"/>
        <v>-40.336395800000005</v>
      </c>
      <c r="F167" s="35">
        <v>42820</v>
      </c>
      <c r="H167" s="34">
        <f t="shared" si="5"/>
        <v>40.336395800000005</v>
      </c>
    </row>
    <row r="168" spans="1:8" x14ac:dyDescent="0.3">
      <c r="A168" s="36" t="s">
        <v>2524</v>
      </c>
      <c r="B168" s="34">
        <v>-15.4315262</v>
      </c>
      <c r="C168" s="34">
        <v>25.916493899999999</v>
      </c>
      <c r="E168" s="34">
        <f t="shared" si="4"/>
        <v>-41.348020099999999</v>
      </c>
      <c r="F168" s="35">
        <v>42821</v>
      </c>
      <c r="H168" s="34">
        <f t="shared" si="5"/>
        <v>41.348020099999999</v>
      </c>
    </row>
    <row r="169" spans="1:8" x14ac:dyDescent="0.3">
      <c r="A169" s="36" t="s">
        <v>2525</v>
      </c>
      <c r="B169" s="34">
        <v>-15.771983799999999</v>
      </c>
      <c r="C169" s="34">
        <v>24.6663976</v>
      </c>
      <c r="E169" s="34">
        <f t="shared" si="4"/>
        <v>-40.438381399999997</v>
      </c>
      <c r="F169" s="35">
        <v>42822</v>
      </c>
      <c r="H169" s="34">
        <f t="shared" si="5"/>
        <v>40.438381399999997</v>
      </c>
    </row>
    <row r="170" spans="1:8" x14ac:dyDescent="0.3">
      <c r="A170" s="36" t="s">
        <v>2526</v>
      </c>
      <c r="B170" s="34">
        <v>-16.4771407</v>
      </c>
      <c r="C170" s="34">
        <v>25.091352400000002</v>
      </c>
      <c r="E170" s="34">
        <f t="shared" si="4"/>
        <v>-41.568493099999998</v>
      </c>
      <c r="F170" s="35">
        <v>42823</v>
      </c>
      <c r="H170" s="34">
        <f t="shared" si="5"/>
        <v>41.568493099999998</v>
      </c>
    </row>
    <row r="171" spans="1:8" x14ac:dyDescent="0.3">
      <c r="A171" s="36" t="s">
        <v>2527</v>
      </c>
      <c r="B171" s="34">
        <v>-16.978532600000001</v>
      </c>
      <c r="C171" s="34">
        <v>25.521173900000001</v>
      </c>
      <c r="E171" s="34">
        <f t="shared" si="4"/>
        <v>-42.499706500000002</v>
      </c>
      <c r="F171" s="35">
        <v>42824</v>
      </c>
      <c r="H171" s="34">
        <f t="shared" si="5"/>
        <v>42.499706500000002</v>
      </c>
    </row>
    <row r="172" spans="1:8" x14ac:dyDescent="0.3">
      <c r="A172" s="36" t="s">
        <v>2528</v>
      </c>
      <c r="B172" s="34">
        <v>-17.034611999999999</v>
      </c>
      <c r="C172" s="34">
        <v>27.1707748</v>
      </c>
      <c r="E172" s="34">
        <f t="shared" si="4"/>
        <v>-44.205386799999999</v>
      </c>
      <c r="F172" s="35">
        <v>42825</v>
      </c>
      <c r="H172" s="34">
        <f t="shared" si="5"/>
        <v>44.205386799999999</v>
      </c>
    </row>
    <row r="173" spans="1:8" x14ac:dyDescent="0.3">
      <c r="A173" s="36" t="s">
        <v>2529</v>
      </c>
      <c r="B173" s="34">
        <v>-16.233836400000001</v>
      </c>
      <c r="C173" s="34">
        <v>27.770591899999999</v>
      </c>
      <c r="E173" s="34">
        <f t="shared" si="4"/>
        <v>-44.004428300000001</v>
      </c>
      <c r="F173" s="35">
        <v>42826</v>
      </c>
      <c r="H173" s="34">
        <f t="shared" si="5"/>
        <v>44.004428300000001</v>
      </c>
    </row>
    <row r="174" spans="1:8" x14ac:dyDescent="0.3">
      <c r="A174" s="36" t="s">
        <v>2530</v>
      </c>
      <c r="B174" s="34">
        <v>-15.845719799999999</v>
      </c>
      <c r="C174" s="34">
        <v>28.487646600000001</v>
      </c>
      <c r="E174" s="34">
        <f t="shared" si="4"/>
        <v>-44.333366400000003</v>
      </c>
      <c r="F174" s="35">
        <v>42827</v>
      </c>
      <c r="H174" s="34">
        <f t="shared" si="5"/>
        <v>44.333366400000003</v>
      </c>
    </row>
    <row r="175" spans="1:8" x14ac:dyDescent="0.3">
      <c r="A175" s="36" t="s">
        <v>2531</v>
      </c>
      <c r="B175" s="34">
        <v>-14.3473682</v>
      </c>
      <c r="C175" s="34">
        <v>29.305091900000001</v>
      </c>
      <c r="E175" s="34">
        <f t="shared" si="4"/>
        <v>-43.652460099999999</v>
      </c>
      <c r="F175" s="35">
        <v>42828</v>
      </c>
      <c r="H175" s="34">
        <f t="shared" si="5"/>
        <v>43.652460099999999</v>
      </c>
    </row>
    <row r="176" spans="1:8" x14ac:dyDescent="0.3">
      <c r="A176" s="36" t="s">
        <v>2532</v>
      </c>
      <c r="B176" s="34">
        <v>-16.1217173</v>
      </c>
      <c r="C176" s="34">
        <v>28.220334399999999</v>
      </c>
      <c r="E176" s="34">
        <f t="shared" si="4"/>
        <v>-44.342051699999999</v>
      </c>
      <c r="F176" s="35">
        <v>42829</v>
      </c>
      <c r="H176" s="34">
        <f t="shared" si="5"/>
        <v>44.342051699999999</v>
      </c>
    </row>
    <row r="177" spans="1:8" x14ac:dyDescent="0.3">
      <c r="A177" s="36" t="s">
        <v>2533</v>
      </c>
      <c r="B177" s="34">
        <v>-15.062234699999999</v>
      </c>
      <c r="C177" s="34">
        <v>29.823284000000001</v>
      </c>
      <c r="E177" s="34">
        <f t="shared" si="4"/>
        <v>-44.885518699999999</v>
      </c>
      <c r="F177" s="35">
        <v>42830</v>
      </c>
      <c r="H177" s="34">
        <f t="shared" si="5"/>
        <v>44.885518699999999</v>
      </c>
    </row>
    <row r="178" spans="1:8" x14ac:dyDescent="0.3">
      <c r="A178" s="36" t="s">
        <v>2534</v>
      </c>
      <c r="B178" s="34">
        <v>-14.7292633</v>
      </c>
      <c r="C178" s="34">
        <v>29.388283099999999</v>
      </c>
      <c r="E178" s="34">
        <f t="shared" si="4"/>
        <v>-44.117546399999995</v>
      </c>
      <c r="F178" s="35">
        <v>42831</v>
      </c>
      <c r="H178" s="34">
        <f t="shared" si="5"/>
        <v>44.117546399999995</v>
      </c>
    </row>
    <row r="179" spans="1:8" x14ac:dyDescent="0.3">
      <c r="A179" s="36" t="s">
        <v>2535</v>
      </c>
      <c r="B179" s="34">
        <v>-14.6357298</v>
      </c>
      <c r="C179" s="34">
        <v>28.9428515</v>
      </c>
      <c r="E179" s="34">
        <f t="shared" si="4"/>
        <v>-43.578581299999996</v>
      </c>
      <c r="F179" s="35">
        <v>42832</v>
      </c>
      <c r="H179" s="34">
        <f t="shared" si="5"/>
        <v>43.578581299999996</v>
      </c>
    </row>
    <row r="180" spans="1:8" x14ac:dyDescent="0.3">
      <c r="A180" s="36" t="s">
        <v>2536</v>
      </c>
      <c r="B180" s="34">
        <v>-14.6123975</v>
      </c>
      <c r="C180" s="34">
        <v>30.102141599999999</v>
      </c>
      <c r="E180" s="34">
        <f t="shared" si="4"/>
        <v>-44.714539099999996</v>
      </c>
      <c r="F180" s="35">
        <v>42833</v>
      </c>
      <c r="H180" s="34">
        <f t="shared" si="5"/>
        <v>44.714539099999996</v>
      </c>
    </row>
    <row r="181" spans="1:8" x14ac:dyDescent="0.3">
      <c r="A181" s="36" t="s">
        <v>2537</v>
      </c>
      <c r="B181" s="34">
        <v>-13.43834</v>
      </c>
      <c r="C181" s="34">
        <v>31.477802799999999</v>
      </c>
      <c r="E181" s="34">
        <f t="shared" si="4"/>
        <v>-44.916142800000003</v>
      </c>
      <c r="F181" s="35">
        <v>42834</v>
      </c>
      <c r="H181" s="34">
        <f t="shared" si="5"/>
        <v>44.916142800000003</v>
      </c>
    </row>
    <row r="182" spans="1:8" x14ac:dyDescent="0.3">
      <c r="A182" s="36" t="s">
        <v>2538</v>
      </c>
      <c r="B182" s="34">
        <v>-14.5976397</v>
      </c>
      <c r="C182" s="34">
        <v>32.3922028</v>
      </c>
      <c r="E182" s="34">
        <f t="shared" si="4"/>
        <v>-46.989842500000002</v>
      </c>
      <c r="F182" s="35">
        <v>42835</v>
      </c>
      <c r="H182" s="34">
        <f t="shared" si="5"/>
        <v>46.989842500000002</v>
      </c>
    </row>
    <row r="183" spans="1:8" x14ac:dyDescent="0.3">
      <c r="A183" s="36" t="s">
        <v>2539</v>
      </c>
      <c r="B183" s="34">
        <v>-14.378478400000001</v>
      </c>
      <c r="C183" s="34">
        <v>31.9557708</v>
      </c>
      <c r="E183" s="34">
        <f t="shared" si="4"/>
        <v>-46.334249200000002</v>
      </c>
      <c r="F183" s="35">
        <v>42836</v>
      </c>
      <c r="H183" s="34">
        <f t="shared" si="5"/>
        <v>46.334249200000002</v>
      </c>
    </row>
    <row r="184" spans="1:8" x14ac:dyDescent="0.3">
      <c r="A184" s="36" t="s">
        <v>2540</v>
      </c>
      <c r="B184" s="34">
        <v>-15.133475199999999</v>
      </c>
      <c r="C184" s="34">
        <v>33.900304800000001</v>
      </c>
      <c r="E184" s="34">
        <f t="shared" si="4"/>
        <v>-49.03378</v>
      </c>
      <c r="F184" s="35">
        <v>42837</v>
      </c>
      <c r="H184" s="34">
        <f t="shared" si="5"/>
        <v>49.03378</v>
      </c>
    </row>
    <row r="185" spans="1:8" x14ac:dyDescent="0.3">
      <c r="A185" s="36" t="s">
        <v>2541</v>
      </c>
      <c r="B185" s="34">
        <v>-16.6490112</v>
      </c>
      <c r="C185" s="34">
        <v>33.717383900000002</v>
      </c>
      <c r="E185" s="34">
        <f t="shared" si="4"/>
        <v>-50.366395100000005</v>
      </c>
      <c r="F185" s="35">
        <v>42838</v>
      </c>
      <c r="H185" s="34">
        <f t="shared" si="5"/>
        <v>50.366395100000005</v>
      </c>
    </row>
    <row r="186" spans="1:8" x14ac:dyDescent="0.3">
      <c r="A186" s="36" t="s">
        <v>2542</v>
      </c>
      <c r="B186" s="34">
        <v>-16.635043700000001</v>
      </c>
      <c r="C186" s="34">
        <v>33.909609799999998</v>
      </c>
      <c r="E186" s="34">
        <f t="shared" si="4"/>
        <v>-50.544653499999995</v>
      </c>
      <c r="F186" s="35">
        <v>42839</v>
      </c>
      <c r="H186" s="34">
        <f t="shared" si="5"/>
        <v>50.544653499999995</v>
      </c>
    </row>
    <row r="187" spans="1:8" x14ac:dyDescent="0.3">
      <c r="A187" s="36" t="s">
        <v>2543</v>
      </c>
      <c r="B187" s="34">
        <v>-16.120562400000001</v>
      </c>
      <c r="C187" s="34">
        <v>31.710733600000001</v>
      </c>
      <c r="E187" s="34">
        <f t="shared" si="4"/>
        <v>-47.831296000000002</v>
      </c>
      <c r="F187" s="35">
        <v>42840</v>
      </c>
      <c r="H187" s="34">
        <f t="shared" si="5"/>
        <v>47.831296000000002</v>
      </c>
    </row>
    <row r="188" spans="1:8" x14ac:dyDescent="0.3">
      <c r="A188" s="36" t="s">
        <v>2544</v>
      </c>
      <c r="B188" s="34">
        <v>-15.964770700000001</v>
      </c>
      <c r="C188" s="34">
        <v>30.5385384</v>
      </c>
      <c r="E188" s="34">
        <f t="shared" si="4"/>
        <v>-46.503309100000003</v>
      </c>
      <c r="F188" s="35">
        <v>42841</v>
      </c>
      <c r="H188" s="34">
        <f t="shared" si="5"/>
        <v>46.503309100000003</v>
      </c>
    </row>
    <row r="189" spans="1:8" x14ac:dyDescent="0.3">
      <c r="A189" s="36" t="s">
        <v>2545</v>
      </c>
      <c r="B189" s="34">
        <v>-15.8436419</v>
      </c>
      <c r="C189" s="34">
        <v>28.734951500000001</v>
      </c>
      <c r="E189" s="34">
        <f t="shared" si="4"/>
        <v>-44.578593400000003</v>
      </c>
      <c r="F189" s="35">
        <v>42842</v>
      </c>
      <c r="H189" s="34">
        <f t="shared" si="5"/>
        <v>44.578593400000003</v>
      </c>
    </row>
    <row r="190" spans="1:8" x14ac:dyDescent="0.3">
      <c r="A190" s="36" t="s">
        <v>2546</v>
      </c>
      <c r="B190" s="34">
        <v>-16.307143100000001</v>
      </c>
      <c r="C190" s="34">
        <v>28.446734299999999</v>
      </c>
      <c r="E190" s="34">
        <f t="shared" si="4"/>
        <v>-44.7538774</v>
      </c>
      <c r="F190" s="35">
        <v>42843</v>
      </c>
      <c r="H190" s="34">
        <f t="shared" si="5"/>
        <v>44.7538774</v>
      </c>
    </row>
    <row r="191" spans="1:8" x14ac:dyDescent="0.3">
      <c r="A191" s="36" t="s">
        <v>2547</v>
      </c>
      <c r="B191" s="34">
        <v>-15.507303</v>
      </c>
      <c r="C191" s="34">
        <v>28.621027000000002</v>
      </c>
      <c r="E191" s="34">
        <f t="shared" si="4"/>
        <v>-44.128330000000005</v>
      </c>
      <c r="F191" s="35">
        <v>42844</v>
      </c>
      <c r="H191" s="34">
        <f t="shared" si="5"/>
        <v>44.128330000000005</v>
      </c>
    </row>
    <row r="192" spans="1:8" x14ac:dyDescent="0.3">
      <c r="A192" s="36" t="s">
        <v>2548</v>
      </c>
      <c r="B192" s="34">
        <v>-15.4908631</v>
      </c>
      <c r="C192" s="34">
        <v>28.782054899999999</v>
      </c>
      <c r="E192" s="34">
        <f t="shared" si="4"/>
        <v>-44.272917999999997</v>
      </c>
      <c r="F192" s="35">
        <v>42845</v>
      </c>
      <c r="H192" s="34">
        <f t="shared" si="5"/>
        <v>44.272917999999997</v>
      </c>
    </row>
    <row r="193" spans="1:8" x14ac:dyDescent="0.3">
      <c r="A193" s="36" t="s">
        <v>2549</v>
      </c>
      <c r="B193" s="34">
        <v>-16.631273100000001</v>
      </c>
      <c r="C193" s="34">
        <v>28.323983699999999</v>
      </c>
      <c r="E193" s="34">
        <f t="shared" si="4"/>
        <v>-44.955256800000001</v>
      </c>
      <c r="F193" s="35">
        <v>42846</v>
      </c>
      <c r="H193" s="34">
        <f t="shared" si="5"/>
        <v>44.955256800000001</v>
      </c>
    </row>
    <row r="194" spans="1:8" x14ac:dyDescent="0.3">
      <c r="A194" s="36" t="s">
        <v>2550</v>
      </c>
      <c r="B194" s="34">
        <v>-15.9315941</v>
      </c>
      <c r="C194" s="34">
        <v>27.7070826</v>
      </c>
      <c r="E194" s="34">
        <f t="shared" ref="E194:E257" si="6">B194-C194</f>
        <v>-43.638676699999998</v>
      </c>
      <c r="F194" s="35">
        <v>42847</v>
      </c>
      <c r="H194" s="34">
        <f t="shared" si="5"/>
        <v>43.638676699999998</v>
      </c>
    </row>
    <row r="195" spans="1:8" x14ac:dyDescent="0.3">
      <c r="A195" s="36" t="s">
        <v>2551</v>
      </c>
      <c r="B195" s="34">
        <v>-15.5817427</v>
      </c>
      <c r="C195" s="34">
        <v>27.333698999999999</v>
      </c>
      <c r="E195" s="34">
        <f t="shared" si="6"/>
        <v>-42.915441700000002</v>
      </c>
      <c r="F195" s="35">
        <v>42848</v>
      </c>
      <c r="H195" s="34">
        <f t="shared" ref="H195:H258" si="7">ABS(E195)</f>
        <v>42.915441700000002</v>
      </c>
    </row>
    <row r="196" spans="1:8" x14ac:dyDescent="0.3">
      <c r="A196" s="36" t="s">
        <v>2552</v>
      </c>
      <c r="B196" s="34">
        <v>-13.4817129</v>
      </c>
      <c r="C196" s="34">
        <v>27.9630814</v>
      </c>
      <c r="E196" s="34">
        <f t="shared" si="6"/>
        <v>-41.444794299999998</v>
      </c>
      <c r="F196" s="35">
        <v>42849</v>
      </c>
      <c r="H196" s="34">
        <f t="shared" si="7"/>
        <v>41.444794299999998</v>
      </c>
    </row>
    <row r="197" spans="1:8" x14ac:dyDescent="0.3">
      <c r="A197" s="36" t="s">
        <v>2553</v>
      </c>
      <c r="B197" s="34">
        <v>-12.0210217</v>
      </c>
      <c r="C197" s="34">
        <v>28.439628899999999</v>
      </c>
      <c r="E197" s="34">
        <f t="shared" si="6"/>
        <v>-40.460650600000001</v>
      </c>
      <c r="F197" s="35">
        <v>42850</v>
      </c>
      <c r="H197" s="34">
        <f t="shared" si="7"/>
        <v>40.460650600000001</v>
      </c>
    </row>
    <row r="198" spans="1:8" x14ac:dyDescent="0.3">
      <c r="A198" s="36" t="s">
        <v>2554</v>
      </c>
      <c r="B198" s="34">
        <v>-15.182819800000001</v>
      </c>
      <c r="C198" s="34">
        <v>27.971114700000001</v>
      </c>
      <c r="E198" s="34">
        <f t="shared" si="6"/>
        <v>-43.153934500000005</v>
      </c>
      <c r="F198" s="35">
        <v>42851</v>
      </c>
      <c r="H198" s="34">
        <f t="shared" si="7"/>
        <v>43.153934500000005</v>
      </c>
    </row>
    <row r="199" spans="1:8" x14ac:dyDescent="0.3">
      <c r="A199" s="36" t="s">
        <v>2555</v>
      </c>
      <c r="B199" s="34">
        <v>-16.0180884</v>
      </c>
      <c r="C199" s="34">
        <v>26.6876751</v>
      </c>
      <c r="E199" s="34">
        <f t="shared" si="6"/>
        <v>-42.705763500000003</v>
      </c>
      <c r="F199" s="35">
        <v>42852</v>
      </c>
      <c r="H199" s="34">
        <f t="shared" si="7"/>
        <v>42.705763500000003</v>
      </c>
    </row>
    <row r="200" spans="1:8" x14ac:dyDescent="0.3">
      <c r="A200" s="36" t="s">
        <v>2556</v>
      </c>
      <c r="B200" s="34">
        <v>-15.612424000000001</v>
      </c>
      <c r="C200" s="34">
        <v>24.553403299999999</v>
      </c>
      <c r="E200" s="34">
        <f t="shared" si="6"/>
        <v>-40.165827300000004</v>
      </c>
      <c r="F200" s="35">
        <v>42853</v>
      </c>
      <c r="H200" s="34">
        <f t="shared" si="7"/>
        <v>40.165827300000004</v>
      </c>
    </row>
    <row r="201" spans="1:8" x14ac:dyDescent="0.3">
      <c r="A201" s="36" t="s">
        <v>2557</v>
      </c>
      <c r="B201" s="34">
        <v>-16.874677299999998</v>
      </c>
      <c r="C201" s="34">
        <v>24.281208800000002</v>
      </c>
      <c r="E201" s="34">
        <f t="shared" si="6"/>
        <v>-41.155886100000004</v>
      </c>
      <c r="F201" s="35">
        <v>42854</v>
      </c>
      <c r="H201" s="34">
        <f t="shared" si="7"/>
        <v>41.155886100000004</v>
      </c>
    </row>
    <row r="202" spans="1:8" x14ac:dyDescent="0.3">
      <c r="A202" s="36" t="s">
        <v>2558</v>
      </c>
      <c r="B202" s="34">
        <v>-16.556591300000001</v>
      </c>
      <c r="C202" s="34">
        <v>22.8662885</v>
      </c>
      <c r="E202" s="34">
        <f t="shared" si="6"/>
        <v>-39.422879800000004</v>
      </c>
      <c r="F202" s="35">
        <v>42855</v>
      </c>
      <c r="H202" s="34">
        <f t="shared" si="7"/>
        <v>39.422879800000004</v>
      </c>
    </row>
    <row r="203" spans="1:8" x14ac:dyDescent="0.3">
      <c r="A203" s="36" t="s">
        <v>2559</v>
      </c>
      <c r="B203" s="34">
        <v>-16.887428100000001</v>
      </c>
      <c r="C203" s="34">
        <v>23.242798199999999</v>
      </c>
      <c r="E203" s="34">
        <f t="shared" si="6"/>
        <v>-40.130226300000004</v>
      </c>
      <c r="F203" s="35">
        <v>42856</v>
      </c>
      <c r="H203" s="34">
        <f t="shared" si="7"/>
        <v>40.130226300000004</v>
      </c>
    </row>
    <row r="204" spans="1:8" x14ac:dyDescent="0.3">
      <c r="A204" s="36" t="s">
        <v>2560</v>
      </c>
      <c r="B204" s="34">
        <v>-17.389153</v>
      </c>
      <c r="C204" s="34">
        <v>23.063635900000001</v>
      </c>
      <c r="E204" s="34">
        <f t="shared" si="6"/>
        <v>-40.452788900000002</v>
      </c>
      <c r="F204" s="35">
        <v>42857</v>
      </c>
      <c r="H204" s="34">
        <f t="shared" si="7"/>
        <v>40.452788900000002</v>
      </c>
    </row>
    <row r="205" spans="1:8" x14ac:dyDescent="0.3">
      <c r="A205" s="36" t="s">
        <v>2561</v>
      </c>
      <c r="B205" s="34">
        <v>-17.259345100000001</v>
      </c>
      <c r="C205" s="34">
        <v>21.972875500000001</v>
      </c>
      <c r="E205" s="34">
        <f t="shared" si="6"/>
        <v>-39.232220600000005</v>
      </c>
      <c r="F205" s="35">
        <v>42858</v>
      </c>
      <c r="H205" s="34">
        <f t="shared" si="7"/>
        <v>39.232220600000005</v>
      </c>
    </row>
    <row r="206" spans="1:8" x14ac:dyDescent="0.3">
      <c r="A206" s="36" t="s">
        <v>2562</v>
      </c>
      <c r="B206" s="34">
        <v>-16.492727200000001</v>
      </c>
      <c r="C206" s="34">
        <v>21.645254699999999</v>
      </c>
      <c r="E206" s="34">
        <f t="shared" si="6"/>
        <v>-38.1379819</v>
      </c>
      <c r="F206" s="35">
        <v>42859</v>
      </c>
      <c r="H206" s="34">
        <f t="shared" si="7"/>
        <v>38.1379819</v>
      </c>
    </row>
    <row r="207" spans="1:8" x14ac:dyDescent="0.3">
      <c r="A207" s="36" t="s">
        <v>2563</v>
      </c>
      <c r="B207" s="34">
        <v>-17.375187100000002</v>
      </c>
      <c r="C207" s="34">
        <v>20.2036652</v>
      </c>
      <c r="E207" s="34">
        <f t="shared" si="6"/>
        <v>-37.578852300000001</v>
      </c>
      <c r="F207" s="35">
        <v>42860</v>
      </c>
      <c r="H207" s="34">
        <f t="shared" si="7"/>
        <v>37.578852300000001</v>
      </c>
    </row>
    <row r="208" spans="1:8" x14ac:dyDescent="0.3">
      <c r="A208" s="36" t="s">
        <v>2564</v>
      </c>
      <c r="B208" s="34">
        <v>-16.953665999999998</v>
      </c>
      <c r="C208" s="34">
        <v>19.2501365</v>
      </c>
      <c r="E208" s="34">
        <f t="shared" si="6"/>
        <v>-36.203802499999995</v>
      </c>
      <c r="F208" s="35">
        <v>42861</v>
      </c>
      <c r="H208" s="34">
        <f t="shared" si="7"/>
        <v>36.203802499999995</v>
      </c>
    </row>
    <row r="209" spans="1:8" x14ac:dyDescent="0.3">
      <c r="A209" s="36" t="s">
        <v>2565</v>
      </c>
      <c r="B209" s="34">
        <v>-16.172765699999999</v>
      </c>
      <c r="C209" s="34">
        <v>17.574884099999998</v>
      </c>
      <c r="E209" s="34">
        <f t="shared" si="6"/>
        <v>-33.747649799999998</v>
      </c>
      <c r="F209" s="35">
        <v>42862</v>
      </c>
      <c r="H209" s="34">
        <f t="shared" si="7"/>
        <v>33.747649799999998</v>
      </c>
    </row>
    <row r="210" spans="1:8" x14ac:dyDescent="0.3">
      <c r="A210" s="36" t="s">
        <v>2566</v>
      </c>
      <c r="B210" s="34">
        <v>-15.6542925</v>
      </c>
      <c r="C210" s="34">
        <v>18.304332599999999</v>
      </c>
      <c r="E210" s="34">
        <f t="shared" si="6"/>
        <v>-33.958625099999999</v>
      </c>
      <c r="F210" s="35">
        <v>42863</v>
      </c>
      <c r="H210" s="34">
        <f t="shared" si="7"/>
        <v>33.958625099999999</v>
      </c>
    </row>
    <row r="211" spans="1:8" x14ac:dyDescent="0.3">
      <c r="A211" s="36" t="s">
        <v>2567</v>
      </c>
      <c r="B211" s="34">
        <v>-15.8564072</v>
      </c>
      <c r="C211" s="34">
        <v>20.4770732</v>
      </c>
      <c r="E211" s="34">
        <f t="shared" si="6"/>
        <v>-36.333480399999999</v>
      </c>
      <c r="F211" s="35">
        <v>42864</v>
      </c>
      <c r="H211" s="34">
        <f t="shared" si="7"/>
        <v>36.333480399999999</v>
      </c>
    </row>
    <row r="212" spans="1:8" x14ac:dyDescent="0.3">
      <c r="A212" s="36" t="s">
        <v>2568</v>
      </c>
      <c r="B212" s="34">
        <v>-15.8291232</v>
      </c>
      <c r="C212" s="34">
        <v>21.387846100000001</v>
      </c>
      <c r="E212" s="34">
        <f t="shared" si="6"/>
        <v>-37.216969300000002</v>
      </c>
      <c r="F212" s="35">
        <v>42865</v>
      </c>
      <c r="H212" s="34">
        <f t="shared" si="7"/>
        <v>37.216969300000002</v>
      </c>
    </row>
    <row r="213" spans="1:8" x14ac:dyDescent="0.3">
      <c r="A213" s="36" t="s">
        <v>2569</v>
      </c>
      <c r="B213" s="34">
        <v>-17.010774600000001</v>
      </c>
      <c r="C213" s="34">
        <v>20.971851099999999</v>
      </c>
      <c r="E213" s="34">
        <f t="shared" si="6"/>
        <v>-37.9826257</v>
      </c>
      <c r="F213" s="35">
        <v>42866</v>
      </c>
      <c r="H213" s="34">
        <f t="shared" si="7"/>
        <v>37.9826257</v>
      </c>
    </row>
    <row r="214" spans="1:8" x14ac:dyDescent="0.3">
      <c r="A214" s="36" t="s">
        <v>2570</v>
      </c>
      <c r="B214" s="34">
        <v>-17.040321200000001</v>
      </c>
      <c r="C214" s="34">
        <v>18.9012764</v>
      </c>
      <c r="E214" s="34">
        <f t="shared" si="6"/>
        <v>-35.941597600000001</v>
      </c>
      <c r="F214" s="35">
        <v>42867</v>
      </c>
      <c r="H214" s="34">
        <f t="shared" si="7"/>
        <v>35.941597600000001</v>
      </c>
    </row>
    <row r="215" spans="1:8" x14ac:dyDescent="0.3">
      <c r="A215" s="36" t="s">
        <v>2571</v>
      </c>
      <c r="B215" s="34">
        <v>-18.632110300000001</v>
      </c>
      <c r="C215" s="34">
        <v>17.282132699999998</v>
      </c>
      <c r="E215" s="34">
        <f t="shared" si="6"/>
        <v>-35.914242999999999</v>
      </c>
      <c r="F215" s="35">
        <v>42868</v>
      </c>
      <c r="H215" s="34">
        <f t="shared" si="7"/>
        <v>35.914242999999999</v>
      </c>
    </row>
    <row r="216" spans="1:8" x14ac:dyDescent="0.3">
      <c r="A216" s="36" t="s">
        <v>2572</v>
      </c>
      <c r="B216" s="34">
        <v>-17.6681314</v>
      </c>
      <c r="C216" s="34">
        <v>17.1265535</v>
      </c>
      <c r="E216" s="34">
        <f t="shared" si="6"/>
        <v>-34.7946849</v>
      </c>
      <c r="F216" s="35">
        <v>42869</v>
      </c>
      <c r="H216" s="34">
        <f t="shared" si="7"/>
        <v>34.7946849</v>
      </c>
    </row>
    <row r="217" spans="1:8" x14ac:dyDescent="0.3">
      <c r="A217" s="36" t="s">
        <v>2573</v>
      </c>
      <c r="B217" s="34">
        <v>-16.899673499999999</v>
      </c>
      <c r="C217" s="34">
        <v>18.031461700000001</v>
      </c>
      <c r="E217" s="34">
        <f t="shared" si="6"/>
        <v>-34.9311352</v>
      </c>
      <c r="F217" s="35">
        <v>42870</v>
      </c>
      <c r="H217" s="34">
        <f t="shared" si="7"/>
        <v>34.9311352</v>
      </c>
    </row>
    <row r="218" spans="1:8" x14ac:dyDescent="0.3">
      <c r="A218" s="36" t="s">
        <v>2574</v>
      </c>
      <c r="B218" s="34">
        <v>-17.5360893</v>
      </c>
      <c r="C218" s="34">
        <v>17.461813500000002</v>
      </c>
      <c r="E218" s="34">
        <f t="shared" si="6"/>
        <v>-34.997902800000006</v>
      </c>
      <c r="F218" s="35">
        <v>42871</v>
      </c>
      <c r="H218" s="34">
        <f t="shared" si="7"/>
        <v>34.997902800000006</v>
      </c>
    </row>
    <row r="219" spans="1:8" x14ac:dyDescent="0.3">
      <c r="A219" s="36" t="s">
        <v>2575</v>
      </c>
      <c r="B219" s="34">
        <v>-18.177291499999999</v>
      </c>
      <c r="C219" s="34">
        <v>17.901541300000002</v>
      </c>
      <c r="E219" s="34">
        <f t="shared" si="6"/>
        <v>-36.078832800000001</v>
      </c>
      <c r="F219" s="35">
        <v>42872</v>
      </c>
      <c r="H219" s="34">
        <f t="shared" si="7"/>
        <v>36.078832800000001</v>
      </c>
    </row>
    <row r="220" spans="1:8" x14ac:dyDescent="0.3">
      <c r="A220" s="36" t="s">
        <v>2576</v>
      </c>
      <c r="B220" s="34">
        <v>-16.983715199999999</v>
      </c>
      <c r="C220" s="34">
        <v>17.249507000000001</v>
      </c>
      <c r="E220" s="34">
        <f t="shared" si="6"/>
        <v>-34.2332222</v>
      </c>
      <c r="F220" s="35">
        <v>42873</v>
      </c>
      <c r="H220" s="34">
        <f t="shared" si="7"/>
        <v>34.2332222</v>
      </c>
    </row>
    <row r="221" spans="1:8" x14ac:dyDescent="0.3">
      <c r="A221" s="36" t="s">
        <v>2577</v>
      </c>
      <c r="B221" s="34">
        <v>-16.932276900000002</v>
      </c>
      <c r="C221" s="34">
        <v>15.556302799999999</v>
      </c>
      <c r="E221" s="34">
        <f t="shared" si="6"/>
        <v>-32.488579700000003</v>
      </c>
      <c r="F221" s="35">
        <v>42874</v>
      </c>
      <c r="H221" s="34">
        <f t="shared" si="7"/>
        <v>32.488579700000003</v>
      </c>
    </row>
    <row r="222" spans="1:8" x14ac:dyDescent="0.3">
      <c r="A222" s="36" t="s">
        <v>2578</v>
      </c>
      <c r="B222" s="34">
        <v>-16.4272533</v>
      </c>
      <c r="C222" s="34">
        <v>15.686359599999999</v>
      </c>
      <c r="E222" s="34">
        <f t="shared" si="6"/>
        <v>-32.1136129</v>
      </c>
      <c r="F222" s="35">
        <v>42875</v>
      </c>
      <c r="H222" s="34">
        <f t="shared" si="7"/>
        <v>32.1136129</v>
      </c>
    </row>
    <row r="223" spans="1:8" x14ac:dyDescent="0.3">
      <c r="A223" s="36" t="s">
        <v>2579</v>
      </c>
      <c r="B223" s="34">
        <v>-15.677010299999999</v>
      </c>
      <c r="C223" s="34">
        <v>16.2779986</v>
      </c>
      <c r="E223" s="34">
        <f t="shared" si="6"/>
        <v>-31.955008899999999</v>
      </c>
      <c r="F223" s="35">
        <v>42876</v>
      </c>
      <c r="H223" s="34">
        <f t="shared" si="7"/>
        <v>31.955008899999999</v>
      </c>
    </row>
    <row r="224" spans="1:8" x14ac:dyDescent="0.3">
      <c r="A224" s="36" t="s">
        <v>2580</v>
      </c>
      <c r="B224" s="34">
        <v>-14.4714627</v>
      </c>
      <c r="C224" s="34">
        <v>14.6488818</v>
      </c>
      <c r="E224" s="34">
        <f t="shared" si="6"/>
        <v>-29.120344500000002</v>
      </c>
      <c r="F224" s="35">
        <v>42877</v>
      </c>
      <c r="H224" s="34">
        <f t="shared" si="7"/>
        <v>29.120344500000002</v>
      </c>
    </row>
    <row r="225" spans="1:8" x14ac:dyDescent="0.3">
      <c r="A225" s="36" t="s">
        <v>2581</v>
      </c>
      <c r="B225" s="34">
        <v>-14.438265599999999</v>
      </c>
      <c r="C225" s="34">
        <v>14.449435599999999</v>
      </c>
      <c r="E225" s="34">
        <f t="shared" si="6"/>
        <v>-28.887701199999999</v>
      </c>
      <c r="F225" s="35">
        <v>42878</v>
      </c>
      <c r="H225" s="34">
        <f t="shared" si="7"/>
        <v>28.887701199999999</v>
      </c>
    </row>
    <row r="226" spans="1:8" x14ac:dyDescent="0.3">
      <c r="A226" s="36" t="s">
        <v>2582</v>
      </c>
      <c r="B226" s="34">
        <v>-15.3396007</v>
      </c>
      <c r="C226" s="34">
        <v>13.913979599999999</v>
      </c>
      <c r="E226" s="34">
        <f t="shared" si="6"/>
        <v>-29.253580299999999</v>
      </c>
      <c r="F226" s="35">
        <v>42879</v>
      </c>
      <c r="H226" s="34">
        <f t="shared" si="7"/>
        <v>29.253580299999999</v>
      </c>
    </row>
    <row r="227" spans="1:8" x14ac:dyDescent="0.3">
      <c r="A227" s="36" t="s">
        <v>2583</v>
      </c>
      <c r="B227" s="34">
        <v>-13.967645600000001</v>
      </c>
      <c r="C227" s="34">
        <v>14.689705099999999</v>
      </c>
      <c r="E227" s="34">
        <f t="shared" si="6"/>
        <v>-28.657350700000002</v>
      </c>
      <c r="F227" s="35">
        <v>42880</v>
      </c>
      <c r="H227" s="34">
        <f t="shared" si="7"/>
        <v>28.657350700000002</v>
      </c>
    </row>
    <row r="228" spans="1:8" x14ac:dyDescent="0.3">
      <c r="A228" s="36" t="s">
        <v>2584</v>
      </c>
      <c r="B228" s="34">
        <v>-13.5943855</v>
      </c>
      <c r="C228" s="34">
        <v>14.9015705</v>
      </c>
      <c r="E228" s="34">
        <f t="shared" si="6"/>
        <v>-28.495956</v>
      </c>
      <c r="F228" s="35">
        <v>42881</v>
      </c>
      <c r="H228" s="34">
        <f t="shared" si="7"/>
        <v>28.495956</v>
      </c>
    </row>
    <row r="229" spans="1:8" x14ac:dyDescent="0.3">
      <c r="A229" s="36" t="s">
        <v>2585</v>
      </c>
      <c r="B229" s="34">
        <v>-13.975967199999999</v>
      </c>
      <c r="C229" s="34">
        <v>14.934597399999999</v>
      </c>
      <c r="E229" s="34">
        <f t="shared" si="6"/>
        <v>-28.910564600000001</v>
      </c>
      <c r="F229" s="35">
        <v>42882</v>
      </c>
      <c r="H229" s="34">
        <f t="shared" si="7"/>
        <v>28.910564600000001</v>
      </c>
    </row>
    <row r="230" spans="1:8" x14ac:dyDescent="0.3">
      <c r="A230" s="36" t="s">
        <v>2586</v>
      </c>
      <c r="B230" s="34">
        <v>-13.116751300000001</v>
      </c>
      <c r="C230" s="34">
        <v>13.090272300000001</v>
      </c>
      <c r="E230" s="34">
        <f t="shared" si="6"/>
        <v>-26.207023599999999</v>
      </c>
      <c r="F230" s="35">
        <v>42883</v>
      </c>
      <c r="H230" s="34">
        <f t="shared" si="7"/>
        <v>26.207023599999999</v>
      </c>
    </row>
    <row r="231" spans="1:8" x14ac:dyDescent="0.3">
      <c r="A231" s="36" t="s">
        <v>2587</v>
      </c>
      <c r="B231" s="34">
        <v>-13.050239299999999</v>
      </c>
      <c r="C231" s="34">
        <v>12.928095600000001</v>
      </c>
      <c r="E231" s="34">
        <f t="shared" si="6"/>
        <v>-25.9783349</v>
      </c>
      <c r="F231" s="35">
        <v>42884</v>
      </c>
      <c r="H231" s="34">
        <f t="shared" si="7"/>
        <v>25.9783349</v>
      </c>
    </row>
    <row r="232" spans="1:8" x14ac:dyDescent="0.3">
      <c r="A232" s="36" t="s">
        <v>2588</v>
      </c>
      <c r="B232" s="34">
        <v>-15.152949599999999</v>
      </c>
      <c r="C232" s="34">
        <v>13.4970661</v>
      </c>
      <c r="E232" s="34">
        <f t="shared" si="6"/>
        <v>-28.650015699999997</v>
      </c>
      <c r="F232" s="35">
        <v>42885</v>
      </c>
      <c r="H232" s="34">
        <f t="shared" si="7"/>
        <v>28.650015699999997</v>
      </c>
    </row>
    <row r="233" spans="1:8" x14ac:dyDescent="0.3">
      <c r="A233" s="36" t="s">
        <v>2589</v>
      </c>
      <c r="B233" s="34">
        <v>-15.8697918</v>
      </c>
      <c r="C233" s="34">
        <v>13.312102700000001</v>
      </c>
      <c r="E233" s="34">
        <f t="shared" si="6"/>
        <v>-29.181894499999999</v>
      </c>
      <c r="F233" s="35">
        <v>42886</v>
      </c>
      <c r="H233" s="34">
        <f t="shared" si="7"/>
        <v>29.181894499999999</v>
      </c>
    </row>
    <row r="234" spans="1:8" x14ac:dyDescent="0.3">
      <c r="A234" s="36" t="s">
        <v>2590</v>
      </c>
      <c r="B234" s="34">
        <v>-15.7904921</v>
      </c>
      <c r="C234" s="34">
        <v>12.513450300000001</v>
      </c>
      <c r="E234" s="34">
        <f t="shared" si="6"/>
        <v>-28.3039424</v>
      </c>
      <c r="F234" s="35">
        <v>42887</v>
      </c>
      <c r="H234" s="34">
        <f t="shared" si="7"/>
        <v>28.3039424</v>
      </c>
    </row>
    <row r="235" spans="1:8" x14ac:dyDescent="0.3">
      <c r="A235" s="36" t="s">
        <v>2591</v>
      </c>
      <c r="B235" s="34">
        <v>-14.7839501</v>
      </c>
      <c r="C235" s="34">
        <v>11.6899034</v>
      </c>
      <c r="E235" s="34">
        <f t="shared" si="6"/>
        <v>-26.473853500000001</v>
      </c>
      <c r="F235" s="35">
        <v>42888</v>
      </c>
      <c r="H235" s="34">
        <f t="shared" si="7"/>
        <v>26.473853500000001</v>
      </c>
    </row>
    <row r="236" spans="1:8" x14ac:dyDescent="0.3">
      <c r="A236" s="36" t="s">
        <v>2592</v>
      </c>
      <c r="B236" s="34">
        <v>-15.374406799999999</v>
      </c>
      <c r="C236" s="34">
        <v>12.087911</v>
      </c>
      <c r="E236" s="34">
        <f t="shared" si="6"/>
        <v>-27.462317800000001</v>
      </c>
      <c r="F236" s="35">
        <v>42889</v>
      </c>
      <c r="H236" s="34">
        <f t="shared" si="7"/>
        <v>27.462317800000001</v>
      </c>
    </row>
    <row r="237" spans="1:8" x14ac:dyDescent="0.3">
      <c r="A237" s="36" t="s">
        <v>2593</v>
      </c>
      <c r="B237" s="34">
        <v>-16.4419702</v>
      </c>
      <c r="C237" s="34">
        <v>10.3529239</v>
      </c>
      <c r="E237" s="34">
        <f t="shared" si="6"/>
        <v>-26.7948941</v>
      </c>
      <c r="F237" s="35">
        <v>42890</v>
      </c>
      <c r="H237" s="34">
        <f t="shared" si="7"/>
        <v>26.7948941</v>
      </c>
    </row>
    <row r="238" spans="1:8" x14ac:dyDescent="0.3">
      <c r="A238" s="36" t="s">
        <v>2594</v>
      </c>
      <c r="B238" s="34">
        <v>-16.472382499999998</v>
      </c>
      <c r="C238" s="34">
        <v>10.3296645</v>
      </c>
      <c r="E238" s="34">
        <f t="shared" si="6"/>
        <v>-26.802046999999998</v>
      </c>
      <c r="F238" s="35">
        <v>42891</v>
      </c>
      <c r="H238" s="34">
        <f t="shared" si="7"/>
        <v>26.802046999999998</v>
      </c>
    </row>
    <row r="239" spans="1:8" x14ac:dyDescent="0.3">
      <c r="A239" s="36" t="s">
        <v>2595</v>
      </c>
      <c r="B239" s="34">
        <v>-15.652102599999999</v>
      </c>
      <c r="C239" s="34">
        <v>9.2950507000000009</v>
      </c>
      <c r="E239" s="34">
        <f t="shared" si="6"/>
        <v>-24.9471533</v>
      </c>
      <c r="F239" s="35">
        <v>42892</v>
      </c>
      <c r="H239" s="34">
        <f t="shared" si="7"/>
        <v>24.9471533</v>
      </c>
    </row>
    <row r="240" spans="1:8" x14ac:dyDescent="0.3">
      <c r="A240" s="36" t="s">
        <v>2596</v>
      </c>
      <c r="B240" s="34">
        <v>-16.0126116</v>
      </c>
      <c r="C240" s="34">
        <v>8.5477869000000002</v>
      </c>
      <c r="E240" s="34">
        <f t="shared" si="6"/>
        <v>-24.560398499999998</v>
      </c>
      <c r="F240" s="35">
        <v>42893</v>
      </c>
      <c r="H240" s="34">
        <f t="shared" si="7"/>
        <v>24.560398499999998</v>
      </c>
    </row>
    <row r="241" spans="1:8" x14ac:dyDescent="0.3">
      <c r="A241" s="36" t="s">
        <v>2597</v>
      </c>
      <c r="B241" s="34">
        <v>-13.9523402</v>
      </c>
      <c r="C241" s="34">
        <v>7.4395173000000003</v>
      </c>
      <c r="E241" s="34">
        <f t="shared" si="6"/>
        <v>-21.3918575</v>
      </c>
      <c r="F241" s="35">
        <v>42894</v>
      </c>
      <c r="H241" s="34">
        <f t="shared" si="7"/>
        <v>21.3918575</v>
      </c>
    </row>
    <row r="242" spans="1:8" x14ac:dyDescent="0.3">
      <c r="A242" s="36" t="s">
        <v>2598</v>
      </c>
      <c r="B242" s="34">
        <v>-14.2974671</v>
      </c>
      <c r="C242" s="34">
        <v>6.4856917000000003</v>
      </c>
      <c r="E242" s="34">
        <f t="shared" si="6"/>
        <v>-20.783158800000002</v>
      </c>
      <c r="F242" s="35">
        <v>42895</v>
      </c>
      <c r="H242" s="34">
        <f t="shared" si="7"/>
        <v>20.783158800000002</v>
      </c>
    </row>
    <row r="243" spans="1:8" x14ac:dyDescent="0.3">
      <c r="A243" s="36" t="s">
        <v>2599</v>
      </c>
      <c r="B243" s="34">
        <v>-12.7761768</v>
      </c>
      <c r="C243" s="34">
        <v>5.2325131999999996</v>
      </c>
      <c r="E243" s="34">
        <f t="shared" si="6"/>
        <v>-18.008690000000001</v>
      </c>
      <c r="F243" s="35">
        <v>42896</v>
      </c>
      <c r="H243" s="34">
        <f t="shared" si="7"/>
        <v>18.008690000000001</v>
      </c>
    </row>
    <row r="244" spans="1:8" x14ac:dyDescent="0.3">
      <c r="A244" s="36" t="s">
        <v>2600</v>
      </c>
      <c r="B244" s="34">
        <v>-14.166738799999999</v>
      </c>
      <c r="C244" s="34">
        <v>5.6075131999999996</v>
      </c>
      <c r="E244" s="34">
        <f t="shared" si="6"/>
        <v>-19.774251999999997</v>
      </c>
      <c r="F244" s="35">
        <v>42897</v>
      </c>
      <c r="H244" s="34">
        <f t="shared" si="7"/>
        <v>19.774251999999997</v>
      </c>
    </row>
    <row r="245" spans="1:8" x14ac:dyDescent="0.3">
      <c r="A245" s="36" t="s">
        <v>2601</v>
      </c>
      <c r="B245" s="34">
        <v>-14.565778</v>
      </c>
      <c r="C245" s="34">
        <v>7.0899434000000001</v>
      </c>
      <c r="E245" s="34">
        <f t="shared" si="6"/>
        <v>-21.655721400000001</v>
      </c>
      <c r="F245" s="35">
        <v>42898</v>
      </c>
      <c r="H245" s="34">
        <f t="shared" si="7"/>
        <v>21.655721400000001</v>
      </c>
    </row>
    <row r="246" spans="1:8" x14ac:dyDescent="0.3">
      <c r="A246" s="36" t="s">
        <v>2602</v>
      </c>
      <c r="B246" s="34">
        <v>-12.7342332</v>
      </c>
      <c r="C246" s="34">
        <v>8.3101850000000006</v>
      </c>
      <c r="E246" s="34">
        <f t="shared" si="6"/>
        <v>-21.044418200000003</v>
      </c>
      <c r="F246" s="35">
        <v>42899</v>
      </c>
      <c r="H246" s="34">
        <f t="shared" si="7"/>
        <v>21.044418200000003</v>
      </c>
    </row>
    <row r="247" spans="1:8" x14ac:dyDescent="0.3">
      <c r="A247" s="36" t="s">
        <v>2603</v>
      </c>
      <c r="B247" s="34">
        <v>-13.6219777</v>
      </c>
      <c r="C247" s="34">
        <v>9.1591726999999992</v>
      </c>
      <c r="E247" s="34">
        <f t="shared" si="6"/>
        <v>-22.781150400000001</v>
      </c>
      <c r="F247" s="35">
        <v>42900</v>
      </c>
      <c r="H247" s="34">
        <f t="shared" si="7"/>
        <v>22.781150400000001</v>
      </c>
    </row>
    <row r="248" spans="1:8" x14ac:dyDescent="0.3">
      <c r="A248" s="36" t="s">
        <v>2604</v>
      </c>
      <c r="B248" s="34">
        <v>-15.480083199999999</v>
      </c>
      <c r="C248" s="34">
        <v>9.5568323999999993</v>
      </c>
      <c r="E248" s="34">
        <f t="shared" si="6"/>
        <v>-25.0369156</v>
      </c>
      <c r="F248" s="35">
        <v>42901</v>
      </c>
      <c r="H248" s="34">
        <f t="shared" si="7"/>
        <v>25.0369156</v>
      </c>
    </row>
    <row r="249" spans="1:8" x14ac:dyDescent="0.3">
      <c r="A249" s="36" t="s">
        <v>2605</v>
      </c>
      <c r="B249" s="34">
        <v>-14.904866</v>
      </c>
      <c r="C249" s="34">
        <v>9.6124208000000007</v>
      </c>
      <c r="E249" s="34">
        <f t="shared" si="6"/>
        <v>-24.517286800000001</v>
      </c>
      <c r="F249" s="35">
        <v>42902</v>
      </c>
      <c r="H249" s="34">
        <f t="shared" si="7"/>
        <v>24.517286800000001</v>
      </c>
    </row>
    <row r="250" spans="1:8" x14ac:dyDescent="0.3">
      <c r="A250" s="36" t="s">
        <v>2606</v>
      </c>
      <c r="B250" s="34">
        <v>-15.1223505</v>
      </c>
      <c r="C250" s="34">
        <v>9.4643531000000003</v>
      </c>
      <c r="E250" s="34">
        <f t="shared" si="6"/>
        <v>-24.5867036</v>
      </c>
      <c r="F250" s="35">
        <v>42903</v>
      </c>
      <c r="H250" s="34">
        <f t="shared" si="7"/>
        <v>24.5867036</v>
      </c>
    </row>
    <row r="251" spans="1:8" x14ac:dyDescent="0.3">
      <c r="A251" s="36" t="s">
        <v>2607</v>
      </c>
      <c r="B251" s="34">
        <v>-14.9322243</v>
      </c>
      <c r="C251" s="34">
        <v>10.2098584</v>
      </c>
      <c r="E251" s="34">
        <f t="shared" si="6"/>
        <v>-25.1420827</v>
      </c>
      <c r="F251" s="35">
        <v>42904</v>
      </c>
      <c r="H251" s="34">
        <f t="shared" si="7"/>
        <v>25.1420827</v>
      </c>
    </row>
    <row r="252" spans="1:8" x14ac:dyDescent="0.3">
      <c r="A252" s="36" t="s">
        <v>2608</v>
      </c>
      <c r="B252" s="34">
        <v>-13.994016200000001</v>
      </c>
      <c r="C252" s="34">
        <v>11.2207551</v>
      </c>
      <c r="E252" s="34">
        <f t="shared" si="6"/>
        <v>-25.214771300000002</v>
      </c>
      <c r="F252" s="35">
        <v>42905</v>
      </c>
      <c r="H252" s="34">
        <f t="shared" si="7"/>
        <v>25.214771300000002</v>
      </c>
    </row>
    <row r="253" spans="1:8" x14ac:dyDescent="0.3">
      <c r="A253" s="36" t="s">
        <v>2609</v>
      </c>
      <c r="B253" s="34">
        <v>-14.2281827</v>
      </c>
      <c r="C253" s="34">
        <v>10.194682800000001</v>
      </c>
      <c r="E253" s="34">
        <f t="shared" si="6"/>
        <v>-24.4228655</v>
      </c>
      <c r="F253" s="35">
        <v>42906</v>
      </c>
      <c r="H253" s="34">
        <f t="shared" si="7"/>
        <v>24.4228655</v>
      </c>
    </row>
    <row r="254" spans="1:8" x14ac:dyDescent="0.3">
      <c r="A254" s="36" t="s">
        <v>2610</v>
      </c>
      <c r="B254" s="34">
        <v>-14.264718500000001</v>
      </c>
      <c r="C254" s="34">
        <v>8.7515648000000006</v>
      </c>
      <c r="E254" s="34">
        <f t="shared" si="6"/>
        <v>-23.016283300000001</v>
      </c>
      <c r="F254" s="35">
        <v>42907</v>
      </c>
      <c r="H254" s="34">
        <f t="shared" si="7"/>
        <v>23.016283300000001</v>
      </c>
    </row>
    <row r="255" spans="1:8" x14ac:dyDescent="0.3">
      <c r="A255" s="36" t="s">
        <v>2611</v>
      </c>
      <c r="B255" s="34">
        <v>-14.877302999999999</v>
      </c>
      <c r="C255" s="34">
        <v>9.3417367000000002</v>
      </c>
      <c r="E255" s="34">
        <f t="shared" si="6"/>
        <v>-24.2190397</v>
      </c>
      <c r="F255" s="35">
        <v>42908</v>
      </c>
      <c r="H255" s="34">
        <f t="shared" si="7"/>
        <v>24.2190397</v>
      </c>
    </row>
    <row r="256" spans="1:8" x14ac:dyDescent="0.3">
      <c r="A256" s="36" t="s">
        <v>2612</v>
      </c>
      <c r="B256" s="34">
        <v>-14.531537800000001</v>
      </c>
      <c r="C256" s="34">
        <v>10.802437299999999</v>
      </c>
      <c r="E256" s="34">
        <f t="shared" si="6"/>
        <v>-25.3339751</v>
      </c>
      <c r="F256" s="35">
        <v>42909</v>
      </c>
      <c r="H256" s="34">
        <f t="shared" si="7"/>
        <v>25.3339751</v>
      </c>
    </row>
    <row r="257" spans="1:8" x14ac:dyDescent="0.3">
      <c r="A257" s="36" t="s">
        <v>2613</v>
      </c>
      <c r="B257" s="34">
        <v>-15.2804479</v>
      </c>
      <c r="C257" s="34">
        <v>11.0768355</v>
      </c>
      <c r="E257" s="34">
        <f t="shared" si="6"/>
        <v>-26.3572834</v>
      </c>
      <c r="F257" s="35">
        <v>42910</v>
      </c>
      <c r="H257" s="34">
        <f t="shared" si="7"/>
        <v>26.3572834</v>
      </c>
    </row>
    <row r="258" spans="1:8" x14ac:dyDescent="0.3">
      <c r="A258" s="36" t="s">
        <v>2614</v>
      </c>
      <c r="B258" s="34">
        <v>-16.3962936</v>
      </c>
      <c r="C258" s="34">
        <v>10.484315199999999</v>
      </c>
      <c r="E258" s="34">
        <f t="shared" ref="E258:E321" si="8">B258-C258</f>
        <v>-26.880608799999997</v>
      </c>
      <c r="F258" s="35">
        <v>42911</v>
      </c>
      <c r="H258" s="34">
        <f t="shared" si="7"/>
        <v>26.880608799999997</v>
      </c>
    </row>
    <row r="259" spans="1:8" x14ac:dyDescent="0.3">
      <c r="A259" s="36" t="s">
        <v>2615</v>
      </c>
      <c r="B259" s="34">
        <v>-18.0468017</v>
      </c>
      <c r="C259" s="34">
        <v>9.1309568999999993</v>
      </c>
      <c r="E259" s="34">
        <f t="shared" si="8"/>
        <v>-27.177758599999997</v>
      </c>
      <c r="F259" s="35">
        <v>42912</v>
      </c>
      <c r="H259" s="34">
        <f t="shared" ref="H259:H322" si="9">ABS(E259)</f>
        <v>27.177758599999997</v>
      </c>
    </row>
    <row r="260" spans="1:8" x14ac:dyDescent="0.3">
      <c r="A260" s="36" t="s">
        <v>2616</v>
      </c>
      <c r="B260" s="34">
        <v>-16.3748568</v>
      </c>
      <c r="C260" s="34">
        <v>9.1055676999999999</v>
      </c>
      <c r="E260" s="34">
        <f t="shared" si="8"/>
        <v>-25.480424499999998</v>
      </c>
      <c r="F260" s="35">
        <v>42913</v>
      </c>
      <c r="H260" s="34">
        <f t="shared" si="9"/>
        <v>25.480424499999998</v>
      </c>
    </row>
    <row r="261" spans="1:8" x14ac:dyDescent="0.3">
      <c r="A261" s="36" t="s">
        <v>2617</v>
      </c>
      <c r="B261" s="34">
        <v>-17.124970000000001</v>
      </c>
      <c r="C261" s="34">
        <v>7.6108801000000001</v>
      </c>
      <c r="E261" s="34">
        <f t="shared" si="8"/>
        <v>-24.7358501</v>
      </c>
      <c r="F261" s="35">
        <v>42914</v>
      </c>
      <c r="H261" s="34">
        <f t="shared" si="9"/>
        <v>24.7358501</v>
      </c>
    </row>
    <row r="262" spans="1:8" x14ac:dyDescent="0.3">
      <c r="A262" s="36" t="s">
        <v>2618</v>
      </c>
      <c r="B262" s="34">
        <v>-15.783816099999999</v>
      </c>
      <c r="C262" s="34">
        <v>7.2632243000000001</v>
      </c>
      <c r="E262" s="34">
        <f t="shared" si="8"/>
        <v>-23.0470404</v>
      </c>
      <c r="F262" s="35">
        <v>42915</v>
      </c>
      <c r="H262" s="34">
        <f t="shared" si="9"/>
        <v>23.0470404</v>
      </c>
    </row>
    <row r="263" spans="1:8" x14ac:dyDescent="0.3">
      <c r="A263" s="36" t="s">
        <v>2619</v>
      </c>
      <c r="B263" s="34">
        <v>-16.6770712</v>
      </c>
      <c r="C263" s="34">
        <v>8.8940084000000006</v>
      </c>
      <c r="E263" s="34">
        <f t="shared" si="8"/>
        <v>-25.571079600000001</v>
      </c>
      <c r="F263" s="35">
        <v>42916</v>
      </c>
      <c r="H263" s="34">
        <f t="shared" si="9"/>
        <v>25.571079600000001</v>
      </c>
    </row>
    <row r="264" spans="1:8" x14ac:dyDescent="0.3">
      <c r="A264" s="36" t="s">
        <v>2620</v>
      </c>
      <c r="B264" s="34">
        <v>-16.0672131</v>
      </c>
      <c r="C264" s="34">
        <v>9.4844975999999992</v>
      </c>
      <c r="E264" s="34">
        <f t="shared" si="8"/>
        <v>-25.551710700000001</v>
      </c>
      <c r="F264" s="35">
        <v>42917</v>
      </c>
      <c r="H264" s="34">
        <f t="shared" si="9"/>
        <v>25.551710700000001</v>
      </c>
    </row>
    <row r="265" spans="1:8" x14ac:dyDescent="0.3">
      <c r="A265" s="36" t="s">
        <v>2621</v>
      </c>
      <c r="B265" s="34">
        <v>-18.188681500000001</v>
      </c>
      <c r="C265" s="34">
        <v>9.6532812000000003</v>
      </c>
      <c r="E265" s="34">
        <f t="shared" si="8"/>
        <v>-27.841962700000003</v>
      </c>
      <c r="F265" s="35">
        <v>42918</v>
      </c>
      <c r="H265" s="34">
        <f t="shared" si="9"/>
        <v>27.841962700000003</v>
      </c>
    </row>
    <row r="266" spans="1:8" x14ac:dyDescent="0.3">
      <c r="A266" s="36" t="s">
        <v>2622</v>
      </c>
      <c r="B266" s="34">
        <v>-18.985181600000001</v>
      </c>
      <c r="C266" s="34">
        <v>10.0294724</v>
      </c>
      <c r="E266" s="34">
        <f t="shared" si="8"/>
        <v>-29.014654</v>
      </c>
      <c r="F266" s="35">
        <v>42919</v>
      </c>
      <c r="H266" s="34">
        <f t="shared" si="9"/>
        <v>29.014654</v>
      </c>
    </row>
    <row r="267" spans="1:8" x14ac:dyDescent="0.3">
      <c r="A267" s="36" t="s">
        <v>2623</v>
      </c>
      <c r="B267" s="34">
        <v>-20.532104100000002</v>
      </c>
      <c r="C267" s="34">
        <v>11.0552621</v>
      </c>
      <c r="E267" s="34">
        <f t="shared" si="8"/>
        <v>-31.587366200000002</v>
      </c>
      <c r="F267" s="35">
        <v>42920</v>
      </c>
      <c r="H267" s="34">
        <f t="shared" si="9"/>
        <v>31.587366200000002</v>
      </c>
    </row>
    <row r="268" spans="1:8" x14ac:dyDescent="0.3">
      <c r="A268" s="36" t="s">
        <v>2624</v>
      </c>
      <c r="B268" s="34">
        <v>-20.752345600000002</v>
      </c>
      <c r="C268" s="34">
        <v>10.961269700000001</v>
      </c>
      <c r="E268" s="34">
        <f t="shared" si="8"/>
        <v>-31.713615300000001</v>
      </c>
      <c r="F268" s="35">
        <v>42921</v>
      </c>
      <c r="H268" s="34">
        <f t="shared" si="9"/>
        <v>31.713615300000001</v>
      </c>
    </row>
    <row r="269" spans="1:8" x14ac:dyDescent="0.3">
      <c r="A269" s="36" t="s">
        <v>2625</v>
      </c>
      <c r="B269" s="34">
        <v>-20.306968300000001</v>
      </c>
      <c r="C269" s="34">
        <v>10.6547907</v>
      </c>
      <c r="E269" s="34">
        <f t="shared" si="8"/>
        <v>-30.961759000000001</v>
      </c>
      <c r="F269" s="35">
        <v>42922</v>
      </c>
      <c r="H269" s="34">
        <f t="shared" si="9"/>
        <v>30.961759000000001</v>
      </c>
    </row>
    <row r="270" spans="1:8" x14ac:dyDescent="0.3">
      <c r="A270" s="36" t="s">
        <v>2626</v>
      </c>
      <c r="B270" s="34">
        <v>-19.3657085</v>
      </c>
      <c r="C270" s="34">
        <v>10.6997386</v>
      </c>
      <c r="E270" s="34">
        <f t="shared" si="8"/>
        <v>-30.0654471</v>
      </c>
      <c r="F270" s="35">
        <v>42923</v>
      </c>
      <c r="H270" s="34">
        <f t="shared" si="9"/>
        <v>30.0654471</v>
      </c>
    </row>
    <row r="271" spans="1:8" x14ac:dyDescent="0.3">
      <c r="A271" s="36" t="s">
        <v>2627</v>
      </c>
      <c r="B271" s="34">
        <v>-20.9744767</v>
      </c>
      <c r="C271" s="34">
        <v>10.5442971</v>
      </c>
      <c r="E271" s="34">
        <f t="shared" si="8"/>
        <v>-31.518773799999998</v>
      </c>
      <c r="F271" s="35">
        <v>42924</v>
      </c>
      <c r="H271" s="34">
        <f t="shared" si="9"/>
        <v>31.518773799999998</v>
      </c>
    </row>
    <row r="272" spans="1:8" x14ac:dyDescent="0.3">
      <c r="A272" s="36" t="s">
        <v>2628</v>
      </c>
      <c r="B272" s="34">
        <v>-20.435759600000001</v>
      </c>
      <c r="C272" s="34">
        <v>11.5775343</v>
      </c>
      <c r="E272" s="34">
        <f t="shared" si="8"/>
        <v>-32.013293900000001</v>
      </c>
      <c r="F272" s="35">
        <v>42925</v>
      </c>
      <c r="H272" s="34">
        <f t="shared" si="9"/>
        <v>32.013293900000001</v>
      </c>
    </row>
    <row r="273" spans="1:8" x14ac:dyDescent="0.3">
      <c r="A273" s="36" t="s">
        <v>2629</v>
      </c>
      <c r="B273" s="34">
        <v>-19.573557099999999</v>
      </c>
      <c r="C273" s="34">
        <v>11.8467848</v>
      </c>
      <c r="E273" s="34">
        <f t="shared" si="8"/>
        <v>-31.420341899999997</v>
      </c>
      <c r="F273" s="35">
        <v>42926</v>
      </c>
      <c r="H273" s="34">
        <f t="shared" si="9"/>
        <v>31.420341899999997</v>
      </c>
    </row>
    <row r="274" spans="1:8" x14ac:dyDescent="0.3">
      <c r="A274" s="36" t="s">
        <v>2630</v>
      </c>
      <c r="B274" s="34">
        <v>-18.831774599999999</v>
      </c>
      <c r="C274" s="34">
        <v>10.518259</v>
      </c>
      <c r="E274" s="34">
        <f t="shared" si="8"/>
        <v>-29.3500336</v>
      </c>
      <c r="F274" s="35">
        <v>42927</v>
      </c>
      <c r="H274" s="34">
        <f t="shared" si="9"/>
        <v>29.3500336</v>
      </c>
    </row>
    <row r="275" spans="1:8" x14ac:dyDescent="0.3">
      <c r="A275" s="36" t="s">
        <v>2631</v>
      </c>
      <c r="B275" s="34">
        <v>-19.521893800000001</v>
      </c>
      <c r="C275" s="34">
        <v>11.9945985</v>
      </c>
      <c r="E275" s="34">
        <f t="shared" si="8"/>
        <v>-31.516492300000003</v>
      </c>
      <c r="F275" s="35">
        <v>42928</v>
      </c>
      <c r="H275" s="34">
        <f t="shared" si="9"/>
        <v>31.516492300000003</v>
      </c>
    </row>
    <row r="276" spans="1:8" x14ac:dyDescent="0.3">
      <c r="A276" s="36" t="s">
        <v>2632</v>
      </c>
      <c r="B276" s="34">
        <v>-19.362858500000002</v>
      </c>
      <c r="C276" s="34">
        <v>10.5394392</v>
      </c>
      <c r="E276" s="34">
        <f t="shared" si="8"/>
        <v>-29.902297700000002</v>
      </c>
      <c r="F276" s="35">
        <v>42929</v>
      </c>
      <c r="H276" s="34">
        <f t="shared" si="9"/>
        <v>29.902297700000002</v>
      </c>
    </row>
    <row r="277" spans="1:8" x14ac:dyDescent="0.3">
      <c r="A277" s="36" t="s">
        <v>2633</v>
      </c>
      <c r="B277" s="34">
        <v>-19.046648099999999</v>
      </c>
      <c r="C277" s="34">
        <v>9.2897876999999998</v>
      </c>
      <c r="E277" s="34">
        <f t="shared" si="8"/>
        <v>-28.336435799999997</v>
      </c>
      <c r="F277" s="35">
        <v>42930</v>
      </c>
      <c r="H277" s="34">
        <f t="shared" si="9"/>
        <v>28.336435799999997</v>
      </c>
    </row>
    <row r="278" spans="1:8" x14ac:dyDescent="0.3">
      <c r="A278" s="36" t="s">
        <v>2634</v>
      </c>
      <c r="B278" s="34">
        <v>-19.638474500000001</v>
      </c>
      <c r="C278" s="34">
        <v>8.9283663999999998</v>
      </c>
      <c r="E278" s="34">
        <f t="shared" si="8"/>
        <v>-28.566840900000003</v>
      </c>
      <c r="F278" s="35">
        <v>42931</v>
      </c>
      <c r="H278" s="34">
        <f t="shared" si="9"/>
        <v>28.566840900000003</v>
      </c>
    </row>
    <row r="279" spans="1:8" x14ac:dyDescent="0.3">
      <c r="A279" s="36" t="s">
        <v>2635</v>
      </c>
      <c r="B279" s="34">
        <v>-19.6892681</v>
      </c>
      <c r="C279" s="34">
        <v>10.342090600000001</v>
      </c>
      <c r="E279" s="34">
        <f t="shared" si="8"/>
        <v>-30.031358699999998</v>
      </c>
      <c r="F279" s="35">
        <v>42932</v>
      </c>
      <c r="H279" s="34">
        <f t="shared" si="9"/>
        <v>30.031358699999998</v>
      </c>
    </row>
    <row r="280" spans="1:8" x14ac:dyDescent="0.3">
      <c r="A280" s="36" t="s">
        <v>2636</v>
      </c>
      <c r="B280" s="34">
        <v>-19.826556199999999</v>
      </c>
      <c r="C280" s="34">
        <v>9.0369261999999999</v>
      </c>
      <c r="E280" s="34">
        <f t="shared" si="8"/>
        <v>-28.863482399999999</v>
      </c>
      <c r="F280" s="35">
        <v>42933</v>
      </c>
      <c r="H280" s="34">
        <f t="shared" si="9"/>
        <v>28.863482399999999</v>
      </c>
    </row>
    <row r="281" spans="1:8" x14ac:dyDescent="0.3">
      <c r="A281" s="36" t="s">
        <v>2637</v>
      </c>
      <c r="B281" s="34">
        <v>-19.891253599999999</v>
      </c>
      <c r="C281" s="34">
        <v>9.5443107999999999</v>
      </c>
      <c r="E281" s="34">
        <f t="shared" si="8"/>
        <v>-29.435564399999997</v>
      </c>
      <c r="F281" s="35">
        <v>42934</v>
      </c>
      <c r="H281" s="34">
        <f t="shared" si="9"/>
        <v>29.435564399999997</v>
      </c>
    </row>
    <row r="282" spans="1:8" x14ac:dyDescent="0.3">
      <c r="A282" s="36" t="s">
        <v>2638</v>
      </c>
      <c r="B282" s="34">
        <v>-21.121564599999999</v>
      </c>
      <c r="C282" s="34">
        <v>9.8245506999999996</v>
      </c>
      <c r="E282" s="34">
        <f t="shared" si="8"/>
        <v>-30.946115299999999</v>
      </c>
      <c r="F282" s="35">
        <v>42935</v>
      </c>
      <c r="H282" s="34">
        <f t="shared" si="9"/>
        <v>30.946115299999999</v>
      </c>
    </row>
    <row r="283" spans="1:8" x14ac:dyDescent="0.3">
      <c r="A283" s="36" t="s">
        <v>2639</v>
      </c>
      <c r="B283" s="34">
        <v>-23.103210499999999</v>
      </c>
      <c r="C283" s="34">
        <v>9.5062228999999991</v>
      </c>
      <c r="E283" s="34">
        <f t="shared" si="8"/>
        <v>-32.6094334</v>
      </c>
      <c r="F283" s="35">
        <v>42936</v>
      </c>
      <c r="H283" s="34">
        <f t="shared" si="9"/>
        <v>32.6094334</v>
      </c>
    </row>
    <row r="284" spans="1:8" x14ac:dyDescent="0.3">
      <c r="A284" s="36" t="s">
        <v>2640</v>
      </c>
      <c r="B284" s="34">
        <v>-25.559503100000001</v>
      </c>
      <c r="C284" s="34">
        <v>9.2115556999999999</v>
      </c>
      <c r="E284" s="34">
        <f t="shared" si="8"/>
        <v>-34.771058799999999</v>
      </c>
      <c r="F284" s="35">
        <v>42937</v>
      </c>
      <c r="H284" s="34">
        <f t="shared" si="9"/>
        <v>34.771058799999999</v>
      </c>
    </row>
    <row r="285" spans="1:8" x14ac:dyDescent="0.3">
      <c r="A285" s="36" t="s">
        <v>2641</v>
      </c>
      <c r="B285" s="34">
        <v>-26.2452562</v>
      </c>
      <c r="C285" s="34">
        <v>9.3131749999999993</v>
      </c>
      <c r="E285" s="34">
        <f t="shared" si="8"/>
        <v>-35.558431200000001</v>
      </c>
      <c r="F285" s="35">
        <v>42938</v>
      </c>
      <c r="H285" s="34">
        <f t="shared" si="9"/>
        <v>35.558431200000001</v>
      </c>
    </row>
    <row r="286" spans="1:8" x14ac:dyDescent="0.3">
      <c r="A286" s="36" t="s">
        <v>2642</v>
      </c>
      <c r="B286" s="34">
        <v>-27.008589700000002</v>
      </c>
      <c r="C286" s="34">
        <v>9.1791497</v>
      </c>
      <c r="E286" s="34">
        <f t="shared" si="8"/>
        <v>-36.187739399999998</v>
      </c>
      <c r="F286" s="35">
        <v>42939</v>
      </c>
      <c r="H286" s="34">
        <f t="shared" si="9"/>
        <v>36.187739399999998</v>
      </c>
    </row>
    <row r="287" spans="1:8" x14ac:dyDescent="0.3">
      <c r="A287" s="36" t="s">
        <v>2643</v>
      </c>
      <c r="B287" s="34">
        <v>-25.789716299999998</v>
      </c>
      <c r="C287" s="34">
        <v>7.5052307000000003</v>
      </c>
      <c r="E287" s="34">
        <f t="shared" si="8"/>
        <v>-33.294947000000001</v>
      </c>
      <c r="F287" s="35">
        <v>42940</v>
      </c>
      <c r="H287" s="34">
        <f t="shared" si="9"/>
        <v>33.294947000000001</v>
      </c>
    </row>
    <row r="288" spans="1:8" x14ac:dyDescent="0.3">
      <c r="A288" s="36" t="s">
        <v>2644</v>
      </c>
      <c r="B288" s="34">
        <v>-24.104627399999998</v>
      </c>
      <c r="C288" s="34">
        <v>7.4009543000000004</v>
      </c>
      <c r="E288" s="34">
        <f t="shared" si="8"/>
        <v>-31.5055817</v>
      </c>
      <c r="F288" s="35">
        <v>42941</v>
      </c>
      <c r="H288" s="34">
        <f t="shared" si="9"/>
        <v>31.5055817</v>
      </c>
    </row>
    <row r="289" spans="1:8" x14ac:dyDescent="0.3">
      <c r="A289" s="36" t="s">
        <v>2645</v>
      </c>
      <c r="B289" s="34">
        <v>-23.973116000000001</v>
      </c>
      <c r="C289" s="34">
        <v>7.451365</v>
      </c>
      <c r="E289" s="34">
        <f t="shared" si="8"/>
        <v>-31.424481</v>
      </c>
      <c r="F289" s="35">
        <v>42942</v>
      </c>
      <c r="H289" s="34">
        <f t="shared" si="9"/>
        <v>31.424481</v>
      </c>
    </row>
    <row r="290" spans="1:8" x14ac:dyDescent="0.3">
      <c r="A290" s="36" t="s">
        <v>2646</v>
      </c>
      <c r="B290" s="34">
        <v>-22.502998699999999</v>
      </c>
      <c r="C290" s="34">
        <v>9.5577498999999992</v>
      </c>
      <c r="E290" s="34">
        <f t="shared" si="8"/>
        <v>-32.060748599999997</v>
      </c>
      <c r="F290" s="35">
        <v>42943</v>
      </c>
      <c r="H290" s="34">
        <f t="shared" si="9"/>
        <v>32.060748599999997</v>
      </c>
    </row>
    <row r="291" spans="1:8" x14ac:dyDescent="0.3">
      <c r="A291" s="36" t="s">
        <v>2647</v>
      </c>
      <c r="B291" s="34">
        <v>-23.627490300000002</v>
      </c>
      <c r="C291" s="34">
        <v>10.958732899999999</v>
      </c>
      <c r="E291" s="34">
        <f t="shared" si="8"/>
        <v>-34.586223199999999</v>
      </c>
      <c r="F291" s="35">
        <v>42944</v>
      </c>
      <c r="H291" s="34">
        <f t="shared" si="9"/>
        <v>34.586223199999999</v>
      </c>
    </row>
    <row r="292" spans="1:8" x14ac:dyDescent="0.3">
      <c r="A292" s="36" t="s">
        <v>2648</v>
      </c>
      <c r="B292" s="34">
        <v>-23.557676799999999</v>
      </c>
      <c r="C292" s="34">
        <v>11.945034400000001</v>
      </c>
      <c r="E292" s="34">
        <f t="shared" si="8"/>
        <v>-35.5027112</v>
      </c>
      <c r="F292" s="35">
        <v>42945</v>
      </c>
      <c r="H292" s="34">
        <f t="shared" si="9"/>
        <v>35.5027112</v>
      </c>
    </row>
    <row r="293" spans="1:8" x14ac:dyDescent="0.3">
      <c r="A293" s="36" t="s">
        <v>2649</v>
      </c>
      <c r="B293" s="34">
        <v>-23.527348</v>
      </c>
      <c r="C293" s="34">
        <v>10.8734254</v>
      </c>
      <c r="E293" s="34">
        <f t="shared" si="8"/>
        <v>-34.400773399999999</v>
      </c>
      <c r="F293" s="35">
        <v>42946</v>
      </c>
      <c r="H293" s="34">
        <f t="shared" si="9"/>
        <v>34.400773399999999</v>
      </c>
    </row>
    <row r="294" spans="1:8" x14ac:dyDescent="0.3">
      <c r="A294" s="36" t="s">
        <v>2650</v>
      </c>
      <c r="B294" s="34">
        <v>-25.3801174</v>
      </c>
      <c r="C294" s="34">
        <v>11.309374200000001</v>
      </c>
      <c r="E294" s="34">
        <f t="shared" si="8"/>
        <v>-36.689491599999997</v>
      </c>
      <c r="F294" s="35">
        <v>42947</v>
      </c>
      <c r="H294" s="34">
        <f t="shared" si="9"/>
        <v>36.689491599999997</v>
      </c>
    </row>
    <row r="295" spans="1:8" x14ac:dyDescent="0.3">
      <c r="A295" s="36" t="s">
        <v>2651</v>
      </c>
      <c r="B295" s="34">
        <v>-26.1812486</v>
      </c>
      <c r="C295" s="34">
        <v>10.388614</v>
      </c>
      <c r="E295" s="34">
        <f t="shared" si="8"/>
        <v>-36.5698626</v>
      </c>
      <c r="F295" s="35">
        <v>42948</v>
      </c>
      <c r="H295" s="34">
        <f t="shared" si="9"/>
        <v>36.5698626</v>
      </c>
    </row>
    <row r="296" spans="1:8" x14ac:dyDescent="0.3">
      <c r="A296" s="36" t="s">
        <v>2652</v>
      </c>
      <c r="B296" s="34">
        <v>-24.268447900000002</v>
      </c>
      <c r="C296" s="34">
        <v>11.654333100000001</v>
      </c>
      <c r="E296" s="34">
        <f t="shared" si="8"/>
        <v>-35.922781000000001</v>
      </c>
      <c r="F296" s="35">
        <v>42949</v>
      </c>
      <c r="H296" s="34">
        <f t="shared" si="9"/>
        <v>35.922781000000001</v>
      </c>
    </row>
    <row r="297" spans="1:8" x14ac:dyDescent="0.3">
      <c r="A297" s="36" t="s">
        <v>2653</v>
      </c>
      <c r="B297" s="34">
        <v>-23.862773000000001</v>
      </c>
      <c r="C297" s="34">
        <v>12.528726300000001</v>
      </c>
      <c r="E297" s="34">
        <f t="shared" si="8"/>
        <v>-36.3914993</v>
      </c>
      <c r="F297" s="35">
        <v>42950</v>
      </c>
      <c r="H297" s="34">
        <f t="shared" si="9"/>
        <v>36.3914993</v>
      </c>
    </row>
    <row r="298" spans="1:8" x14ac:dyDescent="0.3">
      <c r="A298" s="36" t="s">
        <v>2654</v>
      </c>
      <c r="B298" s="34">
        <v>-23.321570999999999</v>
      </c>
      <c r="C298" s="34">
        <v>12.4510673</v>
      </c>
      <c r="E298" s="34">
        <f t="shared" si="8"/>
        <v>-35.772638299999997</v>
      </c>
      <c r="F298" s="35">
        <v>42951</v>
      </c>
      <c r="H298" s="34">
        <f t="shared" si="9"/>
        <v>35.772638299999997</v>
      </c>
    </row>
    <row r="299" spans="1:8" x14ac:dyDescent="0.3">
      <c r="A299" s="36" t="s">
        <v>2655</v>
      </c>
      <c r="B299" s="34">
        <v>-23.679615200000001</v>
      </c>
      <c r="C299" s="34">
        <v>11.271880400000001</v>
      </c>
      <c r="E299" s="34">
        <f t="shared" si="8"/>
        <v>-34.951495600000001</v>
      </c>
      <c r="F299" s="35">
        <v>42952</v>
      </c>
      <c r="H299" s="34">
        <f t="shared" si="9"/>
        <v>34.951495600000001</v>
      </c>
    </row>
    <row r="300" spans="1:8" x14ac:dyDescent="0.3">
      <c r="A300" s="36" t="s">
        <v>2656</v>
      </c>
      <c r="B300" s="34">
        <v>-24.801834800000002</v>
      </c>
      <c r="C300" s="34">
        <v>11.1314905</v>
      </c>
      <c r="E300" s="34">
        <f t="shared" si="8"/>
        <v>-35.9333253</v>
      </c>
      <c r="F300" s="35">
        <v>42953</v>
      </c>
      <c r="H300" s="34">
        <f t="shared" si="9"/>
        <v>35.9333253</v>
      </c>
    </row>
    <row r="301" spans="1:8" x14ac:dyDescent="0.3">
      <c r="A301" s="36" t="s">
        <v>2657</v>
      </c>
      <c r="B301" s="34">
        <v>-25.927076199999998</v>
      </c>
      <c r="C301" s="34">
        <v>11.3063182</v>
      </c>
      <c r="E301" s="34">
        <f t="shared" si="8"/>
        <v>-37.233394399999995</v>
      </c>
      <c r="F301" s="35">
        <v>42954</v>
      </c>
      <c r="H301" s="34">
        <f t="shared" si="9"/>
        <v>37.233394399999995</v>
      </c>
    </row>
    <row r="302" spans="1:8" x14ac:dyDescent="0.3">
      <c r="A302" s="36" t="s">
        <v>2658</v>
      </c>
      <c r="B302" s="34">
        <v>-25.354775700000001</v>
      </c>
      <c r="C302" s="34">
        <v>10.6532201</v>
      </c>
      <c r="E302" s="34">
        <f t="shared" si="8"/>
        <v>-36.007995800000003</v>
      </c>
      <c r="F302" s="35">
        <v>42955</v>
      </c>
      <c r="H302" s="34">
        <f t="shared" si="9"/>
        <v>36.007995800000003</v>
      </c>
    </row>
    <row r="303" spans="1:8" x14ac:dyDescent="0.3">
      <c r="A303" s="36" t="s">
        <v>2659</v>
      </c>
      <c r="B303" s="34">
        <v>-23.978964600000001</v>
      </c>
      <c r="C303" s="34">
        <v>10.5253175</v>
      </c>
      <c r="E303" s="34">
        <f t="shared" si="8"/>
        <v>-34.504282099999998</v>
      </c>
      <c r="F303" s="35">
        <v>42956</v>
      </c>
      <c r="H303" s="34">
        <f t="shared" si="9"/>
        <v>34.504282099999998</v>
      </c>
    </row>
    <row r="304" spans="1:8" x14ac:dyDescent="0.3">
      <c r="A304" s="36" t="s">
        <v>2660</v>
      </c>
      <c r="B304" s="34">
        <v>-22.0794742</v>
      </c>
      <c r="C304" s="34">
        <v>11.3629164</v>
      </c>
      <c r="E304" s="34">
        <f t="shared" si="8"/>
        <v>-33.442390599999996</v>
      </c>
      <c r="F304" s="35">
        <v>42957</v>
      </c>
      <c r="H304" s="34">
        <f t="shared" si="9"/>
        <v>33.442390599999996</v>
      </c>
    </row>
    <row r="305" spans="1:8" x14ac:dyDescent="0.3">
      <c r="A305" s="36" t="s">
        <v>2661</v>
      </c>
      <c r="B305" s="34">
        <v>-21.315087800000001</v>
      </c>
      <c r="C305" s="34">
        <v>10.473468799999999</v>
      </c>
      <c r="E305" s="34">
        <f t="shared" si="8"/>
        <v>-31.7885566</v>
      </c>
      <c r="F305" s="35">
        <v>42958</v>
      </c>
      <c r="H305" s="34">
        <f t="shared" si="9"/>
        <v>31.7885566</v>
      </c>
    </row>
    <row r="306" spans="1:8" x14ac:dyDescent="0.3">
      <c r="A306" s="36" t="s">
        <v>2662</v>
      </c>
      <c r="B306" s="34">
        <v>-22.489689299999998</v>
      </c>
      <c r="C306" s="34">
        <v>11.4153184</v>
      </c>
      <c r="E306" s="34">
        <f t="shared" si="8"/>
        <v>-33.905007699999999</v>
      </c>
      <c r="F306" s="35">
        <v>42959</v>
      </c>
      <c r="H306" s="34">
        <f t="shared" si="9"/>
        <v>33.905007699999999</v>
      </c>
    </row>
    <row r="307" spans="1:8" x14ac:dyDescent="0.3">
      <c r="A307" s="36" t="s">
        <v>2663</v>
      </c>
      <c r="B307" s="34">
        <v>-22.092876400000002</v>
      </c>
      <c r="C307" s="34">
        <v>10.561345599999999</v>
      </c>
      <c r="E307" s="34">
        <f t="shared" si="8"/>
        <v>-32.654222000000004</v>
      </c>
      <c r="F307" s="35">
        <v>42960</v>
      </c>
      <c r="H307" s="34">
        <f t="shared" si="9"/>
        <v>32.654222000000004</v>
      </c>
    </row>
    <row r="308" spans="1:8" x14ac:dyDescent="0.3">
      <c r="A308" s="36" t="s">
        <v>2664</v>
      </c>
      <c r="B308" s="34">
        <v>-22.571713800000001</v>
      </c>
      <c r="C308" s="34">
        <v>10.148028500000001</v>
      </c>
      <c r="E308" s="34">
        <f t="shared" si="8"/>
        <v>-32.7197423</v>
      </c>
      <c r="F308" s="35">
        <v>42961</v>
      </c>
      <c r="H308" s="34">
        <f t="shared" si="9"/>
        <v>32.7197423</v>
      </c>
    </row>
    <row r="309" spans="1:8" x14ac:dyDescent="0.3">
      <c r="A309" s="36" t="s">
        <v>2665</v>
      </c>
      <c r="B309" s="34">
        <v>-23.940022599999999</v>
      </c>
      <c r="C309" s="34">
        <v>9.9355556000000007</v>
      </c>
      <c r="E309" s="34">
        <f t="shared" si="8"/>
        <v>-33.8755782</v>
      </c>
      <c r="F309" s="35">
        <v>42962</v>
      </c>
      <c r="H309" s="34">
        <f t="shared" si="9"/>
        <v>33.8755782</v>
      </c>
    </row>
    <row r="310" spans="1:8" x14ac:dyDescent="0.3">
      <c r="A310" s="36" t="s">
        <v>2666</v>
      </c>
      <c r="B310" s="34">
        <v>-23.9593563</v>
      </c>
      <c r="C310" s="34">
        <v>9.3649296</v>
      </c>
      <c r="E310" s="34">
        <f t="shared" si="8"/>
        <v>-33.3242859</v>
      </c>
      <c r="F310" s="35">
        <v>42963</v>
      </c>
      <c r="H310" s="34">
        <f t="shared" si="9"/>
        <v>33.3242859</v>
      </c>
    </row>
    <row r="311" spans="1:8" x14ac:dyDescent="0.3">
      <c r="A311" s="36" t="s">
        <v>2667</v>
      </c>
      <c r="B311" s="34">
        <v>-22.300549199999999</v>
      </c>
      <c r="C311" s="34">
        <v>9.7315594000000001</v>
      </c>
      <c r="E311" s="34">
        <f t="shared" si="8"/>
        <v>-32.032108600000001</v>
      </c>
      <c r="F311" s="35">
        <v>42964</v>
      </c>
      <c r="H311" s="34">
        <f t="shared" si="9"/>
        <v>32.032108600000001</v>
      </c>
    </row>
    <row r="312" spans="1:8" x14ac:dyDescent="0.3">
      <c r="A312" s="36" t="s">
        <v>2668</v>
      </c>
      <c r="B312" s="34">
        <v>-22.2388735</v>
      </c>
      <c r="C312" s="34">
        <v>8.4844802000000001</v>
      </c>
      <c r="E312" s="34">
        <f t="shared" si="8"/>
        <v>-30.723353700000001</v>
      </c>
      <c r="F312" s="35">
        <v>42965</v>
      </c>
      <c r="H312" s="34">
        <f t="shared" si="9"/>
        <v>30.723353700000001</v>
      </c>
    </row>
    <row r="313" spans="1:8" x14ac:dyDescent="0.3">
      <c r="A313" s="36" t="s">
        <v>2669</v>
      </c>
      <c r="B313" s="34">
        <v>-23.318261499999998</v>
      </c>
      <c r="C313" s="34">
        <v>7.3799422000000003</v>
      </c>
      <c r="E313" s="34">
        <f t="shared" si="8"/>
        <v>-30.698203700000001</v>
      </c>
      <c r="F313" s="35">
        <v>42966</v>
      </c>
      <c r="H313" s="34">
        <f t="shared" si="9"/>
        <v>30.698203700000001</v>
      </c>
    </row>
    <row r="314" spans="1:8" x14ac:dyDescent="0.3">
      <c r="A314" s="36" t="s">
        <v>2670</v>
      </c>
      <c r="B314" s="34">
        <v>-23.904684899999999</v>
      </c>
      <c r="C314" s="34">
        <v>7.4039273999999997</v>
      </c>
      <c r="E314" s="34">
        <f t="shared" si="8"/>
        <v>-31.3086123</v>
      </c>
      <c r="F314" s="35">
        <v>42967</v>
      </c>
      <c r="H314" s="34">
        <f t="shared" si="9"/>
        <v>31.3086123</v>
      </c>
    </row>
    <row r="315" spans="1:8" x14ac:dyDescent="0.3">
      <c r="A315" s="36" t="s">
        <v>2671</v>
      </c>
      <c r="B315" s="34">
        <v>-24.203647199999999</v>
      </c>
      <c r="C315" s="34">
        <v>9.8305523000000008</v>
      </c>
      <c r="E315" s="34">
        <f t="shared" si="8"/>
        <v>-34.0341995</v>
      </c>
      <c r="F315" s="35">
        <v>42968</v>
      </c>
      <c r="H315" s="34">
        <f t="shared" si="9"/>
        <v>34.0341995</v>
      </c>
    </row>
    <row r="316" spans="1:8" x14ac:dyDescent="0.3">
      <c r="A316" s="36" t="s">
        <v>2672</v>
      </c>
      <c r="B316" s="34">
        <v>-22.569687800000001</v>
      </c>
      <c r="C316" s="34">
        <v>10.967785900000001</v>
      </c>
      <c r="E316" s="34">
        <f t="shared" si="8"/>
        <v>-33.5374737</v>
      </c>
      <c r="F316" s="35">
        <v>42969</v>
      </c>
      <c r="H316" s="34">
        <f t="shared" si="9"/>
        <v>33.5374737</v>
      </c>
    </row>
    <row r="317" spans="1:8" x14ac:dyDescent="0.3">
      <c r="A317" s="36" t="s">
        <v>2673</v>
      </c>
      <c r="B317" s="34">
        <v>-23.563565100000002</v>
      </c>
      <c r="C317" s="34">
        <v>10.565234800000001</v>
      </c>
      <c r="E317" s="34">
        <f t="shared" si="8"/>
        <v>-34.128799900000004</v>
      </c>
      <c r="F317" s="35">
        <v>42970</v>
      </c>
      <c r="H317" s="34">
        <f t="shared" si="9"/>
        <v>34.128799900000004</v>
      </c>
    </row>
    <row r="318" spans="1:8" x14ac:dyDescent="0.3">
      <c r="A318" s="36" t="s">
        <v>2674</v>
      </c>
      <c r="B318" s="34">
        <v>-25.202902900000002</v>
      </c>
      <c r="C318" s="34">
        <v>12.1225088</v>
      </c>
      <c r="E318" s="34">
        <f t="shared" si="8"/>
        <v>-37.325411700000004</v>
      </c>
      <c r="F318" s="35">
        <v>42971</v>
      </c>
      <c r="H318" s="34">
        <f t="shared" si="9"/>
        <v>37.325411700000004</v>
      </c>
    </row>
    <row r="319" spans="1:8" x14ac:dyDescent="0.3">
      <c r="A319" s="36" t="s">
        <v>2675</v>
      </c>
      <c r="B319" s="34">
        <v>-24.4290491</v>
      </c>
      <c r="C319" s="34">
        <v>11.695259999999999</v>
      </c>
      <c r="E319" s="34">
        <f t="shared" si="8"/>
        <v>-36.124309099999998</v>
      </c>
      <c r="F319" s="35">
        <v>42972</v>
      </c>
      <c r="H319" s="34">
        <f t="shared" si="9"/>
        <v>36.124309099999998</v>
      </c>
    </row>
    <row r="320" spans="1:8" x14ac:dyDescent="0.3">
      <c r="A320" s="36" t="s">
        <v>2676</v>
      </c>
      <c r="B320" s="34">
        <v>-23.821618099999998</v>
      </c>
      <c r="C320" s="34">
        <v>11.908455</v>
      </c>
      <c r="E320" s="34">
        <f t="shared" si="8"/>
        <v>-35.730073099999998</v>
      </c>
      <c r="F320" s="35">
        <v>42973</v>
      </c>
      <c r="H320" s="34">
        <f t="shared" si="9"/>
        <v>35.730073099999998</v>
      </c>
    </row>
    <row r="321" spans="1:8" x14ac:dyDescent="0.3">
      <c r="A321" s="36" t="s">
        <v>2677</v>
      </c>
      <c r="B321" s="34">
        <v>-23.5210714</v>
      </c>
      <c r="C321" s="34">
        <v>9.9998720999999993</v>
      </c>
      <c r="E321" s="34">
        <f t="shared" si="8"/>
        <v>-33.520943500000001</v>
      </c>
      <c r="F321" s="35">
        <v>42974</v>
      </c>
      <c r="H321" s="34">
        <f t="shared" si="9"/>
        <v>33.520943500000001</v>
      </c>
    </row>
    <row r="322" spans="1:8" x14ac:dyDescent="0.3">
      <c r="A322" s="36"/>
      <c r="F322" s="35"/>
    </row>
    <row r="323" spans="1:8" x14ac:dyDescent="0.3">
      <c r="A323" s="36"/>
      <c r="E323" s="37">
        <f>STDEV(E2:E321)</f>
        <v>9.2233733909322542</v>
      </c>
      <c r="F323" s="35"/>
      <c r="H323" s="37">
        <f>AVERAGE(H2:H321)</f>
        <v>29.511008213437499</v>
      </c>
    </row>
    <row r="324" spans="1:8" x14ac:dyDescent="0.3">
      <c r="A324" s="36"/>
      <c r="F324" s="35"/>
    </row>
    <row r="325" spans="1:8" x14ac:dyDescent="0.3">
      <c r="A325" s="36"/>
      <c r="F325" s="35"/>
    </row>
    <row r="326" spans="1:8" x14ac:dyDescent="0.3">
      <c r="A326" s="36"/>
      <c r="F326" s="35"/>
    </row>
    <row r="327" spans="1:8" x14ac:dyDescent="0.3">
      <c r="A327" s="36"/>
      <c r="F327" s="35"/>
    </row>
    <row r="328" spans="1:8" x14ac:dyDescent="0.3">
      <c r="A328" s="36"/>
      <c r="F328" s="35"/>
    </row>
    <row r="329" spans="1:8" x14ac:dyDescent="0.3">
      <c r="A329" s="36"/>
      <c r="F329" s="35"/>
    </row>
    <row r="330" spans="1:8" x14ac:dyDescent="0.3">
      <c r="A330" s="36"/>
      <c r="F330" s="35"/>
    </row>
    <row r="331" spans="1:8" x14ac:dyDescent="0.3">
      <c r="A331" s="36"/>
      <c r="F331" s="35"/>
    </row>
    <row r="332" spans="1:8" x14ac:dyDescent="0.3">
      <c r="A332" s="36"/>
      <c r="F332" s="35"/>
    </row>
    <row r="333" spans="1:8" x14ac:dyDescent="0.3">
      <c r="A333" s="36"/>
      <c r="F333" s="35"/>
    </row>
    <row r="334" spans="1:8" x14ac:dyDescent="0.3">
      <c r="A334" s="36"/>
      <c r="F334" s="35"/>
    </row>
    <row r="335" spans="1:8" x14ac:dyDescent="0.3">
      <c r="A335" s="36"/>
      <c r="F335" s="35"/>
    </row>
    <row r="336" spans="1:8" x14ac:dyDescent="0.3">
      <c r="A336" s="36"/>
      <c r="F336" s="35"/>
    </row>
    <row r="337" spans="1:8" x14ac:dyDescent="0.3">
      <c r="A337" s="36"/>
      <c r="F337" s="35"/>
    </row>
    <row r="338" spans="1:8" x14ac:dyDescent="0.3">
      <c r="A338" s="36"/>
      <c r="F338" s="35"/>
    </row>
    <row r="339" spans="1:8" x14ac:dyDescent="0.3">
      <c r="A339" s="36"/>
      <c r="F339" s="35"/>
    </row>
    <row r="340" spans="1:8" x14ac:dyDescent="0.3">
      <c r="F340" s="35"/>
    </row>
    <row r="341" spans="1:8" x14ac:dyDescent="0.3">
      <c r="F341" s="35"/>
      <c r="H341" s="37">
        <f>AVERAGE(H2:H339)</f>
        <v>29.511008213437499</v>
      </c>
    </row>
    <row r="342" spans="1:8" x14ac:dyDescent="0.3">
      <c r="F342" s="35"/>
    </row>
    <row r="343" spans="1:8" x14ac:dyDescent="0.3">
      <c r="F343" s="35"/>
    </row>
    <row r="344" spans="1:8" x14ac:dyDescent="0.3">
      <c r="F344" s="35"/>
    </row>
    <row r="345" spans="1:8" x14ac:dyDescent="0.3">
      <c r="F345" s="35"/>
    </row>
    <row r="346" spans="1:8" x14ac:dyDescent="0.3">
      <c r="F346" s="35"/>
    </row>
    <row r="347" spans="1:8" x14ac:dyDescent="0.3">
      <c r="F347" s="35"/>
    </row>
    <row r="348" spans="1:8" x14ac:dyDescent="0.3">
      <c r="F348" s="35"/>
    </row>
    <row r="349" spans="1:8" x14ac:dyDescent="0.3">
      <c r="F349" s="35"/>
    </row>
    <row r="350" spans="1:8" x14ac:dyDescent="0.3">
      <c r="F350" s="35"/>
    </row>
    <row r="351" spans="1:8" x14ac:dyDescent="0.3">
      <c r="F351" s="35"/>
    </row>
    <row r="352" spans="1:8" x14ac:dyDescent="0.3">
      <c r="F352" s="35"/>
    </row>
    <row r="353" spans="6:6" x14ac:dyDescent="0.3">
      <c r="F353" s="35"/>
    </row>
    <row r="354" spans="6:6" x14ac:dyDescent="0.3">
      <c r="F354" s="35"/>
    </row>
    <row r="355" spans="6:6" x14ac:dyDescent="0.3">
      <c r="F355" s="35"/>
    </row>
    <row r="356" spans="6:6" x14ac:dyDescent="0.3">
      <c r="F356" s="35"/>
    </row>
    <row r="357" spans="6:6" x14ac:dyDescent="0.3">
      <c r="F357" s="35"/>
    </row>
    <row r="358" spans="6:6" x14ac:dyDescent="0.3">
      <c r="F358" s="35"/>
    </row>
    <row r="359" spans="6:6" x14ac:dyDescent="0.3">
      <c r="F359" s="35"/>
    </row>
    <row r="360" spans="6:6" x14ac:dyDescent="0.3">
      <c r="F360" s="35"/>
    </row>
  </sheetData>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95EDA7-7740-4703-9F0C-7069DBD0C1F7}">
  <sheetPr codeName="Sheet4"/>
  <dimension ref="A1:H356"/>
  <sheetViews>
    <sheetView topLeftCell="B316" workbookViewId="0">
      <selection activeCell="H336" sqref="H336"/>
    </sheetView>
  </sheetViews>
  <sheetFormatPr defaultRowHeight="14.4" x14ac:dyDescent="0.3"/>
  <cols>
    <col min="1" max="1" width="37.21875" style="34" bestFit="1" customWidth="1"/>
    <col min="2" max="3" width="8.88671875" style="33"/>
    <col min="4" max="5" width="8.88671875" style="34"/>
    <col min="6" max="6" width="9.88671875" style="34" bestFit="1" customWidth="1"/>
    <col min="7" max="16384" width="8.88671875" style="34"/>
  </cols>
  <sheetData>
    <row r="1" spans="1:8" x14ac:dyDescent="0.3">
      <c r="A1" s="36"/>
      <c r="E1" s="34" t="s">
        <v>776</v>
      </c>
      <c r="F1" s="34" t="s">
        <v>775</v>
      </c>
      <c r="H1" s="37" t="s">
        <v>2685</v>
      </c>
    </row>
    <row r="2" spans="1:8" x14ac:dyDescent="0.3">
      <c r="A2" s="36" t="s">
        <v>1970</v>
      </c>
      <c r="B2" s="33">
        <v>-9.6471812999999997</v>
      </c>
      <c r="C2" s="33">
        <v>-6.2489613100000003</v>
      </c>
      <c r="E2" s="34">
        <f t="shared" ref="E2:E65" si="0">B2-C2</f>
        <v>-3.3982199899999994</v>
      </c>
      <c r="F2" s="35">
        <v>42659</v>
      </c>
      <c r="H2" s="34">
        <f>ABS(E2)</f>
        <v>3.3982199899999994</v>
      </c>
    </row>
    <row r="3" spans="1:8" x14ac:dyDescent="0.3">
      <c r="A3" s="36" t="s">
        <v>1971</v>
      </c>
      <c r="B3" s="33">
        <v>-10.6713419</v>
      </c>
      <c r="C3" s="33">
        <v>-4.5949150100000002</v>
      </c>
      <c r="E3" s="34">
        <f t="shared" si="0"/>
        <v>-6.0764268899999996</v>
      </c>
      <c r="F3" s="35">
        <v>42660</v>
      </c>
      <c r="H3" s="34">
        <f t="shared" ref="H3:H66" si="1">ABS(E3)</f>
        <v>6.0764268899999996</v>
      </c>
    </row>
    <row r="4" spans="1:8" x14ac:dyDescent="0.3">
      <c r="A4" s="36" t="s">
        <v>1972</v>
      </c>
      <c r="B4" s="33">
        <v>-11.0503169</v>
      </c>
      <c r="C4" s="33">
        <v>-3.7959389300000002</v>
      </c>
      <c r="E4" s="34">
        <f t="shared" si="0"/>
        <v>-7.2543779700000002</v>
      </c>
      <c r="F4" s="35">
        <v>42661</v>
      </c>
      <c r="H4" s="34">
        <f t="shared" si="1"/>
        <v>7.2543779700000002</v>
      </c>
    </row>
    <row r="5" spans="1:8" x14ac:dyDescent="0.3">
      <c r="A5" s="36" t="s">
        <v>962</v>
      </c>
      <c r="B5" s="33">
        <v>-13.5721466</v>
      </c>
      <c r="C5" s="33">
        <v>-4.7235998500000003</v>
      </c>
      <c r="E5" s="34">
        <f t="shared" si="0"/>
        <v>-8.8485467500000006</v>
      </c>
      <c r="F5" s="35">
        <v>42662</v>
      </c>
      <c r="H5" s="34">
        <f t="shared" si="1"/>
        <v>8.8485467500000006</v>
      </c>
    </row>
    <row r="6" spans="1:8" x14ac:dyDescent="0.3">
      <c r="A6" s="36" t="s">
        <v>963</v>
      </c>
      <c r="B6" s="33">
        <v>-14.957730700000001</v>
      </c>
      <c r="C6" s="33">
        <v>-5.8894865000000003</v>
      </c>
      <c r="E6" s="34">
        <f t="shared" si="0"/>
        <v>-9.0682442000000005</v>
      </c>
      <c r="F6" s="35">
        <v>42663</v>
      </c>
      <c r="H6" s="34">
        <f t="shared" si="1"/>
        <v>9.0682442000000005</v>
      </c>
    </row>
    <row r="7" spans="1:8" x14ac:dyDescent="0.3">
      <c r="A7" s="36" t="s">
        <v>964</v>
      </c>
      <c r="B7" s="33">
        <v>-15.814339800000001</v>
      </c>
      <c r="C7" s="33">
        <v>-4.3030420899999999</v>
      </c>
      <c r="E7" s="34">
        <f t="shared" si="0"/>
        <v>-11.511297710000001</v>
      </c>
      <c r="F7" s="35">
        <v>42664</v>
      </c>
      <c r="H7" s="34">
        <f t="shared" si="1"/>
        <v>11.511297710000001</v>
      </c>
    </row>
    <row r="8" spans="1:8" x14ac:dyDescent="0.3">
      <c r="A8" s="36" t="s">
        <v>965</v>
      </c>
      <c r="B8" s="33">
        <v>-16.708548199999999</v>
      </c>
      <c r="C8" s="33">
        <v>-6.8335421199999997</v>
      </c>
      <c r="E8" s="34">
        <f t="shared" si="0"/>
        <v>-9.8750060799999986</v>
      </c>
      <c r="F8" s="35">
        <v>42665</v>
      </c>
      <c r="H8" s="34">
        <f t="shared" si="1"/>
        <v>9.8750060799999986</v>
      </c>
    </row>
    <row r="9" spans="1:8" x14ac:dyDescent="0.3">
      <c r="A9" s="36" t="s">
        <v>966</v>
      </c>
      <c r="B9" s="33">
        <v>-19.181301000000001</v>
      </c>
      <c r="C9" s="33">
        <v>-8.2665267999999994</v>
      </c>
      <c r="E9" s="34">
        <f t="shared" si="0"/>
        <v>-10.914774200000002</v>
      </c>
      <c r="F9" s="35">
        <v>42666</v>
      </c>
      <c r="H9" s="34">
        <f t="shared" si="1"/>
        <v>10.914774200000002</v>
      </c>
    </row>
    <row r="10" spans="1:8" x14ac:dyDescent="0.3">
      <c r="A10" s="36" t="s">
        <v>967</v>
      </c>
      <c r="B10" s="33">
        <v>-20.2180313</v>
      </c>
      <c r="C10" s="33">
        <v>-8.8143803500000004</v>
      </c>
      <c r="E10" s="34">
        <f t="shared" si="0"/>
        <v>-11.403650949999999</v>
      </c>
      <c r="F10" s="35">
        <v>42667</v>
      </c>
      <c r="H10" s="34">
        <f t="shared" si="1"/>
        <v>11.403650949999999</v>
      </c>
    </row>
    <row r="11" spans="1:8" x14ac:dyDescent="0.3">
      <c r="A11" s="36" t="s">
        <v>968</v>
      </c>
      <c r="B11" s="33">
        <v>-19.4426126</v>
      </c>
      <c r="C11" s="33">
        <v>-8.4899087299999998</v>
      </c>
      <c r="E11" s="34">
        <f t="shared" si="0"/>
        <v>-10.952703870000001</v>
      </c>
      <c r="F11" s="35">
        <v>42668</v>
      </c>
      <c r="H11" s="34">
        <f t="shared" si="1"/>
        <v>10.952703870000001</v>
      </c>
    </row>
    <row r="12" spans="1:8" x14ac:dyDescent="0.3">
      <c r="A12" s="36" t="s">
        <v>969</v>
      </c>
      <c r="B12" s="33">
        <v>-19.0401992</v>
      </c>
      <c r="C12" s="33">
        <v>-9.1452678400000007</v>
      </c>
      <c r="E12" s="34">
        <f t="shared" si="0"/>
        <v>-9.8949313599999993</v>
      </c>
      <c r="F12" s="35">
        <v>42669</v>
      </c>
      <c r="H12" s="34">
        <f t="shared" si="1"/>
        <v>9.8949313599999993</v>
      </c>
    </row>
    <row r="13" spans="1:8" x14ac:dyDescent="0.3">
      <c r="A13" s="36" t="s">
        <v>970</v>
      </c>
      <c r="B13" s="33">
        <v>-19.259277399999998</v>
      </c>
      <c r="C13" s="33">
        <v>-10.489042639999999</v>
      </c>
      <c r="E13" s="34">
        <f t="shared" si="0"/>
        <v>-8.7702347599999992</v>
      </c>
      <c r="F13" s="35">
        <v>42670</v>
      </c>
      <c r="H13" s="34">
        <f t="shared" si="1"/>
        <v>8.7702347599999992</v>
      </c>
    </row>
    <row r="14" spans="1:8" x14ac:dyDescent="0.3">
      <c r="A14" s="36" t="s">
        <v>971</v>
      </c>
      <c r="B14" s="33">
        <v>-18.829296899999999</v>
      </c>
      <c r="C14" s="33">
        <v>-11.888377180000001</v>
      </c>
      <c r="E14" s="34">
        <f t="shared" si="0"/>
        <v>-6.9409197199999983</v>
      </c>
      <c r="F14" s="35">
        <v>42671</v>
      </c>
      <c r="H14" s="34">
        <f t="shared" si="1"/>
        <v>6.9409197199999983</v>
      </c>
    </row>
    <row r="15" spans="1:8" x14ac:dyDescent="0.3">
      <c r="A15" s="36" t="s">
        <v>972</v>
      </c>
      <c r="B15" s="33">
        <v>-19.641116799999999</v>
      </c>
      <c r="C15" s="33">
        <v>-11.419937839999999</v>
      </c>
      <c r="E15" s="34">
        <f t="shared" si="0"/>
        <v>-8.2211789599999996</v>
      </c>
      <c r="F15" s="35">
        <v>42672</v>
      </c>
      <c r="H15" s="34">
        <f t="shared" si="1"/>
        <v>8.2211789599999996</v>
      </c>
    </row>
    <row r="16" spans="1:8" x14ac:dyDescent="0.3">
      <c r="A16" s="36" t="s">
        <v>973</v>
      </c>
      <c r="B16" s="33">
        <v>-17.7400877</v>
      </c>
      <c r="C16" s="33">
        <v>-12.846461359999999</v>
      </c>
      <c r="E16" s="34">
        <f t="shared" si="0"/>
        <v>-4.8936263400000009</v>
      </c>
      <c r="F16" s="35">
        <v>42673</v>
      </c>
      <c r="H16" s="34">
        <f t="shared" si="1"/>
        <v>4.8936263400000009</v>
      </c>
    </row>
    <row r="17" spans="1:8" x14ac:dyDescent="0.3">
      <c r="A17" s="36" t="s">
        <v>974</v>
      </c>
      <c r="B17" s="33">
        <v>-15.808842200000001</v>
      </c>
      <c r="C17" s="33">
        <v>-12.296252819999999</v>
      </c>
      <c r="E17" s="34">
        <f t="shared" si="0"/>
        <v>-3.5125893800000014</v>
      </c>
      <c r="F17" s="35">
        <v>42674</v>
      </c>
      <c r="H17" s="34">
        <f t="shared" si="1"/>
        <v>3.5125893800000014</v>
      </c>
    </row>
    <row r="18" spans="1:8" x14ac:dyDescent="0.3">
      <c r="A18" s="36" t="s">
        <v>975</v>
      </c>
      <c r="B18" s="33">
        <v>-17.007376399999998</v>
      </c>
      <c r="C18" s="33">
        <v>-10.520260589999999</v>
      </c>
      <c r="E18" s="34">
        <f t="shared" si="0"/>
        <v>-6.4871158099999988</v>
      </c>
      <c r="F18" s="35">
        <v>42675</v>
      </c>
      <c r="H18" s="34">
        <f t="shared" si="1"/>
        <v>6.4871158099999988</v>
      </c>
    </row>
    <row r="19" spans="1:8" x14ac:dyDescent="0.3">
      <c r="A19" s="36" t="s">
        <v>976</v>
      </c>
      <c r="B19" s="33">
        <v>-17.262639100000001</v>
      </c>
      <c r="C19" s="33">
        <v>-9.4066946300000005</v>
      </c>
      <c r="E19" s="34">
        <f t="shared" si="0"/>
        <v>-7.8559444700000007</v>
      </c>
      <c r="F19" s="35">
        <v>42676</v>
      </c>
      <c r="H19" s="34">
        <f t="shared" si="1"/>
        <v>7.8559444700000007</v>
      </c>
    </row>
    <row r="20" spans="1:8" x14ac:dyDescent="0.3">
      <c r="A20" s="36" t="s">
        <v>977</v>
      </c>
      <c r="B20" s="33">
        <v>-17.280319899999999</v>
      </c>
      <c r="C20" s="33">
        <v>-9.21772204</v>
      </c>
      <c r="E20" s="34">
        <f t="shared" si="0"/>
        <v>-8.0625978599999986</v>
      </c>
      <c r="F20" s="35">
        <v>42677</v>
      </c>
      <c r="H20" s="34">
        <f t="shared" si="1"/>
        <v>8.0625978599999986</v>
      </c>
    </row>
    <row r="21" spans="1:8" x14ac:dyDescent="0.3">
      <c r="A21" s="36" t="s">
        <v>978</v>
      </c>
      <c r="B21" s="33">
        <v>-16.532831399999999</v>
      </c>
      <c r="C21" s="33">
        <v>-10.05020974</v>
      </c>
      <c r="E21" s="34">
        <f t="shared" si="0"/>
        <v>-6.4826216599999995</v>
      </c>
      <c r="F21" s="35">
        <v>42678</v>
      </c>
      <c r="H21" s="34">
        <f t="shared" si="1"/>
        <v>6.4826216599999995</v>
      </c>
    </row>
    <row r="22" spans="1:8" x14ac:dyDescent="0.3">
      <c r="A22" s="36" t="s">
        <v>979</v>
      </c>
      <c r="B22" s="33">
        <v>-16.506173199999999</v>
      </c>
      <c r="C22" s="33">
        <v>-9.9320483500000005</v>
      </c>
      <c r="E22" s="34">
        <f t="shared" si="0"/>
        <v>-6.5741248499999987</v>
      </c>
      <c r="F22" s="35">
        <v>42679</v>
      </c>
      <c r="H22" s="34">
        <f t="shared" si="1"/>
        <v>6.5741248499999987</v>
      </c>
    </row>
    <row r="23" spans="1:8" x14ac:dyDescent="0.3">
      <c r="A23" s="36" t="s">
        <v>980</v>
      </c>
      <c r="B23" s="33">
        <v>-18.549060399999998</v>
      </c>
      <c r="C23" s="33">
        <v>-9.4342903299999996</v>
      </c>
      <c r="E23" s="34">
        <f t="shared" si="0"/>
        <v>-9.1147700699999987</v>
      </c>
      <c r="F23" s="35">
        <v>42680</v>
      </c>
      <c r="H23" s="34">
        <f t="shared" si="1"/>
        <v>9.1147700699999987</v>
      </c>
    </row>
    <row r="24" spans="1:8" x14ac:dyDescent="0.3">
      <c r="A24" s="36" t="s">
        <v>981</v>
      </c>
      <c r="B24" s="33">
        <v>-18.310564299999999</v>
      </c>
      <c r="C24" s="33">
        <v>-11.04290389</v>
      </c>
      <c r="E24" s="34">
        <f t="shared" si="0"/>
        <v>-7.2676604099999995</v>
      </c>
      <c r="F24" s="35">
        <v>42681</v>
      </c>
      <c r="H24" s="34">
        <f t="shared" si="1"/>
        <v>7.2676604099999995</v>
      </c>
    </row>
    <row r="25" spans="1:8" x14ac:dyDescent="0.3">
      <c r="A25" s="36" t="s">
        <v>982</v>
      </c>
      <c r="B25" s="33">
        <v>-18.884610899999998</v>
      </c>
      <c r="C25" s="33">
        <v>-11.000258990000001</v>
      </c>
      <c r="E25" s="34">
        <f t="shared" si="0"/>
        <v>-7.8843519099999977</v>
      </c>
      <c r="F25" s="35">
        <v>42682</v>
      </c>
      <c r="H25" s="34">
        <f t="shared" si="1"/>
        <v>7.8843519099999977</v>
      </c>
    </row>
    <row r="26" spans="1:8" x14ac:dyDescent="0.3">
      <c r="A26" s="36" t="s">
        <v>983</v>
      </c>
      <c r="B26" s="33">
        <v>-18.346539100000001</v>
      </c>
      <c r="C26" s="33">
        <v>-13.79787636</v>
      </c>
      <c r="E26" s="34">
        <f t="shared" si="0"/>
        <v>-4.548662740000001</v>
      </c>
      <c r="F26" s="35">
        <v>42683</v>
      </c>
      <c r="H26" s="34">
        <f t="shared" si="1"/>
        <v>4.548662740000001</v>
      </c>
    </row>
    <row r="27" spans="1:8" x14ac:dyDescent="0.3">
      <c r="A27" s="36" t="s">
        <v>984</v>
      </c>
      <c r="B27" s="33">
        <v>-17.751017999999998</v>
      </c>
      <c r="C27" s="33">
        <v>-12.809126279999999</v>
      </c>
      <c r="E27" s="34">
        <f t="shared" si="0"/>
        <v>-4.9418917199999992</v>
      </c>
      <c r="F27" s="35">
        <v>42684</v>
      </c>
      <c r="H27" s="34">
        <f t="shared" si="1"/>
        <v>4.9418917199999992</v>
      </c>
    </row>
    <row r="28" spans="1:8" x14ac:dyDescent="0.3">
      <c r="A28" s="36" t="s">
        <v>985</v>
      </c>
      <c r="B28" s="33">
        <v>-17.700791299999999</v>
      </c>
      <c r="C28" s="33">
        <v>-14.266816410000001</v>
      </c>
      <c r="E28" s="34">
        <f t="shared" si="0"/>
        <v>-3.4339748899999982</v>
      </c>
      <c r="F28" s="35">
        <v>42685</v>
      </c>
      <c r="H28" s="34">
        <f t="shared" si="1"/>
        <v>3.4339748899999982</v>
      </c>
    </row>
    <row r="29" spans="1:8" x14ac:dyDescent="0.3">
      <c r="A29" s="36" t="s">
        <v>986</v>
      </c>
      <c r="B29" s="33">
        <v>-17.163977599999999</v>
      </c>
      <c r="C29" s="33">
        <v>-14.77815354</v>
      </c>
      <c r="E29" s="34">
        <f t="shared" si="0"/>
        <v>-2.3858240599999991</v>
      </c>
      <c r="F29" s="35">
        <v>42686</v>
      </c>
      <c r="H29" s="34">
        <f t="shared" si="1"/>
        <v>2.3858240599999991</v>
      </c>
    </row>
    <row r="30" spans="1:8" x14ac:dyDescent="0.3">
      <c r="A30" s="36" t="s">
        <v>987</v>
      </c>
      <c r="B30" s="33">
        <v>-18.215810399999999</v>
      </c>
      <c r="C30" s="33">
        <v>-14.384055890000001</v>
      </c>
      <c r="E30" s="34">
        <f t="shared" si="0"/>
        <v>-3.8317545099999979</v>
      </c>
      <c r="F30" s="35">
        <v>42687</v>
      </c>
      <c r="H30" s="34">
        <f t="shared" si="1"/>
        <v>3.8317545099999979</v>
      </c>
    </row>
    <row r="31" spans="1:8" x14ac:dyDescent="0.3">
      <c r="A31" s="36" t="s">
        <v>988</v>
      </c>
      <c r="B31" s="33">
        <v>-17.556412000000002</v>
      </c>
      <c r="C31" s="33">
        <v>-14.78648617</v>
      </c>
      <c r="E31" s="34">
        <f t="shared" si="0"/>
        <v>-2.7699258300000018</v>
      </c>
      <c r="F31" s="35">
        <v>42688</v>
      </c>
      <c r="H31" s="34">
        <f t="shared" si="1"/>
        <v>2.7699258300000018</v>
      </c>
    </row>
    <row r="32" spans="1:8" x14ac:dyDescent="0.3">
      <c r="A32" s="36" t="s">
        <v>989</v>
      </c>
      <c r="B32" s="33">
        <v>-18.028496100000002</v>
      </c>
      <c r="C32" s="33">
        <v>-15.799377399999999</v>
      </c>
      <c r="E32" s="34">
        <f t="shared" si="0"/>
        <v>-2.2291187000000026</v>
      </c>
      <c r="F32" s="35">
        <v>42689</v>
      </c>
      <c r="H32" s="34">
        <f t="shared" si="1"/>
        <v>2.2291187000000026</v>
      </c>
    </row>
    <row r="33" spans="1:8" x14ac:dyDescent="0.3">
      <c r="A33" s="36" t="s">
        <v>990</v>
      </c>
      <c r="B33" s="33">
        <v>-18.700621699999999</v>
      </c>
      <c r="C33" s="33">
        <v>-17.069204500000001</v>
      </c>
      <c r="E33" s="34">
        <f t="shared" si="0"/>
        <v>-1.6314171999999978</v>
      </c>
      <c r="F33" s="35">
        <v>42690</v>
      </c>
      <c r="H33" s="34">
        <f t="shared" si="1"/>
        <v>1.6314171999999978</v>
      </c>
    </row>
    <row r="34" spans="1:8" x14ac:dyDescent="0.3">
      <c r="A34" s="36" t="s">
        <v>991</v>
      </c>
      <c r="B34" s="33">
        <v>-17.4866268</v>
      </c>
      <c r="C34" s="33">
        <v>-18.642423869999998</v>
      </c>
      <c r="E34" s="34">
        <f t="shared" si="0"/>
        <v>1.1557970699999984</v>
      </c>
      <c r="F34" s="35">
        <v>42691</v>
      </c>
      <c r="H34" s="34">
        <f t="shared" si="1"/>
        <v>1.1557970699999984</v>
      </c>
    </row>
    <row r="35" spans="1:8" x14ac:dyDescent="0.3">
      <c r="A35" s="36" t="s">
        <v>992</v>
      </c>
      <c r="B35" s="33">
        <v>-18.390742899999999</v>
      </c>
      <c r="C35" s="33">
        <v>-18.23601811</v>
      </c>
      <c r="E35" s="34">
        <f t="shared" si="0"/>
        <v>-0.1547247899999995</v>
      </c>
      <c r="F35" s="35">
        <v>42692</v>
      </c>
      <c r="H35" s="34">
        <f t="shared" si="1"/>
        <v>0.1547247899999995</v>
      </c>
    </row>
    <row r="36" spans="1:8" x14ac:dyDescent="0.3">
      <c r="A36" s="36" t="s">
        <v>993</v>
      </c>
      <c r="B36" s="33">
        <v>-19.849770500000002</v>
      </c>
      <c r="C36" s="33">
        <v>-19.665064279999999</v>
      </c>
      <c r="E36" s="34">
        <f t="shared" si="0"/>
        <v>-0.18470622000000247</v>
      </c>
      <c r="F36" s="35">
        <v>42693</v>
      </c>
      <c r="H36" s="34">
        <f t="shared" si="1"/>
        <v>0.18470622000000247</v>
      </c>
    </row>
    <row r="37" spans="1:8" x14ac:dyDescent="0.3">
      <c r="A37" s="36" t="s">
        <v>994</v>
      </c>
      <c r="B37" s="33">
        <v>-20.010501099999999</v>
      </c>
      <c r="C37" s="33">
        <v>-18.47813185</v>
      </c>
      <c r="E37" s="34">
        <f t="shared" si="0"/>
        <v>-1.5323692499999986</v>
      </c>
      <c r="F37" s="35">
        <v>42694</v>
      </c>
      <c r="H37" s="34">
        <f t="shared" si="1"/>
        <v>1.5323692499999986</v>
      </c>
    </row>
    <row r="38" spans="1:8" x14ac:dyDescent="0.3">
      <c r="A38" s="36" t="s">
        <v>995</v>
      </c>
      <c r="B38" s="33">
        <v>-20.159159500000001</v>
      </c>
      <c r="C38" s="33">
        <v>-20.005143660000002</v>
      </c>
      <c r="E38" s="34">
        <f t="shared" si="0"/>
        <v>-0.15401583999999957</v>
      </c>
      <c r="F38" s="35">
        <v>42695</v>
      </c>
      <c r="H38" s="34">
        <f t="shared" si="1"/>
        <v>0.15401583999999957</v>
      </c>
    </row>
    <row r="39" spans="1:8" x14ac:dyDescent="0.3">
      <c r="A39" s="36" t="s">
        <v>996</v>
      </c>
      <c r="B39" s="33">
        <v>-20.5868921</v>
      </c>
      <c r="C39" s="33">
        <v>-19.72723053</v>
      </c>
      <c r="E39" s="34">
        <f t="shared" si="0"/>
        <v>-0.8596615700000001</v>
      </c>
      <c r="F39" s="35">
        <v>42696</v>
      </c>
      <c r="H39" s="34">
        <f t="shared" si="1"/>
        <v>0.8596615700000001</v>
      </c>
    </row>
    <row r="40" spans="1:8" x14ac:dyDescent="0.3">
      <c r="A40" s="36" t="s">
        <v>997</v>
      </c>
      <c r="B40" s="33">
        <v>-19.636886799999999</v>
      </c>
      <c r="C40" s="33">
        <v>-18.06925464</v>
      </c>
      <c r="E40" s="34">
        <f t="shared" si="0"/>
        <v>-1.5676321599999987</v>
      </c>
      <c r="F40" s="35">
        <v>42697</v>
      </c>
      <c r="H40" s="34">
        <f t="shared" si="1"/>
        <v>1.5676321599999987</v>
      </c>
    </row>
    <row r="41" spans="1:8" x14ac:dyDescent="0.3">
      <c r="A41" s="36" t="s">
        <v>998</v>
      </c>
      <c r="B41" s="33">
        <v>-19.870313800000002</v>
      </c>
      <c r="C41" s="33">
        <v>-17.223571209999999</v>
      </c>
      <c r="E41" s="34">
        <f t="shared" si="0"/>
        <v>-2.6467425900000023</v>
      </c>
      <c r="F41" s="35">
        <v>42698</v>
      </c>
      <c r="H41" s="34">
        <f t="shared" si="1"/>
        <v>2.6467425900000023</v>
      </c>
    </row>
    <row r="42" spans="1:8" x14ac:dyDescent="0.3">
      <c r="A42" s="36" t="s">
        <v>999</v>
      </c>
      <c r="B42" s="33">
        <v>-20.7580244</v>
      </c>
      <c r="C42" s="33">
        <v>-17.44301995</v>
      </c>
      <c r="E42" s="34">
        <f t="shared" si="0"/>
        <v>-3.31500445</v>
      </c>
      <c r="F42" s="35">
        <v>42699</v>
      </c>
      <c r="H42" s="34">
        <f t="shared" si="1"/>
        <v>3.31500445</v>
      </c>
    </row>
    <row r="43" spans="1:8" x14ac:dyDescent="0.3">
      <c r="A43" s="36" t="s">
        <v>1000</v>
      </c>
      <c r="B43" s="33">
        <v>-22.313825399999999</v>
      </c>
      <c r="C43" s="33">
        <v>-17.762151580000001</v>
      </c>
      <c r="E43" s="34">
        <f t="shared" si="0"/>
        <v>-4.5516738199999978</v>
      </c>
      <c r="F43" s="35">
        <v>42700</v>
      </c>
      <c r="H43" s="34">
        <f t="shared" si="1"/>
        <v>4.5516738199999978</v>
      </c>
    </row>
    <row r="44" spans="1:8" x14ac:dyDescent="0.3">
      <c r="A44" s="36" t="s">
        <v>1001</v>
      </c>
      <c r="B44" s="33">
        <v>-21.876245300000001</v>
      </c>
      <c r="C44" s="33">
        <v>-18.363987550000001</v>
      </c>
      <c r="E44" s="34">
        <f t="shared" si="0"/>
        <v>-3.5122577499999998</v>
      </c>
      <c r="F44" s="35">
        <v>42701</v>
      </c>
      <c r="H44" s="34">
        <f t="shared" si="1"/>
        <v>3.5122577499999998</v>
      </c>
    </row>
    <row r="45" spans="1:8" x14ac:dyDescent="0.3">
      <c r="A45" s="36" t="s">
        <v>1002</v>
      </c>
      <c r="B45" s="33">
        <v>-22.038002899999999</v>
      </c>
      <c r="C45" s="33">
        <v>-17.905958609999999</v>
      </c>
      <c r="E45" s="34">
        <f t="shared" si="0"/>
        <v>-4.1320442899999996</v>
      </c>
      <c r="F45" s="35">
        <v>42702</v>
      </c>
      <c r="H45" s="34">
        <f t="shared" si="1"/>
        <v>4.1320442899999996</v>
      </c>
    </row>
    <row r="46" spans="1:8" x14ac:dyDescent="0.3">
      <c r="A46" s="36" t="s">
        <v>1003</v>
      </c>
      <c r="B46" s="33">
        <v>-22.6677517</v>
      </c>
      <c r="C46" s="33">
        <v>-16.570900770000002</v>
      </c>
      <c r="E46" s="34">
        <f t="shared" si="0"/>
        <v>-6.0968509299999987</v>
      </c>
      <c r="F46" s="35">
        <v>42703</v>
      </c>
      <c r="H46" s="34">
        <f t="shared" si="1"/>
        <v>6.0968509299999987</v>
      </c>
    </row>
    <row r="47" spans="1:8" x14ac:dyDescent="0.3">
      <c r="A47" s="36" t="s">
        <v>1004</v>
      </c>
      <c r="B47" s="33">
        <v>-21.437347299999999</v>
      </c>
      <c r="C47" s="33">
        <v>-15.65777973</v>
      </c>
      <c r="E47" s="34">
        <f t="shared" si="0"/>
        <v>-5.7795675699999993</v>
      </c>
      <c r="F47" s="35">
        <v>42704</v>
      </c>
      <c r="H47" s="34">
        <f t="shared" si="1"/>
        <v>5.7795675699999993</v>
      </c>
    </row>
    <row r="48" spans="1:8" x14ac:dyDescent="0.3">
      <c r="A48" s="36" t="s">
        <v>1005</v>
      </c>
      <c r="B48" s="33">
        <v>-20.4539206</v>
      </c>
      <c r="C48" s="33">
        <v>-17.032694240000001</v>
      </c>
      <c r="E48" s="34">
        <f t="shared" si="0"/>
        <v>-3.4212263599999986</v>
      </c>
      <c r="F48" s="35">
        <v>42705</v>
      </c>
      <c r="H48" s="34">
        <f t="shared" si="1"/>
        <v>3.4212263599999986</v>
      </c>
    </row>
    <row r="49" spans="1:8" x14ac:dyDescent="0.3">
      <c r="A49" s="36" t="s">
        <v>1006</v>
      </c>
      <c r="B49" s="33">
        <v>-19.296419100000001</v>
      </c>
      <c r="C49" s="33">
        <v>-16.358055490000002</v>
      </c>
      <c r="E49" s="34">
        <f t="shared" si="0"/>
        <v>-2.9383636099999997</v>
      </c>
      <c r="F49" s="35">
        <v>42706</v>
      </c>
      <c r="H49" s="34">
        <f t="shared" si="1"/>
        <v>2.9383636099999997</v>
      </c>
    </row>
    <row r="50" spans="1:8" x14ac:dyDescent="0.3">
      <c r="A50" s="36" t="s">
        <v>1007</v>
      </c>
      <c r="B50" s="33">
        <v>-17.659044600000001</v>
      </c>
      <c r="C50" s="33">
        <v>-15.442048010000001</v>
      </c>
      <c r="E50" s="34">
        <f t="shared" si="0"/>
        <v>-2.2169965900000008</v>
      </c>
      <c r="F50" s="35">
        <v>42707</v>
      </c>
      <c r="H50" s="34">
        <f t="shared" si="1"/>
        <v>2.2169965900000008</v>
      </c>
    </row>
    <row r="51" spans="1:8" x14ac:dyDescent="0.3">
      <c r="A51" s="36" t="s">
        <v>1008</v>
      </c>
      <c r="B51" s="33">
        <v>-16.744433799999999</v>
      </c>
      <c r="C51" s="33">
        <v>-15.67013152</v>
      </c>
      <c r="E51" s="34">
        <f t="shared" si="0"/>
        <v>-1.0743022799999995</v>
      </c>
      <c r="F51" s="35">
        <v>42708</v>
      </c>
      <c r="H51" s="34">
        <f t="shared" si="1"/>
        <v>1.0743022799999995</v>
      </c>
    </row>
    <row r="52" spans="1:8" x14ac:dyDescent="0.3">
      <c r="A52" s="36" t="s">
        <v>1009</v>
      </c>
      <c r="B52" s="33">
        <v>-17.8061708</v>
      </c>
      <c r="C52" s="33">
        <v>-14.42467634</v>
      </c>
      <c r="E52" s="34">
        <f t="shared" si="0"/>
        <v>-3.3814944600000008</v>
      </c>
      <c r="F52" s="35">
        <v>42709</v>
      </c>
      <c r="H52" s="34">
        <f t="shared" si="1"/>
        <v>3.3814944600000008</v>
      </c>
    </row>
    <row r="53" spans="1:8" x14ac:dyDescent="0.3">
      <c r="A53" s="36" t="s">
        <v>1010</v>
      </c>
      <c r="B53" s="33">
        <v>-18.065653399999999</v>
      </c>
      <c r="C53" s="33">
        <v>-15.36890309</v>
      </c>
      <c r="E53" s="34">
        <f t="shared" si="0"/>
        <v>-2.6967503099999988</v>
      </c>
      <c r="F53" s="35">
        <v>42710</v>
      </c>
      <c r="H53" s="34">
        <f t="shared" si="1"/>
        <v>2.6967503099999988</v>
      </c>
    </row>
    <row r="54" spans="1:8" x14ac:dyDescent="0.3">
      <c r="A54" s="36" t="s">
        <v>1011</v>
      </c>
      <c r="B54" s="33">
        <v>-18.2563122</v>
      </c>
      <c r="C54" s="33">
        <v>-14.735062409999999</v>
      </c>
      <c r="E54" s="34">
        <f t="shared" si="0"/>
        <v>-3.5212497900000006</v>
      </c>
      <c r="F54" s="35">
        <v>42711</v>
      </c>
      <c r="H54" s="34">
        <f t="shared" si="1"/>
        <v>3.5212497900000006</v>
      </c>
    </row>
    <row r="55" spans="1:8" x14ac:dyDescent="0.3">
      <c r="A55" s="36" t="s">
        <v>1012</v>
      </c>
      <c r="B55" s="33">
        <v>-18.516184899999999</v>
      </c>
      <c r="C55" s="33">
        <v>-13.10753616</v>
      </c>
      <c r="E55" s="34">
        <f t="shared" si="0"/>
        <v>-5.4086487399999985</v>
      </c>
      <c r="F55" s="35">
        <v>42712</v>
      </c>
      <c r="H55" s="34">
        <f t="shared" si="1"/>
        <v>5.4086487399999985</v>
      </c>
    </row>
    <row r="56" spans="1:8" x14ac:dyDescent="0.3">
      <c r="A56" s="36" t="s">
        <v>1013</v>
      </c>
      <c r="B56" s="33">
        <v>-18.885809999999999</v>
      </c>
      <c r="C56" s="33">
        <v>-13.17987872</v>
      </c>
      <c r="E56" s="34">
        <f t="shared" si="0"/>
        <v>-5.7059312799999997</v>
      </c>
      <c r="F56" s="35">
        <v>42713</v>
      </c>
      <c r="H56" s="34">
        <f t="shared" si="1"/>
        <v>5.7059312799999997</v>
      </c>
    </row>
    <row r="57" spans="1:8" x14ac:dyDescent="0.3">
      <c r="A57" s="36" t="s">
        <v>1014</v>
      </c>
      <c r="B57" s="33">
        <v>-18.2744964</v>
      </c>
      <c r="C57" s="33">
        <v>-12.62490624</v>
      </c>
      <c r="E57" s="34">
        <f t="shared" si="0"/>
        <v>-5.6495901600000007</v>
      </c>
      <c r="F57" s="35">
        <v>42714</v>
      </c>
      <c r="H57" s="34">
        <f t="shared" si="1"/>
        <v>5.6495901600000007</v>
      </c>
    </row>
    <row r="58" spans="1:8" x14ac:dyDescent="0.3">
      <c r="A58" s="36" t="s">
        <v>1015</v>
      </c>
      <c r="B58" s="33">
        <v>-18.952735199999999</v>
      </c>
      <c r="C58" s="33">
        <v>-10.893805499999999</v>
      </c>
      <c r="E58" s="34">
        <f t="shared" si="0"/>
        <v>-8.0589297000000002</v>
      </c>
      <c r="F58" s="35">
        <v>42715</v>
      </c>
      <c r="H58" s="34">
        <f t="shared" si="1"/>
        <v>8.0589297000000002</v>
      </c>
    </row>
    <row r="59" spans="1:8" x14ac:dyDescent="0.3">
      <c r="A59" s="36" t="s">
        <v>1016</v>
      </c>
      <c r="B59" s="33">
        <v>-19.349090400000001</v>
      </c>
      <c r="C59" s="33">
        <v>-11.744152229999999</v>
      </c>
      <c r="E59" s="34">
        <f t="shared" si="0"/>
        <v>-7.6049381700000023</v>
      </c>
      <c r="F59" s="35">
        <v>42716</v>
      </c>
      <c r="H59" s="34">
        <f t="shared" si="1"/>
        <v>7.6049381700000023</v>
      </c>
    </row>
    <row r="60" spans="1:8" x14ac:dyDescent="0.3">
      <c r="A60" s="36" t="s">
        <v>1017</v>
      </c>
      <c r="B60" s="33">
        <v>-18.353281500000001</v>
      </c>
      <c r="C60" s="33">
        <v>-12.869535750000001</v>
      </c>
      <c r="E60" s="34">
        <f t="shared" si="0"/>
        <v>-5.4837457500000006</v>
      </c>
      <c r="F60" s="35">
        <v>42717</v>
      </c>
      <c r="H60" s="34">
        <f t="shared" si="1"/>
        <v>5.4837457500000006</v>
      </c>
    </row>
    <row r="61" spans="1:8" x14ac:dyDescent="0.3">
      <c r="A61" s="36" t="s">
        <v>1018</v>
      </c>
      <c r="B61" s="33">
        <v>-18.7107116</v>
      </c>
      <c r="C61" s="33">
        <v>-13.081709350000001</v>
      </c>
      <c r="E61" s="34">
        <f t="shared" si="0"/>
        <v>-5.6290022499999992</v>
      </c>
      <c r="F61" s="35">
        <v>42718</v>
      </c>
      <c r="H61" s="34">
        <f t="shared" si="1"/>
        <v>5.6290022499999992</v>
      </c>
    </row>
    <row r="62" spans="1:8" x14ac:dyDescent="0.3">
      <c r="A62" s="36" t="s">
        <v>1019</v>
      </c>
      <c r="B62" s="33">
        <v>-19.175486200000002</v>
      </c>
      <c r="C62" s="33">
        <v>-13.339857820000001</v>
      </c>
      <c r="E62" s="34">
        <f t="shared" si="0"/>
        <v>-5.8356283800000011</v>
      </c>
      <c r="F62" s="35">
        <v>42719</v>
      </c>
      <c r="H62" s="34">
        <f t="shared" si="1"/>
        <v>5.8356283800000011</v>
      </c>
    </row>
    <row r="63" spans="1:8" x14ac:dyDescent="0.3">
      <c r="A63" s="36" t="s">
        <v>1020</v>
      </c>
      <c r="B63" s="33">
        <v>-17.931337599999999</v>
      </c>
      <c r="C63" s="33">
        <v>-13.43293006</v>
      </c>
      <c r="E63" s="34">
        <f t="shared" si="0"/>
        <v>-4.4984075399999988</v>
      </c>
      <c r="F63" s="35">
        <v>42720</v>
      </c>
      <c r="H63" s="34">
        <f t="shared" si="1"/>
        <v>4.4984075399999988</v>
      </c>
    </row>
    <row r="64" spans="1:8" x14ac:dyDescent="0.3">
      <c r="A64" s="36" t="s">
        <v>1021</v>
      </c>
      <c r="B64" s="33">
        <v>-17.4294008</v>
      </c>
      <c r="C64" s="33">
        <v>-14.45055095</v>
      </c>
      <c r="E64" s="34">
        <f t="shared" si="0"/>
        <v>-2.9788498499999996</v>
      </c>
      <c r="F64" s="35">
        <v>42721</v>
      </c>
      <c r="H64" s="34">
        <f t="shared" si="1"/>
        <v>2.9788498499999996</v>
      </c>
    </row>
    <row r="65" spans="1:8" x14ac:dyDescent="0.3">
      <c r="A65" s="36" t="s">
        <v>1022</v>
      </c>
      <c r="B65" s="33">
        <v>-16.427668000000001</v>
      </c>
      <c r="C65" s="33">
        <v>-15.74988746</v>
      </c>
      <c r="E65" s="34">
        <f t="shared" si="0"/>
        <v>-0.67778054000000054</v>
      </c>
      <c r="F65" s="35">
        <v>42722</v>
      </c>
      <c r="H65" s="34">
        <f t="shared" si="1"/>
        <v>0.67778054000000054</v>
      </c>
    </row>
    <row r="66" spans="1:8" x14ac:dyDescent="0.3">
      <c r="A66" s="36" t="s">
        <v>1023</v>
      </c>
      <c r="B66" s="33">
        <v>-17.4487475</v>
      </c>
      <c r="C66" s="33">
        <v>-16.28710586</v>
      </c>
      <c r="E66" s="34">
        <f t="shared" ref="E66:E129" si="2">B66-C66</f>
        <v>-1.1616416399999991</v>
      </c>
      <c r="F66" s="35">
        <v>42723</v>
      </c>
      <c r="H66" s="34">
        <f t="shared" si="1"/>
        <v>1.1616416399999991</v>
      </c>
    </row>
    <row r="67" spans="1:8" x14ac:dyDescent="0.3">
      <c r="A67" s="36" t="s">
        <v>1024</v>
      </c>
      <c r="B67" s="33">
        <v>-16.448350600000001</v>
      </c>
      <c r="C67" s="33">
        <v>-16.38898481</v>
      </c>
      <c r="E67" s="34">
        <f t="shared" si="2"/>
        <v>-5.9365790000001084E-2</v>
      </c>
      <c r="F67" s="35">
        <v>42724</v>
      </c>
      <c r="H67" s="34">
        <f t="shared" ref="H67:H130" si="3">ABS(E67)</f>
        <v>5.9365790000001084E-2</v>
      </c>
    </row>
    <row r="68" spans="1:8" x14ac:dyDescent="0.3">
      <c r="A68" s="36" t="s">
        <v>1025</v>
      </c>
      <c r="B68" s="33">
        <v>-17.8434955</v>
      </c>
      <c r="C68" s="33">
        <v>-18.29482209</v>
      </c>
      <c r="E68" s="34">
        <f t="shared" si="2"/>
        <v>0.45132659000000075</v>
      </c>
      <c r="F68" s="35">
        <v>42725</v>
      </c>
      <c r="H68" s="34">
        <f t="shared" si="3"/>
        <v>0.45132659000000075</v>
      </c>
    </row>
    <row r="69" spans="1:8" x14ac:dyDescent="0.3">
      <c r="A69" s="36" t="s">
        <v>1026</v>
      </c>
      <c r="B69" s="33">
        <v>-17.1033571</v>
      </c>
      <c r="C69" s="33">
        <v>-19.192912969999998</v>
      </c>
      <c r="E69" s="34">
        <f t="shared" si="2"/>
        <v>2.0895558699999981</v>
      </c>
      <c r="F69" s="35">
        <v>42726</v>
      </c>
      <c r="H69" s="34">
        <f t="shared" si="3"/>
        <v>2.0895558699999981</v>
      </c>
    </row>
    <row r="70" spans="1:8" x14ac:dyDescent="0.3">
      <c r="A70" s="36" t="s">
        <v>1027</v>
      </c>
      <c r="B70" s="33">
        <v>-15.4122542</v>
      </c>
      <c r="C70" s="33">
        <v>-21.392192680000001</v>
      </c>
      <c r="E70" s="34">
        <f t="shared" si="2"/>
        <v>5.9799384800000013</v>
      </c>
      <c r="F70" s="35">
        <v>42727</v>
      </c>
      <c r="H70" s="34">
        <f t="shared" si="3"/>
        <v>5.9799384800000013</v>
      </c>
    </row>
    <row r="71" spans="1:8" x14ac:dyDescent="0.3">
      <c r="A71" s="36" t="s">
        <v>1028</v>
      </c>
      <c r="B71" s="33">
        <v>-16.256966899999998</v>
      </c>
      <c r="C71" s="33">
        <v>-22.044083629999999</v>
      </c>
      <c r="E71" s="34">
        <f t="shared" si="2"/>
        <v>5.787116730000001</v>
      </c>
      <c r="F71" s="35">
        <v>42728</v>
      </c>
      <c r="H71" s="34">
        <f t="shared" si="3"/>
        <v>5.787116730000001</v>
      </c>
    </row>
    <row r="72" spans="1:8" x14ac:dyDescent="0.3">
      <c r="A72" s="36" t="s">
        <v>1029</v>
      </c>
      <c r="B72" s="33">
        <v>-14.171177999999999</v>
      </c>
      <c r="C72" s="33">
        <v>-21.031831789999998</v>
      </c>
      <c r="E72" s="34">
        <f t="shared" si="2"/>
        <v>6.8606537899999989</v>
      </c>
      <c r="F72" s="35">
        <v>42729</v>
      </c>
      <c r="H72" s="34">
        <f t="shared" si="3"/>
        <v>6.8606537899999989</v>
      </c>
    </row>
    <row r="73" spans="1:8" x14ac:dyDescent="0.3">
      <c r="A73" s="36" t="s">
        <v>1030</v>
      </c>
      <c r="B73" s="33">
        <v>-16.0368773</v>
      </c>
      <c r="C73" s="33">
        <v>-20.603180500000001</v>
      </c>
      <c r="E73" s="34">
        <f t="shared" si="2"/>
        <v>4.5663032000000001</v>
      </c>
      <c r="F73" s="35">
        <v>42730</v>
      </c>
      <c r="H73" s="34">
        <f t="shared" si="3"/>
        <v>4.5663032000000001</v>
      </c>
    </row>
    <row r="74" spans="1:8" x14ac:dyDescent="0.3">
      <c r="A74" s="36" t="s">
        <v>1031</v>
      </c>
      <c r="B74" s="33">
        <v>-16.021544599999999</v>
      </c>
      <c r="C74" s="33">
        <v>-19.851885029999998</v>
      </c>
      <c r="E74" s="34">
        <f t="shared" si="2"/>
        <v>3.8303404299999997</v>
      </c>
      <c r="F74" s="35">
        <v>42731</v>
      </c>
      <c r="H74" s="34">
        <f t="shared" si="3"/>
        <v>3.8303404299999997</v>
      </c>
    </row>
    <row r="75" spans="1:8" x14ac:dyDescent="0.3">
      <c r="A75" s="36" t="s">
        <v>1032</v>
      </c>
      <c r="B75" s="33">
        <v>-17.033889200000001</v>
      </c>
      <c r="C75" s="33">
        <v>-18.87949068</v>
      </c>
      <c r="E75" s="34">
        <f t="shared" si="2"/>
        <v>1.8456014799999991</v>
      </c>
      <c r="F75" s="35">
        <v>42732</v>
      </c>
      <c r="H75" s="34">
        <f t="shared" si="3"/>
        <v>1.8456014799999991</v>
      </c>
    </row>
    <row r="76" spans="1:8" x14ac:dyDescent="0.3">
      <c r="A76" s="36" t="s">
        <v>1033</v>
      </c>
      <c r="B76" s="33">
        <v>-17.419719199999999</v>
      </c>
      <c r="C76" s="33">
        <v>-19.8235654</v>
      </c>
      <c r="E76" s="34">
        <f t="shared" si="2"/>
        <v>2.4038462000000003</v>
      </c>
      <c r="F76" s="35">
        <v>42733</v>
      </c>
      <c r="H76" s="34">
        <f t="shared" si="3"/>
        <v>2.4038462000000003</v>
      </c>
    </row>
    <row r="77" spans="1:8" x14ac:dyDescent="0.3">
      <c r="A77" s="36" t="s">
        <v>1034</v>
      </c>
      <c r="B77" s="33">
        <v>-17.713113199999999</v>
      </c>
      <c r="C77" s="33">
        <v>-18.973161910000002</v>
      </c>
      <c r="E77" s="34">
        <f t="shared" si="2"/>
        <v>1.2600487100000031</v>
      </c>
      <c r="F77" s="35">
        <v>42734</v>
      </c>
      <c r="H77" s="34">
        <f t="shared" si="3"/>
        <v>1.2600487100000031</v>
      </c>
    </row>
    <row r="78" spans="1:8" x14ac:dyDescent="0.3">
      <c r="A78" s="36" t="s">
        <v>1035</v>
      </c>
      <c r="B78" s="33">
        <v>-20.497089599999999</v>
      </c>
      <c r="C78" s="33">
        <v>-19.465674369999999</v>
      </c>
      <c r="E78" s="34">
        <f t="shared" si="2"/>
        <v>-1.0314152300000003</v>
      </c>
      <c r="F78" s="35">
        <v>42735</v>
      </c>
      <c r="H78" s="34">
        <f t="shared" si="3"/>
        <v>1.0314152300000003</v>
      </c>
    </row>
    <row r="79" spans="1:8" x14ac:dyDescent="0.3">
      <c r="A79" s="36" t="s">
        <v>1036</v>
      </c>
      <c r="B79" s="33">
        <v>-21.215111700000001</v>
      </c>
      <c r="C79" s="33">
        <v>-19.234589929999999</v>
      </c>
      <c r="E79" s="34">
        <f t="shared" si="2"/>
        <v>-1.9805217700000028</v>
      </c>
      <c r="F79" s="35">
        <v>42736</v>
      </c>
      <c r="H79" s="34">
        <f t="shared" si="3"/>
        <v>1.9805217700000028</v>
      </c>
    </row>
    <row r="80" spans="1:8" x14ac:dyDescent="0.3">
      <c r="A80" s="36" t="s">
        <v>1037</v>
      </c>
      <c r="B80" s="33">
        <v>-22.817554999999999</v>
      </c>
      <c r="C80" s="33">
        <v>-20.318408659999999</v>
      </c>
      <c r="E80" s="34">
        <f t="shared" si="2"/>
        <v>-2.4991463399999994</v>
      </c>
      <c r="F80" s="35">
        <v>42737</v>
      </c>
      <c r="H80" s="34">
        <f t="shared" si="3"/>
        <v>2.4991463399999994</v>
      </c>
    </row>
    <row r="81" spans="1:8" x14ac:dyDescent="0.3">
      <c r="A81" s="36" t="s">
        <v>1038</v>
      </c>
      <c r="B81" s="33">
        <v>-23.149528100000001</v>
      </c>
      <c r="C81" s="33">
        <v>-20.271069879999999</v>
      </c>
      <c r="E81" s="34">
        <f t="shared" si="2"/>
        <v>-2.8784582200000024</v>
      </c>
      <c r="F81" s="35">
        <v>42738</v>
      </c>
      <c r="H81" s="34">
        <f t="shared" si="3"/>
        <v>2.8784582200000024</v>
      </c>
    </row>
    <row r="82" spans="1:8" x14ac:dyDescent="0.3">
      <c r="A82" s="36" t="s">
        <v>1039</v>
      </c>
      <c r="B82" s="33">
        <v>-22.6141994</v>
      </c>
      <c r="C82" s="33">
        <v>-21.141370909999999</v>
      </c>
      <c r="E82" s="34">
        <f t="shared" si="2"/>
        <v>-1.4728284900000013</v>
      </c>
      <c r="F82" s="35">
        <v>42739</v>
      </c>
      <c r="H82" s="34">
        <f t="shared" si="3"/>
        <v>1.4728284900000013</v>
      </c>
    </row>
    <row r="83" spans="1:8" x14ac:dyDescent="0.3">
      <c r="A83" s="36" t="s">
        <v>1040</v>
      </c>
      <c r="B83" s="33">
        <v>-21.556020400000001</v>
      </c>
      <c r="C83" s="33">
        <v>-20.78887207</v>
      </c>
      <c r="E83" s="34">
        <f t="shared" si="2"/>
        <v>-0.76714833000000127</v>
      </c>
      <c r="F83" s="35">
        <v>42740</v>
      </c>
      <c r="H83" s="34">
        <f t="shared" si="3"/>
        <v>0.76714833000000127</v>
      </c>
    </row>
    <row r="84" spans="1:8" x14ac:dyDescent="0.3">
      <c r="A84" s="36" t="s">
        <v>1041</v>
      </c>
      <c r="B84" s="33">
        <v>-21.2464072</v>
      </c>
      <c r="C84" s="33">
        <v>-18.055305570000002</v>
      </c>
      <c r="E84" s="34">
        <f t="shared" si="2"/>
        <v>-3.1911016299999986</v>
      </c>
      <c r="F84" s="35">
        <v>42741</v>
      </c>
      <c r="H84" s="34">
        <f t="shared" si="3"/>
        <v>3.1911016299999986</v>
      </c>
    </row>
    <row r="85" spans="1:8" x14ac:dyDescent="0.3">
      <c r="A85" s="36" t="s">
        <v>1042</v>
      </c>
      <c r="B85" s="33">
        <v>-20.592334000000001</v>
      </c>
      <c r="C85" s="33">
        <v>-16.83445738</v>
      </c>
      <c r="E85" s="34">
        <f t="shared" si="2"/>
        <v>-3.7578766200000011</v>
      </c>
      <c r="F85" s="35">
        <v>42742</v>
      </c>
      <c r="H85" s="34">
        <f t="shared" si="3"/>
        <v>3.7578766200000011</v>
      </c>
    </row>
    <row r="86" spans="1:8" x14ac:dyDescent="0.3">
      <c r="A86" s="36" t="s">
        <v>1043</v>
      </c>
      <c r="B86" s="33">
        <v>-22.400301599999999</v>
      </c>
      <c r="C86" s="33">
        <v>-17.128052530000001</v>
      </c>
      <c r="E86" s="34">
        <f t="shared" si="2"/>
        <v>-5.2722490699999973</v>
      </c>
      <c r="F86" s="35">
        <v>42743</v>
      </c>
      <c r="H86" s="34">
        <f t="shared" si="3"/>
        <v>5.2722490699999973</v>
      </c>
    </row>
    <row r="87" spans="1:8" x14ac:dyDescent="0.3">
      <c r="A87" s="36" t="s">
        <v>1044</v>
      </c>
      <c r="B87" s="33">
        <v>-25.007592800000001</v>
      </c>
      <c r="C87" s="33">
        <v>-16.701945429999999</v>
      </c>
      <c r="E87" s="34">
        <f t="shared" si="2"/>
        <v>-8.3056473700000026</v>
      </c>
      <c r="F87" s="35">
        <v>42744</v>
      </c>
      <c r="H87" s="34">
        <f t="shared" si="3"/>
        <v>8.3056473700000026</v>
      </c>
    </row>
    <row r="88" spans="1:8" x14ac:dyDescent="0.3">
      <c r="A88" s="36" t="s">
        <v>1045</v>
      </c>
      <c r="B88" s="33">
        <v>-26.5654927</v>
      </c>
      <c r="C88" s="33">
        <v>-16.419381739999999</v>
      </c>
      <c r="E88" s="34">
        <f t="shared" si="2"/>
        <v>-10.146110960000001</v>
      </c>
      <c r="F88" s="35">
        <v>42745</v>
      </c>
      <c r="H88" s="34">
        <f t="shared" si="3"/>
        <v>10.146110960000001</v>
      </c>
    </row>
    <row r="89" spans="1:8" x14ac:dyDescent="0.3">
      <c r="A89" s="36" t="s">
        <v>1046</v>
      </c>
      <c r="B89" s="33">
        <v>-26.033400100000001</v>
      </c>
      <c r="C89" s="33">
        <v>-15.99328128</v>
      </c>
      <c r="E89" s="34">
        <f t="shared" si="2"/>
        <v>-10.040118820000002</v>
      </c>
      <c r="F89" s="35">
        <v>42746</v>
      </c>
      <c r="H89" s="34">
        <f t="shared" si="3"/>
        <v>10.040118820000002</v>
      </c>
    </row>
    <row r="90" spans="1:8" x14ac:dyDescent="0.3">
      <c r="A90" s="36" t="s">
        <v>1047</v>
      </c>
      <c r="B90" s="33">
        <v>-25.961373500000001</v>
      </c>
      <c r="C90" s="33">
        <v>-16.684792399999999</v>
      </c>
      <c r="E90" s="34">
        <f t="shared" si="2"/>
        <v>-9.2765811000000014</v>
      </c>
      <c r="F90" s="35">
        <v>42747</v>
      </c>
      <c r="H90" s="34">
        <f t="shared" si="3"/>
        <v>9.2765811000000014</v>
      </c>
    </row>
    <row r="91" spans="1:8" x14ac:dyDescent="0.3">
      <c r="A91" s="36" t="s">
        <v>1048</v>
      </c>
      <c r="B91" s="33">
        <v>-24.410510500000001</v>
      </c>
      <c r="C91" s="33">
        <v>-17.44635014</v>
      </c>
      <c r="E91" s="34">
        <f t="shared" si="2"/>
        <v>-6.964160360000001</v>
      </c>
      <c r="F91" s="35">
        <v>42748</v>
      </c>
      <c r="H91" s="34">
        <f t="shared" si="3"/>
        <v>6.964160360000001</v>
      </c>
    </row>
    <row r="92" spans="1:8" x14ac:dyDescent="0.3">
      <c r="A92" s="36" t="s">
        <v>1049</v>
      </c>
      <c r="B92" s="33">
        <v>-23.979915299999998</v>
      </c>
      <c r="C92" s="33">
        <v>-15.43441245</v>
      </c>
      <c r="E92" s="34">
        <f t="shared" si="2"/>
        <v>-8.5455028499999983</v>
      </c>
      <c r="F92" s="35">
        <v>42749</v>
      </c>
      <c r="H92" s="34">
        <f t="shared" si="3"/>
        <v>8.5455028499999983</v>
      </c>
    </row>
    <row r="93" spans="1:8" x14ac:dyDescent="0.3">
      <c r="A93" s="36" t="s">
        <v>1050</v>
      </c>
      <c r="B93" s="33">
        <v>-23.478985699999999</v>
      </c>
      <c r="C93" s="33">
        <v>-15.12449451</v>
      </c>
      <c r="E93" s="34">
        <f t="shared" si="2"/>
        <v>-8.3544911899999992</v>
      </c>
      <c r="F93" s="35">
        <v>42750</v>
      </c>
      <c r="H93" s="34">
        <f t="shared" si="3"/>
        <v>8.3544911899999992</v>
      </c>
    </row>
    <row r="94" spans="1:8" x14ac:dyDescent="0.3">
      <c r="A94" s="36" t="s">
        <v>1051</v>
      </c>
      <c r="B94" s="33">
        <v>-22.528557599999999</v>
      </c>
      <c r="C94" s="33">
        <v>-16.13198886</v>
      </c>
      <c r="E94" s="34">
        <f t="shared" si="2"/>
        <v>-6.3965687399999993</v>
      </c>
      <c r="F94" s="35">
        <v>42751</v>
      </c>
      <c r="H94" s="34">
        <f t="shared" si="3"/>
        <v>6.3965687399999993</v>
      </c>
    </row>
    <row r="95" spans="1:8" x14ac:dyDescent="0.3">
      <c r="A95" s="36" t="s">
        <v>1052</v>
      </c>
      <c r="B95" s="33">
        <v>-21.463009199999998</v>
      </c>
      <c r="C95" s="33">
        <v>-18.208647190000001</v>
      </c>
      <c r="E95" s="34">
        <f t="shared" si="2"/>
        <v>-3.2543620099999977</v>
      </c>
      <c r="F95" s="35">
        <v>42752</v>
      </c>
      <c r="H95" s="34">
        <f t="shared" si="3"/>
        <v>3.2543620099999977</v>
      </c>
    </row>
    <row r="96" spans="1:8" x14ac:dyDescent="0.3">
      <c r="A96" s="36" t="s">
        <v>1053</v>
      </c>
      <c r="B96" s="33">
        <v>-21.925479899999999</v>
      </c>
      <c r="C96" s="33">
        <v>-17.170916259999998</v>
      </c>
      <c r="E96" s="34">
        <f t="shared" si="2"/>
        <v>-4.7545636400000006</v>
      </c>
      <c r="F96" s="35">
        <v>42753</v>
      </c>
      <c r="H96" s="34">
        <f t="shared" si="3"/>
        <v>4.7545636400000006</v>
      </c>
    </row>
    <row r="97" spans="1:8" x14ac:dyDescent="0.3">
      <c r="A97" s="36" t="s">
        <v>1054</v>
      </c>
      <c r="B97" s="33">
        <v>-19.991875400000001</v>
      </c>
      <c r="C97" s="33">
        <v>-17.74411533</v>
      </c>
      <c r="E97" s="34">
        <f t="shared" si="2"/>
        <v>-2.2477600700000018</v>
      </c>
      <c r="F97" s="35">
        <v>42754</v>
      </c>
      <c r="H97" s="34">
        <f t="shared" si="3"/>
        <v>2.2477600700000018</v>
      </c>
    </row>
    <row r="98" spans="1:8" x14ac:dyDescent="0.3">
      <c r="A98" s="36" t="s">
        <v>1055</v>
      </c>
      <c r="B98" s="33">
        <v>-20.649188899999999</v>
      </c>
      <c r="C98" s="33">
        <v>-18.93725521</v>
      </c>
      <c r="E98" s="34">
        <f t="shared" si="2"/>
        <v>-1.7119336899999986</v>
      </c>
      <c r="F98" s="35">
        <v>42755</v>
      </c>
      <c r="H98" s="34">
        <f t="shared" si="3"/>
        <v>1.7119336899999986</v>
      </c>
    </row>
    <row r="99" spans="1:8" x14ac:dyDescent="0.3">
      <c r="A99" s="36" t="s">
        <v>1056</v>
      </c>
      <c r="B99" s="33">
        <v>-21.935109600000001</v>
      </c>
      <c r="C99" s="33">
        <v>-18.403076859999999</v>
      </c>
      <c r="E99" s="34">
        <f t="shared" si="2"/>
        <v>-3.5320327400000018</v>
      </c>
      <c r="F99" s="35">
        <v>42756</v>
      </c>
      <c r="H99" s="34">
        <f t="shared" si="3"/>
        <v>3.5320327400000018</v>
      </c>
    </row>
    <row r="100" spans="1:8" x14ac:dyDescent="0.3">
      <c r="A100" s="36" t="s">
        <v>1057</v>
      </c>
      <c r="B100" s="33">
        <v>-21.468179800000001</v>
      </c>
      <c r="C100" s="33">
        <v>-17.630957380000002</v>
      </c>
      <c r="E100" s="34">
        <f t="shared" si="2"/>
        <v>-3.8372224199999998</v>
      </c>
      <c r="F100" s="35">
        <v>42757</v>
      </c>
      <c r="H100" s="34">
        <f t="shared" si="3"/>
        <v>3.8372224199999998</v>
      </c>
    </row>
    <row r="101" spans="1:8" x14ac:dyDescent="0.3">
      <c r="A101" s="36" t="s">
        <v>1058</v>
      </c>
      <c r="B101" s="33">
        <v>-20.866701800000001</v>
      </c>
      <c r="C101" s="33">
        <v>-17.974662089999999</v>
      </c>
      <c r="E101" s="34">
        <f t="shared" si="2"/>
        <v>-2.8920397100000024</v>
      </c>
      <c r="F101" s="35">
        <v>42758</v>
      </c>
      <c r="H101" s="34">
        <f t="shared" si="3"/>
        <v>2.8920397100000024</v>
      </c>
    </row>
    <row r="102" spans="1:8" x14ac:dyDescent="0.3">
      <c r="A102" s="36" t="s">
        <v>1059</v>
      </c>
      <c r="B102" s="33">
        <v>-20.038252400000001</v>
      </c>
      <c r="C102" s="33">
        <v>-19.900303520000001</v>
      </c>
      <c r="E102" s="34">
        <f t="shared" si="2"/>
        <v>-0.13794887999999972</v>
      </c>
      <c r="F102" s="35">
        <v>42759</v>
      </c>
      <c r="H102" s="34">
        <f t="shared" si="3"/>
        <v>0.13794887999999972</v>
      </c>
    </row>
    <row r="103" spans="1:8" x14ac:dyDescent="0.3">
      <c r="A103" s="36" t="s">
        <v>1060</v>
      </c>
      <c r="B103" s="33">
        <v>-21.0370332</v>
      </c>
      <c r="C103" s="33">
        <v>-21.243957290000001</v>
      </c>
      <c r="E103" s="34">
        <f t="shared" si="2"/>
        <v>0.20692409000000112</v>
      </c>
      <c r="F103" s="35">
        <v>42760</v>
      </c>
      <c r="H103" s="34">
        <f t="shared" si="3"/>
        <v>0.20692409000000112</v>
      </c>
    </row>
    <row r="104" spans="1:8" x14ac:dyDescent="0.3">
      <c r="A104" s="36" t="s">
        <v>1061</v>
      </c>
      <c r="B104" s="33">
        <v>-19.332565500000001</v>
      </c>
      <c r="C104" s="33">
        <v>-21.010779660000001</v>
      </c>
      <c r="E104" s="34">
        <f t="shared" si="2"/>
        <v>1.6782141599999996</v>
      </c>
      <c r="F104" s="35">
        <v>42761</v>
      </c>
      <c r="H104" s="34">
        <f t="shared" si="3"/>
        <v>1.6782141599999996</v>
      </c>
    </row>
    <row r="105" spans="1:8" x14ac:dyDescent="0.3">
      <c r="A105" s="36" t="s">
        <v>1062</v>
      </c>
      <c r="B105" s="33">
        <v>-20.278849099999999</v>
      </c>
      <c r="C105" s="33">
        <v>-23.084860880000001</v>
      </c>
      <c r="E105" s="34">
        <f t="shared" si="2"/>
        <v>2.8060117800000022</v>
      </c>
      <c r="F105" s="35">
        <v>42762</v>
      </c>
      <c r="H105" s="34">
        <f t="shared" si="3"/>
        <v>2.8060117800000022</v>
      </c>
    </row>
    <row r="106" spans="1:8" x14ac:dyDescent="0.3">
      <c r="A106" s="36" t="s">
        <v>1063</v>
      </c>
      <c r="B106" s="33">
        <v>-18.545299100000001</v>
      </c>
      <c r="C106" s="33">
        <v>-23.603329909999999</v>
      </c>
      <c r="E106" s="34">
        <f t="shared" si="2"/>
        <v>5.0580308099999982</v>
      </c>
      <c r="F106" s="35">
        <v>42763</v>
      </c>
      <c r="H106" s="34">
        <f t="shared" si="3"/>
        <v>5.0580308099999982</v>
      </c>
    </row>
    <row r="107" spans="1:8" x14ac:dyDescent="0.3">
      <c r="A107" s="36" t="s">
        <v>1064</v>
      </c>
      <c r="B107" s="33">
        <v>-19.023335700000001</v>
      </c>
      <c r="C107" s="33">
        <v>-23.4132541</v>
      </c>
      <c r="E107" s="34">
        <f t="shared" si="2"/>
        <v>4.3899183999999991</v>
      </c>
      <c r="F107" s="35">
        <v>42764</v>
      </c>
      <c r="H107" s="34">
        <f t="shared" si="3"/>
        <v>4.3899183999999991</v>
      </c>
    </row>
    <row r="108" spans="1:8" x14ac:dyDescent="0.3">
      <c r="A108" s="36" t="s">
        <v>1065</v>
      </c>
      <c r="B108" s="33">
        <v>-18.773706399999998</v>
      </c>
      <c r="C108" s="33">
        <v>-23.043610489999999</v>
      </c>
      <c r="E108" s="34">
        <f t="shared" si="2"/>
        <v>4.2699040900000007</v>
      </c>
      <c r="F108" s="35">
        <v>42765</v>
      </c>
      <c r="H108" s="34">
        <f t="shared" si="3"/>
        <v>4.2699040900000007</v>
      </c>
    </row>
    <row r="109" spans="1:8" x14ac:dyDescent="0.3">
      <c r="A109" s="36" t="s">
        <v>1066</v>
      </c>
      <c r="B109" s="33">
        <v>-18.076658399999999</v>
      </c>
      <c r="C109" s="33">
        <v>-22.44600445</v>
      </c>
      <c r="E109" s="34">
        <f t="shared" si="2"/>
        <v>4.3693460500000008</v>
      </c>
      <c r="F109" s="35">
        <v>42766</v>
      </c>
      <c r="H109" s="34">
        <f t="shared" si="3"/>
        <v>4.3693460500000008</v>
      </c>
    </row>
    <row r="110" spans="1:8" x14ac:dyDescent="0.3">
      <c r="A110" s="36" t="s">
        <v>1067</v>
      </c>
      <c r="B110" s="33">
        <v>-18.3246371</v>
      </c>
      <c r="C110" s="33">
        <v>-23.130135689999999</v>
      </c>
      <c r="E110" s="34">
        <f t="shared" si="2"/>
        <v>4.8054985899999991</v>
      </c>
      <c r="F110" s="35">
        <v>42767</v>
      </c>
      <c r="H110" s="34">
        <f t="shared" si="3"/>
        <v>4.8054985899999991</v>
      </c>
    </row>
    <row r="111" spans="1:8" x14ac:dyDescent="0.3">
      <c r="A111" s="36" t="s">
        <v>1068</v>
      </c>
      <c r="B111" s="33">
        <v>-18.935063899999999</v>
      </c>
      <c r="C111" s="33">
        <v>-21.877639500000001</v>
      </c>
      <c r="E111" s="34">
        <f t="shared" si="2"/>
        <v>2.9425756000000014</v>
      </c>
      <c r="F111" s="35">
        <v>42768</v>
      </c>
      <c r="H111" s="34">
        <f t="shared" si="3"/>
        <v>2.9425756000000014</v>
      </c>
    </row>
    <row r="112" spans="1:8" x14ac:dyDescent="0.3">
      <c r="A112" s="36" t="s">
        <v>1069</v>
      </c>
      <c r="B112" s="33">
        <v>-18.483833499999999</v>
      </c>
      <c r="C112" s="33">
        <v>-22.096538469999999</v>
      </c>
      <c r="E112" s="34">
        <f t="shared" si="2"/>
        <v>3.6127049699999993</v>
      </c>
      <c r="F112" s="35">
        <v>42769</v>
      </c>
      <c r="H112" s="34">
        <f t="shared" si="3"/>
        <v>3.6127049699999993</v>
      </c>
    </row>
    <row r="113" spans="1:8" x14ac:dyDescent="0.3">
      <c r="A113" s="36" t="s">
        <v>1070</v>
      </c>
      <c r="B113" s="33">
        <v>-18.251006499999999</v>
      </c>
      <c r="C113" s="33">
        <v>-23.999276559999998</v>
      </c>
      <c r="E113" s="34">
        <f t="shared" si="2"/>
        <v>5.7482700599999994</v>
      </c>
      <c r="F113" s="35">
        <v>42770</v>
      </c>
      <c r="H113" s="34">
        <f t="shared" si="3"/>
        <v>5.7482700599999994</v>
      </c>
    </row>
    <row r="114" spans="1:8" x14ac:dyDescent="0.3">
      <c r="A114" s="36" t="s">
        <v>1071</v>
      </c>
      <c r="B114" s="33">
        <v>-17.5692168</v>
      </c>
      <c r="C114" s="33">
        <v>-24.740595160000002</v>
      </c>
      <c r="E114" s="34">
        <f t="shared" si="2"/>
        <v>7.1713783600000021</v>
      </c>
      <c r="F114" s="35">
        <v>42771</v>
      </c>
      <c r="H114" s="34">
        <f t="shared" si="3"/>
        <v>7.1713783600000021</v>
      </c>
    </row>
    <row r="115" spans="1:8" x14ac:dyDescent="0.3">
      <c r="A115" s="36" t="s">
        <v>1072</v>
      </c>
      <c r="B115" s="33">
        <v>-17.821273600000001</v>
      </c>
      <c r="C115" s="33">
        <v>-24.842452389999998</v>
      </c>
      <c r="E115" s="34">
        <f t="shared" si="2"/>
        <v>7.0211787899999969</v>
      </c>
      <c r="F115" s="35">
        <v>42772</v>
      </c>
      <c r="H115" s="34">
        <f t="shared" si="3"/>
        <v>7.0211787899999969</v>
      </c>
    </row>
    <row r="116" spans="1:8" x14ac:dyDescent="0.3">
      <c r="A116" s="36" t="s">
        <v>1073</v>
      </c>
      <c r="B116" s="33">
        <v>-17.166227599999999</v>
      </c>
      <c r="C116" s="33">
        <v>-24.454941089999998</v>
      </c>
      <c r="E116" s="34">
        <f t="shared" si="2"/>
        <v>7.2887134899999992</v>
      </c>
      <c r="F116" s="35">
        <v>42773</v>
      </c>
      <c r="H116" s="34">
        <f t="shared" si="3"/>
        <v>7.2887134899999992</v>
      </c>
    </row>
    <row r="117" spans="1:8" x14ac:dyDescent="0.3">
      <c r="A117" s="36" t="s">
        <v>1074</v>
      </c>
      <c r="B117" s="33">
        <v>-17.289832499999999</v>
      </c>
      <c r="C117" s="33">
        <v>-26.238012900000001</v>
      </c>
      <c r="E117" s="34">
        <f t="shared" si="2"/>
        <v>8.9481804000000018</v>
      </c>
      <c r="F117" s="35">
        <v>42774</v>
      </c>
      <c r="H117" s="34">
        <f t="shared" si="3"/>
        <v>8.9481804000000018</v>
      </c>
    </row>
    <row r="118" spans="1:8" x14ac:dyDescent="0.3">
      <c r="A118" s="36" t="s">
        <v>1075</v>
      </c>
      <c r="B118" s="33">
        <v>-16.9391125</v>
      </c>
      <c r="C118" s="33">
        <v>-23.530092289999999</v>
      </c>
      <c r="E118" s="34">
        <f t="shared" si="2"/>
        <v>6.5909797899999987</v>
      </c>
      <c r="F118" s="35">
        <v>42775</v>
      </c>
      <c r="H118" s="34">
        <f t="shared" si="3"/>
        <v>6.5909797899999987</v>
      </c>
    </row>
    <row r="119" spans="1:8" x14ac:dyDescent="0.3">
      <c r="A119" s="36" t="s">
        <v>1076</v>
      </c>
      <c r="B119" s="33">
        <v>-16.493276900000001</v>
      </c>
      <c r="C119" s="33">
        <v>-23.49980639</v>
      </c>
      <c r="E119" s="34">
        <f t="shared" si="2"/>
        <v>7.0065294899999984</v>
      </c>
      <c r="F119" s="35">
        <v>42776</v>
      </c>
      <c r="H119" s="34">
        <f t="shared" si="3"/>
        <v>7.0065294899999984</v>
      </c>
    </row>
    <row r="120" spans="1:8" x14ac:dyDescent="0.3">
      <c r="A120" s="36" t="s">
        <v>1077</v>
      </c>
      <c r="B120" s="33">
        <v>-17.7037239</v>
      </c>
      <c r="C120" s="33">
        <v>-25.844488909999999</v>
      </c>
      <c r="E120" s="34">
        <f t="shared" si="2"/>
        <v>8.1407650099999991</v>
      </c>
      <c r="F120" s="35">
        <v>42777</v>
      </c>
      <c r="H120" s="34">
        <f t="shared" si="3"/>
        <v>8.1407650099999991</v>
      </c>
    </row>
    <row r="121" spans="1:8" x14ac:dyDescent="0.3">
      <c r="A121" s="36" t="s">
        <v>1078</v>
      </c>
      <c r="B121" s="33">
        <v>-17.540006600000002</v>
      </c>
      <c r="C121" s="33">
        <v>-25.383269339999998</v>
      </c>
      <c r="E121" s="34">
        <f t="shared" si="2"/>
        <v>7.8432627399999966</v>
      </c>
      <c r="F121" s="35">
        <v>42778</v>
      </c>
      <c r="H121" s="34">
        <f t="shared" si="3"/>
        <v>7.8432627399999966</v>
      </c>
    </row>
    <row r="122" spans="1:8" x14ac:dyDescent="0.3">
      <c r="A122" s="36" t="s">
        <v>1079</v>
      </c>
      <c r="B122" s="33">
        <v>-19.653707399999998</v>
      </c>
      <c r="C122" s="33">
        <v>-25.19537983</v>
      </c>
      <c r="E122" s="34">
        <f t="shared" si="2"/>
        <v>5.541672430000002</v>
      </c>
      <c r="F122" s="35">
        <v>42779</v>
      </c>
      <c r="H122" s="34">
        <f t="shared" si="3"/>
        <v>5.541672430000002</v>
      </c>
    </row>
    <row r="123" spans="1:8" x14ac:dyDescent="0.3">
      <c r="A123" s="36" t="s">
        <v>1080</v>
      </c>
      <c r="B123" s="33">
        <v>-19.956951700000001</v>
      </c>
      <c r="C123" s="33">
        <v>-24.43787996</v>
      </c>
      <c r="E123" s="34">
        <f t="shared" si="2"/>
        <v>4.4809282599999989</v>
      </c>
      <c r="F123" s="35">
        <v>42780</v>
      </c>
      <c r="H123" s="34">
        <f t="shared" si="3"/>
        <v>4.4809282599999989</v>
      </c>
    </row>
    <row r="124" spans="1:8" x14ac:dyDescent="0.3">
      <c r="A124" s="36" t="s">
        <v>1081</v>
      </c>
      <c r="B124" s="33">
        <v>-19.2270711</v>
      </c>
      <c r="C124" s="33">
        <v>-25.1712405</v>
      </c>
      <c r="E124" s="34">
        <f t="shared" si="2"/>
        <v>5.9441693999999998</v>
      </c>
      <c r="F124" s="35">
        <v>42781</v>
      </c>
      <c r="H124" s="34">
        <f t="shared" si="3"/>
        <v>5.9441693999999998</v>
      </c>
    </row>
    <row r="125" spans="1:8" x14ac:dyDescent="0.3">
      <c r="A125" s="36" t="s">
        <v>1082</v>
      </c>
      <c r="B125" s="33">
        <v>-19.540527099999998</v>
      </c>
      <c r="C125" s="33">
        <v>-26.44745872</v>
      </c>
      <c r="E125" s="34">
        <f t="shared" si="2"/>
        <v>6.9069316200000017</v>
      </c>
      <c r="F125" s="35">
        <v>42782</v>
      </c>
      <c r="H125" s="34">
        <f t="shared" si="3"/>
        <v>6.9069316200000017</v>
      </c>
    </row>
    <row r="126" spans="1:8" x14ac:dyDescent="0.3">
      <c r="A126" s="36" t="s">
        <v>1083</v>
      </c>
      <c r="B126" s="33">
        <v>-19.427616</v>
      </c>
      <c r="C126" s="33">
        <v>-28.04776927</v>
      </c>
      <c r="E126" s="34">
        <f t="shared" si="2"/>
        <v>8.6201532699999994</v>
      </c>
      <c r="F126" s="35">
        <v>42783</v>
      </c>
      <c r="H126" s="34">
        <f t="shared" si="3"/>
        <v>8.6201532699999994</v>
      </c>
    </row>
    <row r="127" spans="1:8" x14ac:dyDescent="0.3">
      <c r="A127" s="36" t="s">
        <v>1084</v>
      </c>
      <c r="B127" s="33">
        <v>-20.661427</v>
      </c>
      <c r="C127" s="33">
        <v>-26.795021219999999</v>
      </c>
      <c r="E127" s="34">
        <f t="shared" si="2"/>
        <v>6.1335942199999991</v>
      </c>
      <c r="F127" s="35">
        <v>42784</v>
      </c>
      <c r="H127" s="34">
        <f t="shared" si="3"/>
        <v>6.1335942199999991</v>
      </c>
    </row>
    <row r="128" spans="1:8" x14ac:dyDescent="0.3">
      <c r="A128" s="36" t="s">
        <v>1085</v>
      </c>
      <c r="B128" s="33">
        <v>-19.6757773</v>
      </c>
      <c r="C128" s="33">
        <v>-27.440707530000001</v>
      </c>
      <c r="E128" s="34">
        <f t="shared" si="2"/>
        <v>7.7649302300000009</v>
      </c>
      <c r="F128" s="35">
        <v>42785</v>
      </c>
      <c r="H128" s="34">
        <f t="shared" si="3"/>
        <v>7.7649302300000009</v>
      </c>
    </row>
    <row r="129" spans="1:8" x14ac:dyDescent="0.3">
      <c r="A129" s="36" t="s">
        <v>1086</v>
      </c>
      <c r="B129" s="33">
        <v>-20.343192800000001</v>
      </c>
      <c r="C129" s="33">
        <v>-27.10026195</v>
      </c>
      <c r="E129" s="34">
        <f t="shared" si="2"/>
        <v>6.7570691499999995</v>
      </c>
      <c r="F129" s="35">
        <v>42786</v>
      </c>
      <c r="H129" s="34">
        <f t="shared" si="3"/>
        <v>6.7570691499999995</v>
      </c>
    </row>
    <row r="130" spans="1:8" x14ac:dyDescent="0.3">
      <c r="A130" s="36" t="s">
        <v>1087</v>
      </c>
      <c r="B130" s="33">
        <v>-19.224630300000001</v>
      </c>
      <c r="C130" s="33">
        <v>-25.698609099999999</v>
      </c>
      <c r="E130" s="34">
        <f t="shared" ref="E130:E193" si="4">B130-C130</f>
        <v>6.4739787999999976</v>
      </c>
      <c r="F130" s="35">
        <v>42787</v>
      </c>
      <c r="H130" s="34">
        <f t="shared" si="3"/>
        <v>6.4739787999999976</v>
      </c>
    </row>
    <row r="131" spans="1:8" x14ac:dyDescent="0.3">
      <c r="A131" s="36" t="s">
        <v>1088</v>
      </c>
      <c r="B131" s="33">
        <v>-18.546281199999999</v>
      </c>
      <c r="C131" s="33">
        <v>-25.585450210000001</v>
      </c>
      <c r="E131" s="34">
        <f t="shared" si="4"/>
        <v>7.0391690100000019</v>
      </c>
      <c r="F131" s="35">
        <v>42788</v>
      </c>
      <c r="H131" s="34">
        <f t="shared" ref="H131:H194" si="5">ABS(E131)</f>
        <v>7.0391690100000019</v>
      </c>
    </row>
    <row r="132" spans="1:8" x14ac:dyDescent="0.3">
      <c r="A132" s="36" t="s">
        <v>1089</v>
      </c>
      <c r="B132" s="33">
        <v>-19.028955799999999</v>
      </c>
      <c r="C132" s="33">
        <v>-27.12659618</v>
      </c>
      <c r="E132" s="34">
        <f t="shared" si="4"/>
        <v>8.0976403800000014</v>
      </c>
      <c r="F132" s="35">
        <v>42789</v>
      </c>
      <c r="H132" s="34">
        <f t="shared" si="5"/>
        <v>8.0976403800000014</v>
      </c>
    </row>
    <row r="133" spans="1:8" x14ac:dyDescent="0.3">
      <c r="A133" s="36" t="s">
        <v>1090</v>
      </c>
      <c r="B133" s="33">
        <v>-19.4324774</v>
      </c>
      <c r="C133" s="33">
        <v>-28.57754327</v>
      </c>
      <c r="E133" s="34">
        <f t="shared" si="4"/>
        <v>9.1450658699999998</v>
      </c>
      <c r="F133" s="35">
        <v>42790</v>
      </c>
      <c r="H133" s="34">
        <f t="shared" si="5"/>
        <v>9.1450658699999998</v>
      </c>
    </row>
    <row r="134" spans="1:8" x14ac:dyDescent="0.3">
      <c r="A134" s="36" t="s">
        <v>1091</v>
      </c>
      <c r="B134" s="33">
        <v>-18.7953154</v>
      </c>
      <c r="C134" s="33">
        <v>-28.788370570000001</v>
      </c>
      <c r="E134" s="34">
        <f t="shared" si="4"/>
        <v>9.9930551700000017</v>
      </c>
      <c r="F134" s="35">
        <v>42791</v>
      </c>
      <c r="H134" s="34">
        <f t="shared" si="5"/>
        <v>9.9930551700000017</v>
      </c>
    </row>
    <row r="135" spans="1:8" x14ac:dyDescent="0.3">
      <c r="A135" s="36" t="s">
        <v>1092</v>
      </c>
      <c r="B135" s="33">
        <v>-17.095660299999999</v>
      </c>
      <c r="C135" s="33">
        <v>-29.505642479999999</v>
      </c>
      <c r="E135" s="34">
        <f t="shared" si="4"/>
        <v>12.40998218</v>
      </c>
      <c r="F135" s="35">
        <v>42792</v>
      </c>
      <c r="H135" s="34">
        <f t="shared" si="5"/>
        <v>12.40998218</v>
      </c>
    </row>
    <row r="136" spans="1:8" x14ac:dyDescent="0.3">
      <c r="A136" s="36" t="s">
        <v>1093</v>
      </c>
      <c r="B136" s="33">
        <v>-17.161934800000001</v>
      </c>
      <c r="C136" s="33">
        <v>-28.818919480000002</v>
      </c>
      <c r="E136" s="34">
        <f t="shared" si="4"/>
        <v>11.656984680000001</v>
      </c>
      <c r="F136" s="35">
        <v>42793</v>
      </c>
      <c r="H136" s="34">
        <f t="shared" si="5"/>
        <v>11.656984680000001</v>
      </c>
    </row>
    <row r="137" spans="1:8" x14ac:dyDescent="0.3">
      <c r="A137" s="36" t="s">
        <v>1094</v>
      </c>
      <c r="B137" s="33">
        <v>-18.505238299999998</v>
      </c>
      <c r="C137" s="33">
        <v>-28.728762700000001</v>
      </c>
      <c r="E137" s="34">
        <f t="shared" si="4"/>
        <v>10.223524400000002</v>
      </c>
      <c r="F137" s="35">
        <v>42794</v>
      </c>
      <c r="H137" s="34">
        <f t="shared" si="5"/>
        <v>10.223524400000002</v>
      </c>
    </row>
    <row r="138" spans="1:8" x14ac:dyDescent="0.3">
      <c r="A138" s="36" t="s">
        <v>1095</v>
      </c>
      <c r="B138" s="33">
        <v>-17.1126653</v>
      </c>
      <c r="C138" s="33">
        <v>-29.258268050000002</v>
      </c>
      <c r="E138" s="34">
        <f t="shared" si="4"/>
        <v>12.145602750000002</v>
      </c>
      <c r="F138" s="35">
        <v>42795</v>
      </c>
      <c r="H138" s="34">
        <f t="shared" si="5"/>
        <v>12.145602750000002</v>
      </c>
    </row>
    <row r="139" spans="1:8" x14ac:dyDescent="0.3">
      <c r="A139" s="36" t="s">
        <v>1096</v>
      </c>
      <c r="B139" s="33">
        <v>-17.7798008</v>
      </c>
      <c r="C139" s="33">
        <v>-28.673830949999999</v>
      </c>
      <c r="E139" s="34">
        <f t="shared" si="4"/>
        <v>10.894030149999999</v>
      </c>
      <c r="F139" s="35">
        <v>42796</v>
      </c>
      <c r="H139" s="34">
        <f t="shared" si="5"/>
        <v>10.894030149999999</v>
      </c>
    </row>
    <row r="140" spans="1:8" x14ac:dyDescent="0.3">
      <c r="A140" s="36" t="s">
        <v>1097</v>
      </c>
      <c r="B140" s="33">
        <v>-16.6917212</v>
      </c>
      <c r="C140" s="33">
        <v>-27.42835264</v>
      </c>
      <c r="E140" s="34">
        <f t="shared" si="4"/>
        <v>10.73663144</v>
      </c>
      <c r="F140" s="35">
        <v>42797</v>
      </c>
      <c r="H140" s="34">
        <f t="shared" si="5"/>
        <v>10.73663144</v>
      </c>
    </row>
    <row r="141" spans="1:8" x14ac:dyDescent="0.3">
      <c r="A141" s="36" t="s">
        <v>1098</v>
      </c>
      <c r="B141" s="33">
        <v>-16.532917000000001</v>
      </c>
      <c r="C141" s="33">
        <v>-27.795919980000001</v>
      </c>
      <c r="E141" s="34">
        <f t="shared" si="4"/>
        <v>11.26300298</v>
      </c>
      <c r="F141" s="35">
        <v>42798</v>
      </c>
      <c r="H141" s="34">
        <f t="shared" si="5"/>
        <v>11.26300298</v>
      </c>
    </row>
    <row r="142" spans="1:8" x14ac:dyDescent="0.3">
      <c r="A142" s="36" t="s">
        <v>1099</v>
      </c>
      <c r="B142" s="33">
        <v>-16.498389700000001</v>
      </c>
      <c r="C142" s="33">
        <v>-27.973417820000002</v>
      </c>
      <c r="E142" s="34">
        <f t="shared" si="4"/>
        <v>11.475028120000001</v>
      </c>
      <c r="F142" s="35">
        <v>42799</v>
      </c>
      <c r="H142" s="34">
        <f t="shared" si="5"/>
        <v>11.475028120000001</v>
      </c>
    </row>
    <row r="143" spans="1:8" x14ac:dyDescent="0.3">
      <c r="A143" s="36" t="s">
        <v>1100</v>
      </c>
      <c r="B143" s="33">
        <v>-17.123373699999998</v>
      </c>
      <c r="C143" s="33">
        <v>-27.60603643</v>
      </c>
      <c r="E143" s="34">
        <f t="shared" si="4"/>
        <v>10.482662730000001</v>
      </c>
      <c r="F143" s="35">
        <v>42800</v>
      </c>
      <c r="H143" s="34">
        <f t="shared" si="5"/>
        <v>10.482662730000001</v>
      </c>
    </row>
    <row r="144" spans="1:8" x14ac:dyDescent="0.3">
      <c r="A144" s="36" t="s">
        <v>1101</v>
      </c>
      <c r="B144" s="33">
        <v>-17.124056899999999</v>
      </c>
      <c r="C144" s="33">
        <v>-28.94791305</v>
      </c>
      <c r="E144" s="34">
        <f t="shared" si="4"/>
        <v>11.823856150000001</v>
      </c>
      <c r="F144" s="35">
        <v>42801</v>
      </c>
      <c r="H144" s="34">
        <f t="shared" si="5"/>
        <v>11.823856150000001</v>
      </c>
    </row>
    <row r="145" spans="1:8" x14ac:dyDescent="0.3">
      <c r="A145" s="36" t="s">
        <v>1102</v>
      </c>
      <c r="B145" s="33">
        <v>-18.109720299999999</v>
      </c>
      <c r="C145" s="33">
        <v>-29.496594869999999</v>
      </c>
      <c r="E145" s="34">
        <f t="shared" si="4"/>
        <v>11.38687457</v>
      </c>
      <c r="F145" s="35">
        <v>42802</v>
      </c>
      <c r="H145" s="34">
        <f t="shared" si="5"/>
        <v>11.38687457</v>
      </c>
    </row>
    <row r="146" spans="1:8" x14ac:dyDescent="0.3">
      <c r="A146" s="36" t="s">
        <v>1103</v>
      </c>
      <c r="B146" s="33">
        <v>-18.959986300000001</v>
      </c>
      <c r="C146" s="33">
        <v>-29.309421270000001</v>
      </c>
      <c r="E146" s="34">
        <f t="shared" si="4"/>
        <v>10.349434970000001</v>
      </c>
      <c r="F146" s="35">
        <v>42803</v>
      </c>
      <c r="H146" s="34">
        <f t="shared" si="5"/>
        <v>10.349434970000001</v>
      </c>
    </row>
    <row r="147" spans="1:8" x14ac:dyDescent="0.3">
      <c r="A147" s="36" t="s">
        <v>1104</v>
      </c>
      <c r="B147" s="33">
        <v>-20.759908899999999</v>
      </c>
      <c r="C147" s="33">
        <v>-29.721072199999998</v>
      </c>
      <c r="E147" s="34">
        <f t="shared" si="4"/>
        <v>8.9611632999999991</v>
      </c>
      <c r="F147" s="35">
        <v>42804</v>
      </c>
      <c r="H147" s="34">
        <f t="shared" si="5"/>
        <v>8.9611632999999991</v>
      </c>
    </row>
    <row r="148" spans="1:8" x14ac:dyDescent="0.3">
      <c r="A148" s="36" t="s">
        <v>1105</v>
      </c>
      <c r="B148" s="33">
        <v>-19.109279900000001</v>
      </c>
      <c r="C148" s="33">
        <v>-30.18916011</v>
      </c>
      <c r="E148" s="34">
        <f t="shared" si="4"/>
        <v>11.079880209999999</v>
      </c>
      <c r="F148" s="35">
        <v>42805</v>
      </c>
      <c r="H148" s="34">
        <f t="shared" si="5"/>
        <v>11.079880209999999</v>
      </c>
    </row>
    <row r="149" spans="1:8" x14ac:dyDescent="0.3">
      <c r="A149" s="36" t="s">
        <v>1106</v>
      </c>
      <c r="B149" s="33">
        <v>-18.139271999999998</v>
      </c>
      <c r="C149" s="33">
        <v>-31.234007170000002</v>
      </c>
      <c r="E149" s="34">
        <f t="shared" si="4"/>
        <v>13.094735170000003</v>
      </c>
      <c r="F149" s="35">
        <v>42806</v>
      </c>
      <c r="H149" s="34">
        <f t="shared" si="5"/>
        <v>13.094735170000003</v>
      </c>
    </row>
    <row r="150" spans="1:8" x14ac:dyDescent="0.3">
      <c r="A150" s="36" t="s">
        <v>1107</v>
      </c>
      <c r="B150" s="33">
        <v>-15.486817500000001</v>
      </c>
      <c r="C150" s="33">
        <v>-32.16671839</v>
      </c>
      <c r="E150" s="34">
        <f t="shared" si="4"/>
        <v>16.679900889999999</v>
      </c>
      <c r="F150" s="35">
        <v>42807</v>
      </c>
      <c r="H150" s="34">
        <f t="shared" si="5"/>
        <v>16.679900889999999</v>
      </c>
    </row>
    <row r="151" spans="1:8" x14ac:dyDescent="0.3">
      <c r="A151" s="36" t="s">
        <v>1108</v>
      </c>
      <c r="B151" s="33">
        <v>-15.4654659</v>
      </c>
      <c r="C151" s="33">
        <v>-30.490726989999999</v>
      </c>
      <c r="E151" s="34">
        <f t="shared" si="4"/>
        <v>15.025261089999999</v>
      </c>
      <c r="F151" s="35">
        <v>42808</v>
      </c>
      <c r="H151" s="34">
        <f t="shared" si="5"/>
        <v>15.025261089999999</v>
      </c>
    </row>
    <row r="152" spans="1:8" x14ac:dyDescent="0.3">
      <c r="A152" s="36" t="s">
        <v>1109</v>
      </c>
      <c r="B152" s="33">
        <v>-14.417859999999999</v>
      </c>
      <c r="C152" s="33">
        <v>-29.767048209999999</v>
      </c>
      <c r="E152" s="34">
        <f t="shared" si="4"/>
        <v>15.349188209999999</v>
      </c>
      <c r="F152" s="35">
        <v>42809</v>
      </c>
      <c r="H152" s="34">
        <f t="shared" si="5"/>
        <v>15.349188209999999</v>
      </c>
    </row>
    <row r="153" spans="1:8" x14ac:dyDescent="0.3">
      <c r="A153" s="36" t="s">
        <v>1110</v>
      </c>
      <c r="B153" s="33">
        <v>-14.328446</v>
      </c>
      <c r="C153" s="33">
        <v>-29.20996731</v>
      </c>
      <c r="E153" s="34">
        <f t="shared" si="4"/>
        <v>14.88152131</v>
      </c>
      <c r="F153" s="35">
        <v>42810</v>
      </c>
      <c r="H153" s="34">
        <f t="shared" si="5"/>
        <v>14.88152131</v>
      </c>
    </row>
    <row r="154" spans="1:8" x14ac:dyDescent="0.3">
      <c r="A154" s="36" t="s">
        <v>1111</v>
      </c>
      <c r="B154" s="33">
        <v>-14.1850539</v>
      </c>
      <c r="C154" s="33">
        <v>-30.020603479999998</v>
      </c>
      <c r="E154" s="34">
        <f t="shared" si="4"/>
        <v>15.835549579999999</v>
      </c>
      <c r="F154" s="35">
        <v>42811</v>
      </c>
      <c r="H154" s="34">
        <f t="shared" si="5"/>
        <v>15.835549579999999</v>
      </c>
    </row>
    <row r="155" spans="1:8" x14ac:dyDescent="0.3">
      <c r="A155" s="36" t="s">
        <v>1112</v>
      </c>
      <c r="B155" s="33">
        <v>-14.9291625</v>
      </c>
      <c r="C155" s="33">
        <v>-29.63503965</v>
      </c>
      <c r="E155" s="34">
        <f t="shared" si="4"/>
        <v>14.705877149999999</v>
      </c>
      <c r="F155" s="35">
        <v>42812</v>
      </c>
      <c r="H155" s="34">
        <f t="shared" si="5"/>
        <v>14.705877149999999</v>
      </c>
    </row>
    <row r="156" spans="1:8" x14ac:dyDescent="0.3">
      <c r="A156" s="36" t="s">
        <v>1113</v>
      </c>
      <c r="B156" s="33">
        <v>-15.161244099999999</v>
      </c>
      <c r="C156" s="33">
        <v>-30.2329626</v>
      </c>
      <c r="E156" s="34">
        <f t="shared" si="4"/>
        <v>15.071718500000001</v>
      </c>
      <c r="F156" s="35">
        <v>42813</v>
      </c>
      <c r="H156" s="34">
        <f t="shared" si="5"/>
        <v>15.071718500000001</v>
      </c>
    </row>
    <row r="157" spans="1:8" x14ac:dyDescent="0.3">
      <c r="A157" s="36" t="s">
        <v>1114</v>
      </c>
      <c r="B157" s="33">
        <v>-15.237876200000001</v>
      </c>
      <c r="C157" s="33">
        <v>-29.914725239999999</v>
      </c>
      <c r="E157" s="34">
        <f t="shared" si="4"/>
        <v>14.676849039999999</v>
      </c>
      <c r="F157" s="35">
        <v>42814</v>
      </c>
      <c r="H157" s="34">
        <f t="shared" si="5"/>
        <v>14.676849039999999</v>
      </c>
    </row>
    <row r="158" spans="1:8" x14ac:dyDescent="0.3">
      <c r="A158" s="36" t="s">
        <v>1115</v>
      </c>
      <c r="B158" s="33">
        <v>-16.533234400000001</v>
      </c>
      <c r="C158" s="33">
        <v>-29.7321162</v>
      </c>
      <c r="E158" s="34">
        <f t="shared" si="4"/>
        <v>13.198881799999999</v>
      </c>
      <c r="F158" s="35">
        <v>42815</v>
      </c>
      <c r="H158" s="34">
        <f t="shared" si="5"/>
        <v>13.198881799999999</v>
      </c>
    </row>
    <row r="159" spans="1:8" x14ac:dyDescent="0.3">
      <c r="A159" s="36" t="s">
        <v>1116</v>
      </c>
      <c r="B159" s="33">
        <v>-13.2841874</v>
      </c>
      <c r="C159" s="33">
        <v>-29.660315740000001</v>
      </c>
      <c r="E159" s="34">
        <f t="shared" si="4"/>
        <v>16.376128340000001</v>
      </c>
      <c r="F159" s="35">
        <v>42816</v>
      </c>
      <c r="H159" s="34">
        <f t="shared" si="5"/>
        <v>16.376128340000001</v>
      </c>
    </row>
    <row r="160" spans="1:8" x14ac:dyDescent="0.3">
      <c r="A160" s="36" t="s">
        <v>1117</v>
      </c>
      <c r="B160" s="33">
        <v>-13.087519</v>
      </c>
      <c r="C160" s="33">
        <v>-30.14975067</v>
      </c>
      <c r="E160" s="34">
        <f t="shared" si="4"/>
        <v>17.062231669999999</v>
      </c>
      <c r="F160" s="35">
        <v>42817</v>
      </c>
      <c r="H160" s="34">
        <f t="shared" si="5"/>
        <v>17.062231669999999</v>
      </c>
    </row>
    <row r="161" spans="1:8" x14ac:dyDescent="0.3">
      <c r="A161" s="36" t="s">
        <v>1118</v>
      </c>
      <c r="B161" s="33">
        <v>-12.4667911</v>
      </c>
      <c r="C161" s="33">
        <v>-29.584013349999999</v>
      </c>
      <c r="E161" s="34">
        <f t="shared" si="4"/>
        <v>17.117222249999998</v>
      </c>
      <c r="F161" s="35">
        <v>42818</v>
      </c>
      <c r="H161" s="34">
        <f t="shared" si="5"/>
        <v>17.117222249999998</v>
      </c>
    </row>
    <row r="162" spans="1:8" x14ac:dyDescent="0.3">
      <c r="A162" s="36" t="s">
        <v>1119</v>
      </c>
      <c r="B162" s="33">
        <v>-11.755884699999999</v>
      </c>
      <c r="C162" s="33">
        <v>-30.088665089999999</v>
      </c>
      <c r="E162" s="34">
        <f t="shared" si="4"/>
        <v>18.33278039</v>
      </c>
      <c r="F162" s="35">
        <v>42819</v>
      </c>
      <c r="H162" s="34">
        <f t="shared" si="5"/>
        <v>18.33278039</v>
      </c>
    </row>
    <row r="163" spans="1:8" x14ac:dyDescent="0.3">
      <c r="A163" s="36" t="s">
        <v>1120</v>
      </c>
      <c r="B163" s="33">
        <v>-11.0313652</v>
      </c>
      <c r="C163" s="33">
        <v>-29.705914499999999</v>
      </c>
      <c r="E163" s="34">
        <f t="shared" si="4"/>
        <v>18.674549299999999</v>
      </c>
      <c r="F163" s="35">
        <v>42820</v>
      </c>
      <c r="H163" s="34">
        <f t="shared" si="5"/>
        <v>18.674549299999999</v>
      </c>
    </row>
    <row r="164" spans="1:8" x14ac:dyDescent="0.3">
      <c r="A164" s="36" t="s">
        <v>1121</v>
      </c>
      <c r="B164" s="33">
        <v>-11.3844279</v>
      </c>
      <c r="C164" s="33">
        <v>-29.307501930000001</v>
      </c>
      <c r="E164" s="34">
        <f t="shared" si="4"/>
        <v>17.923074030000002</v>
      </c>
      <c r="F164" s="35">
        <v>42821</v>
      </c>
      <c r="H164" s="34">
        <f t="shared" si="5"/>
        <v>17.923074030000002</v>
      </c>
    </row>
    <row r="165" spans="1:8" x14ac:dyDescent="0.3">
      <c r="A165" s="36" t="s">
        <v>1122</v>
      </c>
      <c r="B165" s="33">
        <v>-10.9189785</v>
      </c>
      <c r="C165" s="33">
        <v>-29.6706085</v>
      </c>
      <c r="E165" s="34">
        <f t="shared" si="4"/>
        <v>18.751629999999999</v>
      </c>
      <c r="F165" s="35">
        <v>42822</v>
      </c>
      <c r="H165" s="34">
        <f t="shared" si="5"/>
        <v>18.751629999999999</v>
      </c>
    </row>
    <row r="166" spans="1:8" x14ac:dyDescent="0.3">
      <c r="A166" s="36" t="s">
        <v>1123</v>
      </c>
      <c r="B166" s="33">
        <v>-9.9939199999999992</v>
      </c>
      <c r="C166" s="33">
        <v>-28.477091959999999</v>
      </c>
      <c r="E166" s="34">
        <f t="shared" si="4"/>
        <v>18.48317196</v>
      </c>
      <c r="F166" s="35">
        <v>42823</v>
      </c>
      <c r="H166" s="34">
        <f t="shared" si="5"/>
        <v>18.48317196</v>
      </c>
    </row>
    <row r="167" spans="1:8" x14ac:dyDescent="0.3">
      <c r="A167" s="36" t="s">
        <v>1124</v>
      </c>
      <c r="B167" s="33">
        <v>-8.2778252000000005</v>
      </c>
      <c r="C167" s="33">
        <v>-27.616040949999999</v>
      </c>
      <c r="E167" s="34">
        <f t="shared" si="4"/>
        <v>19.338215749999996</v>
      </c>
      <c r="F167" s="35">
        <v>42824</v>
      </c>
      <c r="H167" s="34">
        <f t="shared" si="5"/>
        <v>19.338215749999996</v>
      </c>
    </row>
    <row r="168" spans="1:8" x14ac:dyDescent="0.3">
      <c r="A168" s="36" t="s">
        <v>1125</v>
      </c>
      <c r="B168" s="33">
        <v>-8.6983415999999991</v>
      </c>
      <c r="C168" s="33">
        <v>-25.988678610000001</v>
      </c>
      <c r="E168" s="34">
        <f t="shared" si="4"/>
        <v>17.290337010000002</v>
      </c>
      <c r="F168" s="35">
        <v>42825</v>
      </c>
      <c r="H168" s="34">
        <f t="shared" si="5"/>
        <v>17.290337010000002</v>
      </c>
    </row>
    <row r="169" spans="1:8" x14ac:dyDescent="0.3">
      <c r="A169" s="36" t="s">
        <v>1126</v>
      </c>
      <c r="B169" s="33">
        <v>-7.4392718999999996</v>
      </c>
      <c r="C169" s="33">
        <v>-25.062953199999999</v>
      </c>
      <c r="E169" s="34">
        <f t="shared" si="4"/>
        <v>17.623681300000001</v>
      </c>
      <c r="F169" s="35">
        <v>42826</v>
      </c>
      <c r="H169" s="34">
        <f t="shared" si="5"/>
        <v>17.623681300000001</v>
      </c>
    </row>
    <row r="170" spans="1:8" x14ac:dyDescent="0.3">
      <c r="A170" s="36" t="s">
        <v>1127</v>
      </c>
      <c r="B170" s="33">
        <v>-7.0084226999999997</v>
      </c>
      <c r="C170" s="33">
        <v>-23.117370009999998</v>
      </c>
      <c r="E170" s="34">
        <f t="shared" si="4"/>
        <v>16.108947309999998</v>
      </c>
      <c r="F170" s="35">
        <v>42827</v>
      </c>
      <c r="H170" s="34">
        <f t="shared" si="5"/>
        <v>16.108947309999998</v>
      </c>
    </row>
    <row r="171" spans="1:8" x14ac:dyDescent="0.3">
      <c r="A171" s="36" t="s">
        <v>1128</v>
      </c>
      <c r="B171" s="33">
        <v>-5.9424083000000003</v>
      </c>
      <c r="C171" s="33">
        <v>-22.761569789999999</v>
      </c>
      <c r="E171" s="34">
        <f t="shared" si="4"/>
        <v>16.819161489999999</v>
      </c>
      <c r="F171" s="35">
        <v>42828</v>
      </c>
      <c r="H171" s="34">
        <f t="shared" si="5"/>
        <v>16.819161489999999</v>
      </c>
    </row>
    <row r="172" spans="1:8" x14ac:dyDescent="0.3">
      <c r="A172" s="36" t="s">
        <v>1129</v>
      </c>
      <c r="B172" s="33">
        <v>-5.3399362999999997</v>
      </c>
      <c r="C172" s="33">
        <v>-22.958760560000002</v>
      </c>
      <c r="E172" s="34">
        <f t="shared" si="4"/>
        <v>17.618824260000004</v>
      </c>
      <c r="F172" s="35">
        <v>42829</v>
      </c>
      <c r="H172" s="34">
        <f t="shared" si="5"/>
        <v>17.618824260000004</v>
      </c>
    </row>
    <row r="173" spans="1:8" x14ac:dyDescent="0.3">
      <c r="A173" s="36" t="s">
        <v>1130</v>
      </c>
      <c r="B173" s="33">
        <v>-5.4003345999999999</v>
      </c>
      <c r="C173" s="33">
        <v>-22.638073840000001</v>
      </c>
      <c r="E173" s="34">
        <f t="shared" si="4"/>
        <v>17.23773924</v>
      </c>
      <c r="F173" s="35">
        <v>42830</v>
      </c>
      <c r="H173" s="34">
        <f t="shared" si="5"/>
        <v>17.23773924</v>
      </c>
    </row>
    <row r="174" spans="1:8" x14ac:dyDescent="0.3">
      <c r="A174" s="36" t="s">
        <v>1131</v>
      </c>
      <c r="B174" s="33">
        <v>-4.44198</v>
      </c>
      <c r="C174" s="33">
        <v>-22.935150719999999</v>
      </c>
      <c r="E174" s="34">
        <f t="shared" si="4"/>
        <v>18.493170719999998</v>
      </c>
      <c r="F174" s="35">
        <v>42831</v>
      </c>
      <c r="H174" s="34">
        <f t="shared" si="5"/>
        <v>18.493170719999998</v>
      </c>
    </row>
    <row r="175" spans="1:8" x14ac:dyDescent="0.3">
      <c r="A175" s="36" t="s">
        <v>1132</v>
      </c>
      <c r="B175" s="33">
        <v>-4.4147819000000004</v>
      </c>
      <c r="C175" s="33">
        <v>-23.70573396</v>
      </c>
      <c r="E175" s="34">
        <f t="shared" si="4"/>
        <v>19.290952059999999</v>
      </c>
      <c r="F175" s="35">
        <v>42832</v>
      </c>
      <c r="H175" s="34">
        <f t="shared" si="5"/>
        <v>19.290952059999999</v>
      </c>
    </row>
    <row r="176" spans="1:8" x14ac:dyDescent="0.3">
      <c r="A176" s="36" t="s">
        <v>1133</v>
      </c>
      <c r="B176" s="33">
        <v>-2.8163502</v>
      </c>
      <c r="C176" s="33">
        <v>-23.20249256</v>
      </c>
      <c r="E176" s="34">
        <f t="shared" si="4"/>
        <v>20.386142360000001</v>
      </c>
      <c r="F176" s="35">
        <v>42833</v>
      </c>
      <c r="H176" s="34">
        <f t="shared" si="5"/>
        <v>20.386142360000001</v>
      </c>
    </row>
    <row r="177" spans="1:8" x14ac:dyDescent="0.3">
      <c r="A177" s="36" t="s">
        <v>1134</v>
      </c>
      <c r="B177" s="33">
        <v>-3.5862413000000002</v>
      </c>
      <c r="C177" s="33">
        <v>-22.071916139999999</v>
      </c>
      <c r="E177" s="34">
        <f t="shared" si="4"/>
        <v>18.485674839999998</v>
      </c>
      <c r="F177" s="35">
        <v>42834</v>
      </c>
      <c r="H177" s="34">
        <f t="shared" si="5"/>
        <v>18.485674839999998</v>
      </c>
    </row>
    <row r="178" spans="1:8" x14ac:dyDescent="0.3">
      <c r="A178" s="36" t="s">
        <v>1135</v>
      </c>
      <c r="B178" s="33">
        <v>-3.0596249000000002</v>
      </c>
      <c r="C178" s="33">
        <v>-22.808520770000001</v>
      </c>
      <c r="E178" s="34">
        <f t="shared" si="4"/>
        <v>19.748895870000002</v>
      </c>
      <c r="F178" s="35">
        <v>42835</v>
      </c>
      <c r="H178" s="34">
        <f t="shared" si="5"/>
        <v>19.748895870000002</v>
      </c>
    </row>
    <row r="179" spans="1:8" x14ac:dyDescent="0.3">
      <c r="A179" s="36" t="s">
        <v>1136</v>
      </c>
      <c r="B179" s="33">
        <v>-3.6785990000000002</v>
      </c>
      <c r="C179" s="33">
        <v>-22.561687630000002</v>
      </c>
      <c r="E179" s="34">
        <f t="shared" si="4"/>
        <v>18.883088630000003</v>
      </c>
      <c r="F179" s="35">
        <v>42836</v>
      </c>
      <c r="H179" s="34">
        <f t="shared" si="5"/>
        <v>18.883088630000003</v>
      </c>
    </row>
    <row r="180" spans="1:8" x14ac:dyDescent="0.3">
      <c r="A180" s="36" t="s">
        <v>1137</v>
      </c>
      <c r="B180" s="33">
        <v>-3.9193530999999999</v>
      </c>
      <c r="C180" s="33">
        <v>-21.247813919999999</v>
      </c>
      <c r="E180" s="34">
        <f t="shared" si="4"/>
        <v>17.32846082</v>
      </c>
      <c r="F180" s="35">
        <v>42837</v>
      </c>
      <c r="H180" s="34">
        <f t="shared" si="5"/>
        <v>17.32846082</v>
      </c>
    </row>
    <row r="181" spans="1:8" x14ac:dyDescent="0.3">
      <c r="A181" s="36" t="s">
        <v>1138</v>
      </c>
      <c r="B181" s="33">
        <v>-4.8986524999999999</v>
      </c>
      <c r="C181" s="33">
        <v>-19.295257830000001</v>
      </c>
      <c r="E181" s="34">
        <f t="shared" si="4"/>
        <v>14.39660533</v>
      </c>
      <c r="F181" s="35">
        <v>42838</v>
      </c>
      <c r="H181" s="34">
        <f t="shared" si="5"/>
        <v>14.39660533</v>
      </c>
    </row>
    <row r="182" spans="1:8" x14ac:dyDescent="0.3">
      <c r="A182" s="36" t="s">
        <v>1139</v>
      </c>
      <c r="B182" s="33">
        <v>-4.1152913</v>
      </c>
      <c r="C182" s="33">
        <v>-18.055296290000001</v>
      </c>
      <c r="E182" s="34">
        <f t="shared" si="4"/>
        <v>13.940004990000002</v>
      </c>
      <c r="F182" s="35">
        <v>42839</v>
      </c>
      <c r="H182" s="34">
        <f t="shared" si="5"/>
        <v>13.940004990000002</v>
      </c>
    </row>
    <row r="183" spans="1:8" x14ac:dyDescent="0.3">
      <c r="A183" s="36" t="s">
        <v>1140</v>
      </c>
      <c r="B183" s="33">
        <v>-2.1335573000000001</v>
      </c>
      <c r="C183" s="33">
        <v>-18.80386627</v>
      </c>
      <c r="E183" s="34">
        <f t="shared" si="4"/>
        <v>16.670308970000001</v>
      </c>
      <c r="F183" s="35">
        <v>42840</v>
      </c>
      <c r="H183" s="34">
        <f t="shared" si="5"/>
        <v>16.670308970000001</v>
      </c>
    </row>
    <row r="184" spans="1:8" x14ac:dyDescent="0.3">
      <c r="A184" s="36" t="s">
        <v>1141</v>
      </c>
      <c r="B184" s="33">
        <v>-3.2665144000000002</v>
      </c>
      <c r="C184" s="33">
        <v>-19.243816150000001</v>
      </c>
      <c r="E184" s="34">
        <f t="shared" si="4"/>
        <v>15.977301750000001</v>
      </c>
      <c r="F184" s="35">
        <v>42841</v>
      </c>
      <c r="H184" s="34">
        <f t="shared" si="5"/>
        <v>15.977301750000001</v>
      </c>
    </row>
    <row r="185" spans="1:8" x14ac:dyDescent="0.3">
      <c r="A185" s="36" t="s">
        <v>1142</v>
      </c>
      <c r="B185" s="33">
        <v>-4.2067747999999998</v>
      </c>
      <c r="C185" s="33">
        <v>-18.039999900000002</v>
      </c>
      <c r="E185" s="34">
        <f t="shared" si="4"/>
        <v>13.833225100000002</v>
      </c>
      <c r="F185" s="35">
        <v>42842</v>
      </c>
      <c r="H185" s="34">
        <f t="shared" si="5"/>
        <v>13.833225100000002</v>
      </c>
    </row>
    <row r="186" spans="1:8" x14ac:dyDescent="0.3">
      <c r="A186" s="36" t="s">
        <v>1143</v>
      </c>
      <c r="B186" s="33">
        <v>-4.2815212999999996</v>
      </c>
      <c r="C186" s="33">
        <v>-19.328901120000001</v>
      </c>
      <c r="E186" s="34">
        <f t="shared" si="4"/>
        <v>15.047379820000002</v>
      </c>
      <c r="F186" s="35">
        <v>42843</v>
      </c>
      <c r="H186" s="34">
        <f t="shared" si="5"/>
        <v>15.047379820000002</v>
      </c>
    </row>
    <row r="187" spans="1:8" x14ac:dyDescent="0.3">
      <c r="A187" s="36" t="s">
        <v>1144</v>
      </c>
      <c r="B187" s="33">
        <v>-4.0776138</v>
      </c>
      <c r="C187" s="33">
        <v>-19.959000020000001</v>
      </c>
      <c r="E187" s="34">
        <f t="shared" si="4"/>
        <v>15.881386220000001</v>
      </c>
      <c r="F187" s="35">
        <v>42844</v>
      </c>
      <c r="H187" s="34">
        <f t="shared" si="5"/>
        <v>15.881386220000001</v>
      </c>
    </row>
    <row r="188" spans="1:8" x14ac:dyDescent="0.3">
      <c r="A188" s="36" t="s">
        <v>1145</v>
      </c>
      <c r="B188" s="33">
        <v>-3.9044596</v>
      </c>
      <c r="C188" s="33">
        <v>-20.338904589999999</v>
      </c>
      <c r="E188" s="34">
        <f t="shared" si="4"/>
        <v>16.434444989999999</v>
      </c>
      <c r="F188" s="35">
        <v>42845</v>
      </c>
      <c r="H188" s="34">
        <f t="shared" si="5"/>
        <v>16.434444989999999</v>
      </c>
    </row>
    <row r="189" spans="1:8" x14ac:dyDescent="0.3">
      <c r="A189" s="36" t="s">
        <v>1146</v>
      </c>
      <c r="B189" s="33">
        <v>-3.3346174999999998</v>
      </c>
      <c r="C189" s="33">
        <v>-20.282098739999999</v>
      </c>
      <c r="E189" s="34">
        <f t="shared" si="4"/>
        <v>16.947481239999998</v>
      </c>
      <c r="F189" s="35">
        <v>42846</v>
      </c>
      <c r="H189" s="34">
        <f t="shared" si="5"/>
        <v>16.947481239999998</v>
      </c>
    </row>
    <row r="190" spans="1:8" x14ac:dyDescent="0.3">
      <c r="A190" s="36" t="s">
        <v>1147</v>
      </c>
      <c r="B190" s="33">
        <v>-3.8661976</v>
      </c>
      <c r="C190" s="33">
        <v>-20.397550809999998</v>
      </c>
      <c r="E190" s="34">
        <f t="shared" si="4"/>
        <v>16.531353209999999</v>
      </c>
      <c r="F190" s="35">
        <v>42847</v>
      </c>
      <c r="H190" s="34">
        <f t="shared" si="5"/>
        <v>16.531353209999999</v>
      </c>
    </row>
    <row r="191" spans="1:8" x14ac:dyDescent="0.3">
      <c r="A191" s="36" t="s">
        <v>1148</v>
      </c>
      <c r="B191" s="33">
        <v>-3.4496859999999998</v>
      </c>
      <c r="C191" s="33">
        <v>-20.959485749999999</v>
      </c>
      <c r="E191" s="34">
        <f t="shared" si="4"/>
        <v>17.509799749999999</v>
      </c>
      <c r="F191" s="35">
        <v>42848</v>
      </c>
      <c r="H191" s="34">
        <f t="shared" si="5"/>
        <v>17.509799749999999</v>
      </c>
    </row>
    <row r="192" spans="1:8" x14ac:dyDescent="0.3">
      <c r="A192" s="36" t="s">
        <v>1149</v>
      </c>
      <c r="B192" s="33">
        <v>-4.4442903999999999</v>
      </c>
      <c r="C192" s="33">
        <v>-18.906583569999999</v>
      </c>
      <c r="E192" s="34">
        <f t="shared" si="4"/>
        <v>14.462293169999999</v>
      </c>
      <c r="F192" s="35">
        <v>42849</v>
      </c>
      <c r="H192" s="34">
        <f t="shared" si="5"/>
        <v>14.462293169999999</v>
      </c>
    </row>
    <row r="193" spans="1:8" x14ac:dyDescent="0.3">
      <c r="A193" s="36" t="s">
        <v>1150</v>
      </c>
      <c r="B193" s="33">
        <v>-4.9498427999999999</v>
      </c>
      <c r="C193" s="33">
        <v>-17.721784509999999</v>
      </c>
      <c r="E193" s="34">
        <f t="shared" si="4"/>
        <v>12.77194171</v>
      </c>
      <c r="F193" s="35">
        <v>42850</v>
      </c>
      <c r="H193" s="34">
        <f t="shared" si="5"/>
        <v>12.77194171</v>
      </c>
    </row>
    <row r="194" spans="1:8" x14ac:dyDescent="0.3">
      <c r="A194" s="36" t="s">
        <v>1151</v>
      </c>
      <c r="B194" s="33">
        <v>-6.8441669000000003</v>
      </c>
      <c r="C194" s="33">
        <v>-18.691065689999999</v>
      </c>
      <c r="E194" s="34">
        <f t="shared" ref="E194:E257" si="6">B194-C194</f>
        <v>11.846898789999997</v>
      </c>
      <c r="F194" s="35">
        <v>42851</v>
      </c>
      <c r="H194" s="34">
        <f t="shared" si="5"/>
        <v>11.846898789999997</v>
      </c>
    </row>
    <row r="195" spans="1:8" x14ac:dyDescent="0.3">
      <c r="A195" s="36" t="s">
        <v>1152</v>
      </c>
      <c r="B195" s="33">
        <v>-5.6122434999999999</v>
      </c>
      <c r="C195" s="33">
        <v>-18.180002609999999</v>
      </c>
      <c r="E195" s="34">
        <f t="shared" si="6"/>
        <v>12.567759109999999</v>
      </c>
      <c r="F195" s="35">
        <v>42852</v>
      </c>
      <c r="H195" s="34">
        <f t="shared" ref="H195:H258" si="7">ABS(E195)</f>
        <v>12.567759109999999</v>
      </c>
    </row>
    <row r="196" spans="1:8" x14ac:dyDescent="0.3">
      <c r="A196" s="36" t="s">
        <v>1153</v>
      </c>
      <c r="B196" s="33">
        <v>-6.9903256000000003</v>
      </c>
      <c r="C196" s="33">
        <v>-18.530383870000001</v>
      </c>
      <c r="E196" s="34">
        <f t="shared" si="6"/>
        <v>11.540058270000001</v>
      </c>
      <c r="F196" s="35">
        <v>42853</v>
      </c>
      <c r="H196" s="34">
        <f t="shared" si="7"/>
        <v>11.540058270000001</v>
      </c>
    </row>
    <row r="197" spans="1:8" x14ac:dyDescent="0.3">
      <c r="A197" s="36" t="s">
        <v>1154</v>
      </c>
      <c r="B197" s="33">
        <v>-8.2055842999999999</v>
      </c>
      <c r="C197" s="33">
        <v>-17.099000459999999</v>
      </c>
      <c r="E197" s="34">
        <f t="shared" si="6"/>
        <v>8.8934161599999992</v>
      </c>
      <c r="F197" s="35">
        <v>42854</v>
      </c>
      <c r="H197" s="34">
        <f t="shared" si="7"/>
        <v>8.8934161599999992</v>
      </c>
    </row>
    <row r="198" spans="1:8" x14ac:dyDescent="0.3">
      <c r="A198" s="36" t="s">
        <v>1155</v>
      </c>
      <c r="B198" s="33">
        <v>-8.8789268999999997</v>
      </c>
      <c r="C198" s="33">
        <v>-16.888404649999998</v>
      </c>
      <c r="E198" s="34">
        <f t="shared" si="6"/>
        <v>8.0094777499999985</v>
      </c>
      <c r="F198" s="35">
        <v>42855</v>
      </c>
      <c r="H198" s="34">
        <f t="shared" si="7"/>
        <v>8.0094777499999985</v>
      </c>
    </row>
    <row r="199" spans="1:8" x14ac:dyDescent="0.3">
      <c r="A199" s="36" t="s">
        <v>1156</v>
      </c>
      <c r="B199" s="33">
        <v>-6.9306969</v>
      </c>
      <c r="C199" s="33">
        <v>-17.130640580000001</v>
      </c>
      <c r="E199" s="34">
        <f t="shared" si="6"/>
        <v>10.199943680000001</v>
      </c>
      <c r="F199" s="35">
        <v>42856</v>
      </c>
      <c r="H199" s="34">
        <f t="shared" si="7"/>
        <v>10.199943680000001</v>
      </c>
    </row>
    <row r="200" spans="1:8" x14ac:dyDescent="0.3">
      <c r="A200" s="36" t="s">
        <v>1157</v>
      </c>
      <c r="B200" s="33">
        <v>-6.5335207999999998</v>
      </c>
      <c r="C200" s="33">
        <v>-18.98072114</v>
      </c>
      <c r="E200" s="34">
        <f t="shared" si="6"/>
        <v>12.44720034</v>
      </c>
      <c r="F200" s="35">
        <v>42857</v>
      </c>
      <c r="H200" s="34">
        <f t="shared" si="7"/>
        <v>12.44720034</v>
      </c>
    </row>
    <row r="201" spans="1:8" x14ac:dyDescent="0.3">
      <c r="A201" s="36" t="s">
        <v>1158</v>
      </c>
      <c r="B201" s="33">
        <v>-6.2356813000000004</v>
      </c>
      <c r="C201" s="33">
        <v>-17.564859770000002</v>
      </c>
      <c r="E201" s="34">
        <f t="shared" si="6"/>
        <v>11.329178470000002</v>
      </c>
      <c r="F201" s="35">
        <v>42858</v>
      </c>
      <c r="H201" s="34">
        <f t="shared" si="7"/>
        <v>11.329178470000002</v>
      </c>
    </row>
    <row r="202" spans="1:8" x14ac:dyDescent="0.3">
      <c r="A202" s="36" t="s">
        <v>1159</v>
      </c>
      <c r="B202" s="33">
        <v>-7.9393146999999997</v>
      </c>
      <c r="C202" s="33">
        <v>-17.4410615</v>
      </c>
      <c r="E202" s="34">
        <f t="shared" si="6"/>
        <v>9.5017467999999994</v>
      </c>
      <c r="F202" s="35">
        <v>42859</v>
      </c>
      <c r="H202" s="34">
        <f t="shared" si="7"/>
        <v>9.5017467999999994</v>
      </c>
    </row>
    <row r="203" spans="1:8" x14ac:dyDescent="0.3">
      <c r="A203" s="36" t="s">
        <v>1160</v>
      </c>
      <c r="B203" s="33">
        <v>-9.1644530999999994</v>
      </c>
      <c r="C203" s="33">
        <v>-15.84995245</v>
      </c>
      <c r="E203" s="34">
        <f t="shared" si="6"/>
        <v>6.6854993500000006</v>
      </c>
      <c r="F203" s="35">
        <v>42860</v>
      </c>
      <c r="H203" s="34">
        <f t="shared" si="7"/>
        <v>6.6854993500000006</v>
      </c>
    </row>
    <row r="204" spans="1:8" x14ac:dyDescent="0.3">
      <c r="A204" s="36" t="s">
        <v>1161</v>
      </c>
      <c r="B204" s="33">
        <v>-8.7669963000000006</v>
      </c>
      <c r="C204" s="33">
        <v>-15.65672764</v>
      </c>
      <c r="E204" s="34">
        <f t="shared" si="6"/>
        <v>6.8897313399999991</v>
      </c>
      <c r="F204" s="35">
        <v>42861</v>
      </c>
      <c r="H204" s="34">
        <f t="shared" si="7"/>
        <v>6.8897313399999991</v>
      </c>
    </row>
    <row r="205" spans="1:8" x14ac:dyDescent="0.3">
      <c r="A205" s="36" t="s">
        <v>1162</v>
      </c>
      <c r="B205" s="33">
        <v>-9.3645066000000003</v>
      </c>
      <c r="C205" s="33">
        <v>-14.96273895</v>
      </c>
      <c r="E205" s="34">
        <f t="shared" si="6"/>
        <v>5.59823235</v>
      </c>
      <c r="F205" s="35">
        <v>42862</v>
      </c>
      <c r="H205" s="34">
        <f t="shared" si="7"/>
        <v>5.59823235</v>
      </c>
    </row>
    <row r="206" spans="1:8" x14ac:dyDescent="0.3">
      <c r="A206" s="36" t="s">
        <v>1163</v>
      </c>
      <c r="B206" s="33">
        <v>-7.9736269000000002</v>
      </c>
      <c r="C206" s="33">
        <v>-16.297129989999998</v>
      </c>
      <c r="E206" s="34">
        <f t="shared" si="6"/>
        <v>8.3235030899999991</v>
      </c>
      <c r="F206" s="35">
        <v>42863</v>
      </c>
      <c r="H206" s="34">
        <f t="shared" si="7"/>
        <v>8.3235030899999991</v>
      </c>
    </row>
    <row r="207" spans="1:8" x14ac:dyDescent="0.3">
      <c r="A207" s="36" t="s">
        <v>1164</v>
      </c>
      <c r="B207" s="33">
        <v>-7.6237589000000003</v>
      </c>
      <c r="C207" s="33">
        <v>-18.594349709999999</v>
      </c>
      <c r="E207" s="34">
        <f t="shared" si="6"/>
        <v>10.970590809999999</v>
      </c>
      <c r="F207" s="35">
        <v>42864</v>
      </c>
      <c r="H207" s="34">
        <f t="shared" si="7"/>
        <v>10.970590809999999</v>
      </c>
    </row>
    <row r="208" spans="1:8" x14ac:dyDescent="0.3">
      <c r="A208" s="36" t="s">
        <v>1165</v>
      </c>
      <c r="B208" s="33">
        <v>-9.4419993000000009</v>
      </c>
      <c r="C208" s="33">
        <v>-19.517857809999999</v>
      </c>
      <c r="E208" s="34">
        <f t="shared" si="6"/>
        <v>10.075858509999998</v>
      </c>
      <c r="F208" s="35">
        <v>42865</v>
      </c>
      <c r="H208" s="34">
        <f t="shared" si="7"/>
        <v>10.075858509999998</v>
      </c>
    </row>
    <row r="209" spans="1:8" x14ac:dyDescent="0.3">
      <c r="A209" s="36" t="s">
        <v>1166</v>
      </c>
      <c r="B209" s="33">
        <v>-6.4662803999999996</v>
      </c>
      <c r="C209" s="33">
        <v>-20.401593470000002</v>
      </c>
      <c r="E209" s="34">
        <f t="shared" si="6"/>
        <v>13.935313070000003</v>
      </c>
      <c r="F209" s="35">
        <v>42866</v>
      </c>
      <c r="H209" s="34">
        <f t="shared" si="7"/>
        <v>13.935313070000003</v>
      </c>
    </row>
    <row r="210" spans="1:8" x14ac:dyDescent="0.3">
      <c r="A210" s="36" t="s">
        <v>1167</v>
      </c>
      <c r="B210" s="33">
        <v>-6.9241403999999998</v>
      </c>
      <c r="C210" s="33">
        <v>-21.275809679999998</v>
      </c>
      <c r="E210" s="34">
        <f t="shared" si="6"/>
        <v>14.351669279999999</v>
      </c>
      <c r="F210" s="35">
        <v>42867</v>
      </c>
      <c r="H210" s="34">
        <f t="shared" si="7"/>
        <v>14.351669279999999</v>
      </c>
    </row>
    <row r="211" spans="1:8" x14ac:dyDescent="0.3">
      <c r="A211" s="36" t="s">
        <v>1168</v>
      </c>
      <c r="B211" s="33">
        <v>-7.5737854000000002</v>
      </c>
      <c r="C211" s="33">
        <v>-20.514070570000001</v>
      </c>
      <c r="E211" s="34">
        <f t="shared" si="6"/>
        <v>12.940285170000001</v>
      </c>
      <c r="F211" s="35">
        <v>42868</v>
      </c>
      <c r="H211" s="34">
        <f t="shared" si="7"/>
        <v>12.940285170000001</v>
      </c>
    </row>
    <row r="212" spans="1:8" x14ac:dyDescent="0.3">
      <c r="A212" s="36" t="s">
        <v>1169</v>
      </c>
      <c r="B212" s="33">
        <v>-8.8531733999999993</v>
      </c>
      <c r="C212" s="33">
        <v>-18.827260169999999</v>
      </c>
      <c r="E212" s="34">
        <f t="shared" si="6"/>
        <v>9.9740867699999995</v>
      </c>
      <c r="F212" s="35">
        <v>42869</v>
      </c>
      <c r="H212" s="34">
        <f t="shared" si="7"/>
        <v>9.9740867699999995</v>
      </c>
    </row>
    <row r="213" spans="1:8" x14ac:dyDescent="0.3">
      <c r="A213" s="36" t="s">
        <v>1170</v>
      </c>
      <c r="B213" s="33">
        <v>-9.2724531999999993</v>
      </c>
      <c r="C213" s="33">
        <v>-19.413920640000001</v>
      </c>
      <c r="E213" s="34">
        <f t="shared" si="6"/>
        <v>10.141467440000001</v>
      </c>
      <c r="F213" s="35">
        <v>42870</v>
      </c>
      <c r="H213" s="34">
        <f t="shared" si="7"/>
        <v>10.141467440000001</v>
      </c>
    </row>
    <row r="214" spans="1:8" x14ac:dyDescent="0.3">
      <c r="A214" s="36" t="s">
        <v>1171</v>
      </c>
      <c r="B214" s="33">
        <v>-9.2037396999999999</v>
      </c>
      <c r="C214" s="33">
        <v>-20.445885669999999</v>
      </c>
      <c r="E214" s="34">
        <f t="shared" si="6"/>
        <v>11.242145969999999</v>
      </c>
      <c r="F214" s="35">
        <v>42871</v>
      </c>
      <c r="H214" s="34">
        <f t="shared" si="7"/>
        <v>11.242145969999999</v>
      </c>
    </row>
    <row r="215" spans="1:8" x14ac:dyDescent="0.3">
      <c r="A215" s="36" t="s">
        <v>1172</v>
      </c>
      <c r="B215" s="33">
        <v>-11.070006899999999</v>
      </c>
      <c r="C215" s="33">
        <v>-18.812131730000001</v>
      </c>
      <c r="E215" s="34">
        <f t="shared" si="6"/>
        <v>7.7421248300000016</v>
      </c>
      <c r="F215" s="35">
        <v>42872</v>
      </c>
      <c r="H215" s="34">
        <f t="shared" si="7"/>
        <v>7.7421248300000016</v>
      </c>
    </row>
    <row r="216" spans="1:8" x14ac:dyDescent="0.3">
      <c r="A216" s="36" t="s">
        <v>1173</v>
      </c>
      <c r="B216" s="33">
        <v>-12.2299244</v>
      </c>
      <c r="C216" s="33">
        <v>-17.750422830000002</v>
      </c>
      <c r="E216" s="34">
        <f t="shared" si="6"/>
        <v>5.5204984300000017</v>
      </c>
      <c r="F216" s="35">
        <v>42873</v>
      </c>
      <c r="H216" s="34">
        <f t="shared" si="7"/>
        <v>5.5204984300000017</v>
      </c>
    </row>
    <row r="217" spans="1:8" x14ac:dyDescent="0.3">
      <c r="A217" s="36" t="s">
        <v>1174</v>
      </c>
      <c r="B217" s="33">
        <v>-12.318223700000001</v>
      </c>
      <c r="C217" s="33">
        <v>-19.665692809999999</v>
      </c>
      <c r="E217" s="34">
        <f t="shared" si="6"/>
        <v>7.3474691099999987</v>
      </c>
      <c r="F217" s="35">
        <v>42874</v>
      </c>
      <c r="H217" s="34">
        <f t="shared" si="7"/>
        <v>7.3474691099999987</v>
      </c>
    </row>
    <row r="218" spans="1:8" x14ac:dyDescent="0.3">
      <c r="A218" s="36" t="s">
        <v>1175</v>
      </c>
      <c r="B218" s="33">
        <v>-11.0672313</v>
      </c>
      <c r="C218" s="33">
        <v>-19.9607405</v>
      </c>
      <c r="E218" s="34">
        <f t="shared" si="6"/>
        <v>8.8935092000000004</v>
      </c>
      <c r="F218" s="35">
        <v>42875</v>
      </c>
      <c r="H218" s="34">
        <f t="shared" si="7"/>
        <v>8.8935092000000004</v>
      </c>
    </row>
    <row r="219" spans="1:8" x14ac:dyDescent="0.3">
      <c r="A219" s="36" t="s">
        <v>1176</v>
      </c>
      <c r="B219" s="33">
        <v>-11.7537077</v>
      </c>
      <c r="C219" s="33">
        <v>-20.810867219999999</v>
      </c>
      <c r="E219" s="34">
        <f t="shared" si="6"/>
        <v>9.057159519999999</v>
      </c>
      <c r="F219" s="35">
        <v>42876</v>
      </c>
      <c r="H219" s="34">
        <f t="shared" si="7"/>
        <v>9.057159519999999</v>
      </c>
    </row>
    <row r="220" spans="1:8" x14ac:dyDescent="0.3">
      <c r="A220" s="36" t="s">
        <v>1177</v>
      </c>
      <c r="B220" s="33">
        <v>-10.364840600000001</v>
      </c>
      <c r="C220" s="33">
        <v>-23.386548810000001</v>
      </c>
      <c r="E220" s="34">
        <f t="shared" si="6"/>
        <v>13.02170821</v>
      </c>
      <c r="F220" s="35">
        <v>42877</v>
      </c>
      <c r="H220" s="34">
        <f t="shared" si="7"/>
        <v>13.02170821</v>
      </c>
    </row>
    <row r="221" spans="1:8" x14ac:dyDescent="0.3">
      <c r="A221" s="36" t="s">
        <v>1178</v>
      </c>
      <c r="B221" s="33">
        <v>-10.779283899999999</v>
      </c>
      <c r="C221" s="33">
        <v>-23.452066649999999</v>
      </c>
      <c r="E221" s="34">
        <f t="shared" si="6"/>
        <v>12.67278275</v>
      </c>
      <c r="F221" s="35">
        <v>42878</v>
      </c>
      <c r="H221" s="34">
        <f t="shared" si="7"/>
        <v>12.67278275</v>
      </c>
    </row>
    <row r="222" spans="1:8" x14ac:dyDescent="0.3">
      <c r="A222" s="36" t="s">
        <v>1179</v>
      </c>
      <c r="B222" s="33">
        <v>-10.9791542</v>
      </c>
      <c r="C222" s="33">
        <v>-24.02890442</v>
      </c>
      <c r="E222" s="34">
        <f t="shared" si="6"/>
        <v>13.04975022</v>
      </c>
      <c r="F222" s="35">
        <v>42879</v>
      </c>
      <c r="H222" s="34">
        <f t="shared" si="7"/>
        <v>13.04975022</v>
      </c>
    </row>
    <row r="223" spans="1:8" x14ac:dyDescent="0.3">
      <c r="A223" s="36" t="s">
        <v>1180</v>
      </c>
      <c r="B223" s="33">
        <v>-11.787553900000001</v>
      </c>
      <c r="C223" s="33">
        <v>-23.052997730000001</v>
      </c>
      <c r="E223" s="34">
        <f t="shared" si="6"/>
        <v>11.265443830000001</v>
      </c>
      <c r="F223" s="35">
        <v>42880</v>
      </c>
      <c r="H223" s="34">
        <f t="shared" si="7"/>
        <v>11.265443830000001</v>
      </c>
    </row>
    <row r="224" spans="1:8" x14ac:dyDescent="0.3">
      <c r="A224" s="36" t="s">
        <v>1181</v>
      </c>
      <c r="B224" s="33">
        <v>-11.2455327</v>
      </c>
      <c r="C224" s="33">
        <v>-22.677262120000002</v>
      </c>
      <c r="E224" s="34">
        <f t="shared" si="6"/>
        <v>11.431729420000002</v>
      </c>
      <c r="F224" s="35">
        <v>42881</v>
      </c>
      <c r="H224" s="34">
        <f t="shared" si="7"/>
        <v>11.431729420000002</v>
      </c>
    </row>
    <row r="225" spans="1:8" x14ac:dyDescent="0.3">
      <c r="A225" s="36" t="s">
        <v>1182</v>
      </c>
      <c r="B225" s="33">
        <v>-9.8629519999999999</v>
      </c>
      <c r="C225" s="33">
        <v>-22.884357470000001</v>
      </c>
      <c r="E225" s="34">
        <f t="shared" si="6"/>
        <v>13.021405470000001</v>
      </c>
      <c r="F225" s="35">
        <v>42882</v>
      </c>
      <c r="H225" s="34">
        <f t="shared" si="7"/>
        <v>13.021405470000001</v>
      </c>
    </row>
    <row r="226" spans="1:8" x14ac:dyDescent="0.3">
      <c r="A226" s="36" t="s">
        <v>1183</v>
      </c>
      <c r="B226" s="33">
        <v>-10.749912</v>
      </c>
      <c r="C226" s="33">
        <v>-23.645137869999999</v>
      </c>
      <c r="E226" s="34">
        <f t="shared" si="6"/>
        <v>12.895225869999999</v>
      </c>
      <c r="F226" s="35">
        <v>42883</v>
      </c>
      <c r="H226" s="34">
        <f t="shared" si="7"/>
        <v>12.895225869999999</v>
      </c>
    </row>
    <row r="227" spans="1:8" x14ac:dyDescent="0.3">
      <c r="A227" s="36" t="s">
        <v>1184</v>
      </c>
      <c r="B227" s="33">
        <v>-13.028985499999999</v>
      </c>
      <c r="C227" s="33">
        <v>-24.965734609999998</v>
      </c>
      <c r="E227" s="34">
        <f t="shared" si="6"/>
        <v>11.936749109999999</v>
      </c>
      <c r="F227" s="35">
        <v>42884</v>
      </c>
      <c r="H227" s="34">
        <f t="shared" si="7"/>
        <v>11.936749109999999</v>
      </c>
    </row>
    <row r="228" spans="1:8" x14ac:dyDescent="0.3">
      <c r="A228" s="36" t="s">
        <v>1185</v>
      </c>
      <c r="B228" s="33">
        <v>-14.559429</v>
      </c>
      <c r="C228" s="33">
        <v>-25.464709419999998</v>
      </c>
      <c r="E228" s="34">
        <f t="shared" si="6"/>
        <v>10.905280419999999</v>
      </c>
      <c r="F228" s="35">
        <v>42885</v>
      </c>
      <c r="H228" s="34">
        <f t="shared" si="7"/>
        <v>10.905280419999999</v>
      </c>
    </row>
    <row r="229" spans="1:8" x14ac:dyDescent="0.3">
      <c r="A229" s="36" t="s">
        <v>1186</v>
      </c>
      <c r="B229" s="33">
        <v>-12.293442600000001</v>
      </c>
      <c r="C229" s="33">
        <v>-24.904832549999998</v>
      </c>
      <c r="E229" s="34">
        <f t="shared" si="6"/>
        <v>12.611389949999998</v>
      </c>
      <c r="F229" s="35">
        <v>42886</v>
      </c>
      <c r="H229" s="34">
        <f t="shared" si="7"/>
        <v>12.611389949999998</v>
      </c>
    </row>
    <row r="230" spans="1:8" x14ac:dyDescent="0.3">
      <c r="A230" s="36" t="s">
        <v>1187</v>
      </c>
      <c r="B230" s="33">
        <v>-11.792198300000001</v>
      </c>
      <c r="C230" s="33">
        <v>-22.642166700000001</v>
      </c>
      <c r="E230" s="34">
        <f t="shared" si="6"/>
        <v>10.8499684</v>
      </c>
      <c r="F230" s="35">
        <v>42887</v>
      </c>
      <c r="H230" s="34">
        <f t="shared" si="7"/>
        <v>10.8499684</v>
      </c>
    </row>
    <row r="231" spans="1:8" x14ac:dyDescent="0.3">
      <c r="A231" s="36" t="s">
        <v>1188</v>
      </c>
      <c r="B231" s="33">
        <v>-11.7201412</v>
      </c>
      <c r="C231" s="33">
        <v>-23.352374990000001</v>
      </c>
      <c r="E231" s="34">
        <f t="shared" si="6"/>
        <v>11.632233790000001</v>
      </c>
      <c r="F231" s="35">
        <v>42888</v>
      </c>
      <c r="H231" s="34">
        <f t="shared" si="7"/>
        <v>11.632233790000001</v>
      </c>
    </row>
    <row r="232" spans="1:8" x14ac:dyDescent="0.3">
      <c r="A232" s="36" t="s">
        <v>1189</v>
      </c>
      <c r="B232" s="33">
        <v>-11.6945263</v>
      </c>
      <c r="C232" s="33">
        <v>-23.239090350000001</v>
      </c>
      <c r="E232" s="34">
        <f t="shared" si="6"/>
        <v>11.544564050000002</v>
      </c>
      <c r="F232" s="35">
        <v>42889</v>
      </c>
      <c r="H232" s="34">
        <f t="shared" si="7"/>
        <v>11.544564050000002</v>
      </c>
    </row>
    <row r="233" spans="1:8" x14ac:dyDescent="0.3">
      <c r="A233" s="36" t="s">
        <v>1190</v>
      </c>
      <c r="B233" s="33">
        <v>-10.8563215</v>
      </c>
      <c r="C233" s="33">
        <v>-24.198444110000001</v>
      </c>
      <c r="E233" s="34">
        <f t="shared" si="6"/>
        <v>13.342122610000001</v>
      </c>
      <c r="F233" s="35">
        <v>42890</v>
      </c>
      <c r="H233" s="34">
        <f t="shared" si="7"/>
        <v>13.342122610000001</v>
      </c>
    </row>
    <row r="234" spans="1:8" x14ac:dyDescent="0.3">
      <c r="A234" s="36" t="s">
        <v>1191</v>
      </c>
      <c r="B234" s="33">
        <v>-9.7641998999999995</v>
      </c>
      <c r="C234" s="33">
        <v>-24.970082779999998</v>
      </c>
      <c r="E234" s="34">
        <f t="shared" si="6"/>
        <v>15.205882879999999</v>
      </c>
      <c r="F234" s="35">
        <v>42891</v>
      </c>
      <c r="H234" s="34">
        <f t="shared" si="7"/>
        <v>15.205882879999999</v>
      </c>
    </row>
    <row r="235" spans="1:8" x14ac:dyDescent="0.3">
      <c r="A235" s="36" t="s">
        <v>1192</v>
      </c>
      <c r="B235" s="33">
        <v>-8.7970641999999994</v>
      </c>
      <c r="C235" s="33">
        <v>-24.135430039999999</v>
      </c>
      <c r="E235" s="34">
        <f t="shared" si="6"/>
        <v>15.33836584</v>
      </c>
      <c r="F235" s="35">
        <v>42892</v>
      </c>
      <c r="H235" s="34">
        <f t="shared" si="7"/>
        <v>15.33836584</v>
      </c>
    </row>
    <row r="236" spans="1:8" x14ac:dyDescent="0.3">
      <c r="A236" s="36" t="s">
        <v>1193</v>
      </c>
      <c r="B236" s="33">
        <v>-8.4423765</v>
      </c>
      <c r="C236" s="33">
        <v>-24.408508869999999</v>
      </c>
      <c r="E236" s="34">
        <f t="shared" si="6"/>
        <v>15.966132369999999</v>
      </c>
      <c r="F236" s="35">
        <v>42893</v>
      </c>
      <c r="H236" s="34">
        <f t="shared" si="7"/>
        <v>15.966132369999999</v>
      </c>
    </row>
    <row r="237" spans="1:8" x14ac:dyDescent="0.3">
      <c r="A237" s="36" t="s">
        <v>1194</v>
      </c>
      <c r="B237" s="33">
        <v>-10.024434899999999</v>
      </c>
      <c r="C237" s="33">
        <v>-23.85028015</v>
      </c>
      <c r="E237" s="34">
        <f t="shared" si="6"/>
        <v>13.82584525</v>
      </c>
      <c r="F237" s="35">
        <v>42894</v>
      </c>
      <c r="H237" s="34">
        <f t="shared" si="7"/>
        <v>13.82584525</v>
      </c>
    </row>
    <row r="238" spans="1:8" x14ac:dyDescent="0.3">
      <c r="A238" s="36" t="s">
        <v>1195</v>
      </c>
      <c r="B238" s="33">
        <v>-9.4509512999999998</v>
      </c>
      <c r="C238" s="33">
        <v>-23.428448830000001</v>
      </c>
      <c r="E238" s="34">
        <f t="shared" si="6"/>
        <v>13.977497530000001</v>
      </c>
      <c r="F238" s="35">
        <v>42895</v>
      </c>
      <c r="H238" s="34">
        <f t="shared" si="7"/>
        <v>13.977497530000001</v>
      </c>
    </row>
    <row r="239" spans="1:8" x14ac:dyDescent="0.3">
      <c r="A239" s="36" t="s">
        <v>1196</v>
      </c>
      <c r="B239" s="33">
        <v>-10.111259499999999</v>
      </c>
      <c r="C239" s="33">
        <v>-23.180322090000001</v>
      </c>
      <c r="E239" s="34">
        <f t="shared" si="6"/>
        <v>13.069062590000001</v>
      </c>
      <c r="F239" s="35">
        <v>42896</v>
      </c>
      <c r="H239" s="34">
        <f t="shared" si="7"/>
        <v>13.069062590000001</v>
      </c>
    </row>
    <row r="240" spans="1:8" x14ac:dyDescent="0.3">
      <c r="A240" s="36" t="s">
        <v>1197</v>
      </c>
      <c r="B240" s="33">
        <v>-12.0253663</v>
      </c>
      <c r="C240" s="33">
        <v>-21.774253120000001</v>
      </c>
      <c r="E240" s="34">
        <f t="shared" si="6"/>
        <v>9.748886820000001</v>
      </c>
      <c r="F240" s="35">
        <v>42897</v>
      </c>
      <c r="H240" s="34">
        <f t="shared" si="7"/>
        <v>9.748886820000001</v>
      </c>
    </row>
    <row r="241" spans="1:8" x14ac:dyDescent="0.3">
      <c r="A241" s="36" t="s">
        <v>1198</v>
      </c>
      <c r="B241" s="33">
        <v>-12.7145916</v>
      </c>
      <c r="C241" s="33">
        <v>-22.634900600000002</v>
      </c>
      <c r="E241" s="34">
        <f t="shared" si="6"/>
        <v>9.9203090000000014</v>
      </c>
      <c r="F241" s="35">
        <v>42898</v>
      </c>
      <c r="H241" s="34">
        <f t="shared" si="7"/>
        <v>9.9203090000000014</v>
      </c>
    </row>
    <row r="242" spans="1:8" x14ac:dyDescent="0.3">
      <c r="A242" s="36" t="s">
        <v>1199</v>
      </c>
      <c r="B242" s="33">
        <v>-12.4023352</v>
      </c>
      <c r="C242" s="33">
        <v>-22.325022239999999</v>
      </c>
      <c r="E242" s="34">
        <f t="shared" si="6"/>
        <v>9.9226870399999996</v>
      </c>
      <c r="F242" s="35">
        <v>42899</v>
      </c>
      <c r="H242" s="34">
        <f t="shared" si="7"/>
        <v>9.9226870399999996</v>
      </c>
    </row>
    <row r="243" spans="1:8" x14ac:dyDescent="0.3">
      <c r="A243" s="36" t="s">
        <v>1200</v>
      </c>
      <c r="B243" s="33">
        <v>-13.8626556</v>
      </c>
      <c r="C243" s="33">
        <v>-21.307093739999999</v>
      </c>
      <c r="E243" s="34">
        <f t="shared" si="6"/>
        <v>7.444438139999999</v>
      </c>
      <c r="F243" s="35">
        <v>42900</v>
      </c>
      <c r="H243" s="34">
        <f t="shared" si="7"/>
        <v>7.444438139999999</v>
      </c>
    </row>
    <row r="244" spans="1:8" x14ac:dyDescent="0.3">
      <c r="A244" s="36" t="s">
        <v>1201</v>
      </c>
      <c r="B244" s="33">
        <v>-14.8454309</v>
      </c>
      <c r="C244" s="33">
        <v>-21.95805524</v>
      </c>
      <c r="E244" s="34">
        <f t="shared" si="6"/>
        <v>7.11262434</v>
      </c>
      <c r="F244" s="35">
        <v>42901</v>
      </c>
      <c r="H244" s="34">
        <f t="shared" si="7"/>
        <v>7.11262434</v>
      </c>
    </row>
    <row r="245" spans="1:8" x14ac:dyDescent="0.3">
      <c r="A245" s="36" t="s">
        <v>1202</v>
      </c>
      <c r="B245" s="33">
        <v>-14.701658800000001</v>
      </c>
      <c r="C245" s="33">
        <v>-22.684152959999999</v>
      </c>
      <c r="E245" s="34">
        <f t="shared" si="6"/>
        <v>7.9824941599999981</v>
      </c>
      <c r="F245" s="35">
        <v>42902</v>
      </c>
      <c r="H245" s="34">
        <f t="shared" si="7"/>
        <v>7.9824941599999981</v>
      </c>
    </row>
    <row r="246" spans="1:8" x14ac:dyDescent="0.3">
      <c r="A246" s="36" t="s">
        <v>1203</v>
      </c>
      <c r="B246" s="33">
        <v>-15.085769600000001</v>
      </c>
      <c r="C246" s="33">
        <v>-22.3038299</v>
      </c>
      <c r="E246" s="34">
        <f t="shared" si="6"/>
        <v>7.2180602999999994</v>
      </c>
      <c r="F246" s="35">
        <v>42903</v>
      </c>
      <c r="H246" s="34">
        <f t="shared" si="7"/>
        <v>7.2180602999999994</v>
      </c>
    </row>
    <row r="247" spans="1:8" x14ac:dyDescent="0.3">
      <c r="A247" s="36" t="s">
        <v>1204</v>
      </c>
      <c r="B247" s="33">
        <v>-16.786672200000002</v>
      </c>
      <c r="C247" s="33">
        <v>-22.499382409999999</v>
      </c>
      <c r="E247" s="34">
        <f t="shared" si="6"/>
        <v>5.7127102099999973</v>
      </c>
      <c r="F247" s="35">
        <v>42904</v>
      </c>
      <c r="H247" s="34">
        <f t="shared" si="7"/>
        <v>5.7127102099999973</v>
      </c>
    </row>
    <row r="248" spans="1:8" x14ac:dyDescent="0.3">
      <c r="A248" s="36" t="s">
        <v>1205</v>
      </c>
      <c r="B248" s="33">
        <v>-16.072025</v>
      </c>
      <c r="C248" s="33">
        <v>-22.061980420000001</v>
      </c>
      <c r="E248" s="34">
        <f t="shared" si="6"/>
        <v>5.9899554200000011</v>
      </c>
      <c r="F248" s="35">
        <v>42905</v>
      </c>
      <c r="H248" s="34">
        <f t="shared" si="7"/>
        <v>5.9899554200000011</v>
      </c>
    </row>
    <row r="249" spans="1:8" x14ac:dyDescent="0.3">
      <c r="A249" s="36" t="s">
        <v>1206</v>
      </c>
      <c r="B249" s="33">
        <v>-16.115320700000002</v>
      </c>
      <c r="C249" s="33">
        <v>-20.209590680000002</v>
      </c>
      <c r="E249" s="34">
        <f t="shared" si="6"/>
        <v>4.09426998</v>
      </c>
      <c r="F249" s="35">
        <v>42906</v>
      </c>
      <c r="H249" s="34">
        <f t="shared" si="7"/>
        <v>4.09426998</v>
      </c>
    </row>
    <row r="250" spans="1:8" x14ac:dyDescent="0.3">
      <c r="A250" s="36" t="s">
        <v>1207</v>
      </c>
      <c r="B250" s="33">
        <v>-14.1884289</v>
      </c>
      <c r="C250" s="33">
        <v>-21.147710060000001</v>
      </c>
      <c r="E250" s="34">
        <f t="shared" si="6"/>
        <v>6.9592811600000015</v>
      </c>
      <c r="F250" s="35">
        <v>42907</v>
      </c>
      <c r="H250" s="34">
        <f t="shared" si="7"/>
        <v>6.9592811600000015</v>
      </c>
    </row>
    <row r="251" spans="1:8" x14ac:dyDescent="0.3">
      <c r="A251" s="36" t="s">
        <v>1208</v>
      </c>
      <c r="B251" s="33">
        <v>-14.9540173</v>
      </c>
      <c r="C251" s="33">
        <v>-20.77861661</v>
      </c>
      <c r="E251" s="34">
        <f t="shared" si="6"/>
        <v>5.82459931</v>
      </c>
      <c r="F251" s="35">
        <v>42908</v>
      </c>
      <c r="H251" s="34">
        <f t="shared" si="7"/>
        <v>5.82459931</v>
      </c>
    </row>
    <row r="252" spans="1:8" x14ac:dyDescent="0.3">
      <c r="A252" s="36" t="s">
        <v>1209</v>
      </c>
      <c r="B252" s="33">
        <v>-15.5376622</v>
      </c>
      <c r="C252" s="33">
        <v>-21.419108619999999</v>
      </c>
      <c r="E252" s="34">
        <f t="shared" si="6"/>
        <v>5.8814464199999996</v>
      </c>
      <c r="F252" s="35">
        <v>42909</v>
      </c>
      <c r="H252" s="34">
        <f t="shared" si="7"/>
        <v>5.8814464199999996</v>
      </c>
    </row>
    <row r="253" spans="1:8" x14ac:dyDescent="0.3">
      <c r="A253" s="36" t="s">
        <v>1210</v>
      </c>
      <c r="B253" s="33">
        <v>-16.253682900000001</v>
      </c>
      <c r="C253" s="33">
        <v>-23.37960606</v>
      </c>
      <c r="E253" s="34">
        <f t="shared" si="6"/>
        <v>7.1259231599999993</v>
      </c>
      <c r="F253" s="35">
        <v>42910</v>
      </c>
      <c r="H253" s="34">
        <f t="shared" si="7"/>
        <v>7.1259231599999993</v>
      </c>
    </row>
    <row r="254" spans="1:8" x14ac:dyDescent="0.3">
      <c r="A254" s="36" t="s">
        <v>1211</v>
      </c>
      <c r="B254" s="33">
        <v>-14.636893300000001</v>
      </c>
      <c r="C254" s="33">
        <v>-22.972155480000001</v>
      </c>
      <c r="E254" s="34">
        <f t="shared" si="6"/>
        <v>8.3352621800000009</v>
      </c>
      <c r="F254" s="35">
        <v>42911</v>
      </c>
      <c r="H254" s="34">
        <f t="shared" si="7"/>
        <v>8.3352621800000009</v>
      </c>
    </row>
    <row r="255" spans="1:8" x14ac:dyDescent="0.3">
      <c r="A255" s="36" t="s">
        <v>1212</v>
      </c>
      <c r="B255" s="33">
        <v>-14.335024600000001</v>
      </c>
      <c r="C255" s="33">
        <v>-22.414606119999998</v>
      </c>
      <c r="E255" s="34">
        <f t="shared" si="6"/>
        <v>8.0795815199999979</v>
      </c>
      <c r="F255" s="35">
        <v>42912</v>
      </c>
      <c r="H255" s="34">
        <f t="shared" si="7"/>
        <v>8.0795815199999979</v>
      </c>
    </row>
    <row r="256" spans="1:8" x14ac:dyDescent="0.3">
      <c r="A256" s="36" t="s">
        <v>1213</v>
      </c>
      <c r="B256" s="33">
        <v>-16.733569599999999</v>
      </c>
      <c r="C256" s="33">
        <v>-21.020582529999999</v>
      </c>
      <c r="E256" s="34">
        <f t="shared" si="6"/>
        <v>4.2870129299999995</v>
      </c>
      <c r="F256" s="35">
        <v>42913</v>
      </c>
      <c r="H256" s="34">
        <f t="shared" si="7"/>
        <v>4.2870129299999995</v>
      </c>
    </row>
    <row r="257" spans="1:8" x14ac:dyDescent="0.3">
      <c r="A257" s="36" t="s">
        <v>1214</v>
      </c>
      <c r="B257" s="33">
        <v>-15.4994064</v>
      </c>
      <c r="C257" s="33">
        <v>-20.90384383</v>
      </c>
      <c r="E257" s="34">
        <f t="shared" si="6"/>
        <v>5.4044374299999998</v>
      </c>
      <c r="F257" s="35">
        <v>42914</v>
      </c>
      <c r="H257" s="34">
        <f t="shared" si="7"/>
        <v>5.4044374299999998</v>
      </c>
    </row>
    <row r="258" spans="1:8" x14ac:dyDescent="0.3">
      <c r="A258" s="36" t="s">
        <v>1215</v>
      </c>
      <c r="B258" s="33">
        <v>-15.0169497</v>
      </c>
      <c r="C258" s="33">
        <v>-21.15993984</v>
      </c>
      <c r="E258" s="34">
        <f t="shared" ref="E258:E321" si="8">B258-C258</f>
        <v>6.1429901400000002</v>
      </c>
      <c r="F258" s="35">
        <v>42915</v>
      </c>
      <c r="H258" s="34">
        <f t="shared" si="7"/>
        <v>6.1429901400000002</v>
      </c>
    </row>
    <row r="259" spans="1:8" x14ac:dyDescent="0.3">
      <c r="A259" s="36" t="s">
        <v>1216</v>
      </c>
      <c r="B259" s="33">
        <v>-15.226865099999999</v>
      </c>
      <c r="C259" s="33">
        <v>-22.869768149999999</v>
      </c>
      <c r="E259" s="34">
        <f t="shared" si="8"/>
        <v>7.6429030499999993</v>
      </c>
      <c r="F259" s="35">
        <v>42916</v>
      </c>
      <c r="H259" s="34">
        <f t="shared" ref="H259:H322" si="9">ABS(E259)</f>
        <v>7.6429030499999993</v>
      </c>
    </row>
    <row r="260" spans="1:8" x14ac:dyDescent="0.3">
      <c r="A260" s="36" t="s">
        <v>1217</v>
      </c>
      <c r="B260" s="33">
        <v>-14.9531662</v>
      </c>
      <c r="C260" s="33">
        <v>-21.389294509999999</v>
      </c>
      <c r="E260" s="34">
        <f t="shared" si="8"/>
        <v>6.4361283099999991</v>
      </c>
      <c r="F260" s="35">
        <v>42917</v>
      </c>
      <c r="H260" s="34">
        <f t="shared" si="9"/>
        <v>6.4361283099999991</v>
      </c>
    </row>
    <row r="261" spans="1:8" x14ac:dyDescent="0.3">
      <c r="A261" s="36" t="s">
        <v>1218</v>
      </c>
      <c r="B261" s="33">
        <v>-16.095766600000001</v>
      </c>
      <c r="C261" s="33">
        <v>-20.615875519999999</v>
      </c>
      <c r="E261" s="34">
        <f t="shared" si="8"/>
        <v>4.5201089199999984</v>
      </c>
      <c r="F261" s="35">
        <v>42918</v>
      </c>
      <c r="H261" s="34">
        <f t="shared" si="9"/>
        <v>4.5201089199999984</v>
      </c>
    </row>
    <row r="262" spans="1:8" x14ac:dyDescent="0.3">
      <c r="A262" s="36" t="s">
        <v>1219</v>
      </c>
      <c r="B262" s="33">
        <v>-17.786781699999999</v>
      </c>
      <c r="C262" s="33">
        <v>-21.266531929999999</v>
      </c>
      <c r="E262" s="34">
        <f t="shared" si="8"/>
        <v>3.4797502300000005</v>
      </c>
      <c r="F262" s="35">
        <v>42919</v>
      </c>
      <c r="H262" s="34">
        <f t="shared" si="9"/>
        <v>3.4797502300000005</v>
      </c>
    </row>
    <row r="263" spans="1:8" x14ac:dyDescent="0.3">
      <c r="A263" s="36" t="s">
        <v>1220</v>
      </c>
      <c r="B263" s="33">
        <v>-19.588554500000001</v>
      </c>
      <c r="C263" s="33">
        <v>-21.43563468</v>
      </c>
      <c r="E263" s="34">
        <f t="shared" si="8"/>
        <v>1.847080179999999</v>
      </c>
      <c r="F263" s="35">
        <v>42920</v>
      </c>
      <c r="H263" s="34">
        <f t="shared" si="9"/>
        <v>1.847080179999999</v>
      </c>
    </row>
    <row r="264" spans="1:8" x14ac:dyDescent="0.3">
      <c r="A264" s="36" t="s">
        <v>1221</v>
      </c>
      <c r="B264" s="33">
        <v>-18.880035800000002</v>
      </c>
      <c r="C264" s="33">
        <v>-20.401191799999999</v>
      </c>
      <c r="E264" s="34">
        <f t="shared" si="8"/>
        <v>1.5211559999999977</v>
      </c>
      <c r="F264" s="35">
        <v>42921</v>
      </c>
      <c r="H264" s="34">
        <f t="shared" si="9"/>
        <v>1.5211559999999977</v>
      </c>
    </row>
    <row r="265" spans="1:8" x14ac:dyDescent="0.3">
      <c r="A265" s="36" t="s">
        <v>1222</v>
      </c>
      <c r="B265" s="33">
        <v>-18.681013499999999</v>
      </c>
      <c r="C265" s="33">
        <v>-24.08159392</v>
      </c>
      <c r="E265" s="34">
        <f t="shared" si="8"/>
        <v>5.4005804200000007</v>
      </c>
      <c r="F265" s="35">
        <v>42922</v>
      </c>
      <c r="H265" s="34">
        <f t="shared" si="9"/>
        <v>5.4005804200000007</v>
      </c>
    </row>
    <row r="266" spans="1:8" x14ac:dyDescent="0.3">
      <c r="A266" s="36" t="s">
        <v>1223</v>
      </c>
      <c r="B266" s="33">
        <v>-17.281457799999998</v>
      </c>
      <c r="C266" s="33">
        <v>-22.984464540000001</v>
      </c>
      <c r="E266" s="34">
        <f t="shared" si="8"/>
        <v>5.7030067400000028</v>
      </c>
      <c r="F266" s="35">
        <v>42923</v>
      </c>
      <c r="H266" s="34">
        <f t="shared" si="9"/>
        <v>5.7030067400000028</v>
      </c>
    </row>
    <row r="267" spans="1:8" x14ac:dyDescent="0.3">
      <c r="A267" s="36" t="s">
        <v>1224</v>
      </c>
      <c r="B267" s="33">
        <v>-18.437646600000001</v>
      </c>
      <c r="C267" s="33">
        <v>-22.745197040000001</v>
      </c>
      <c r="E267" s="34">
        <f t="shared" si="8"/>
        <v>4.30755044</v>
      </c>
      <c r="F267" s="35">
        <v>42924</v>
      </c>
      <c r="H267" s="34">
        <f t="shared" si="9"/>
        <v>4.30755044</v>
      </c>
    </row>
    <row r="268" spans="1:8" x14ac:dyDescent="0.3">
      <c r="A268" s="36" t="s">
        <v>1225</v>
      </c>
      <c r="B268" s="33">
        <v>-18.399963</v>
      </c>
      <c r="C268" s="33">
        <v>-21.36837719</v>
      </c>
      <c r="E268" s="34">
        <f t="shared" si="8"/>
        <v>2.9684141900000007</v>
      </c>
      <c r="F268" s="35">
        <v>42925</v>
      </c>
      <c r="H268" s="34">
        <f t="shared" si="9"/>
        <v>2.9684141900000007</v>
      </c>
    </row>
    <row r="269" spans="1:8" x14ac:dyDescent="0.3">
      <c r="A269" s="36" t="s">
        <v>1226</v>
      </c>
      <c r="B269" s="33">
        <v>-19.800934300000002</v>
      </c>
      <c r="C269" s="33">
        <v>-21.766584049999999</v>
      </c>
      <c r="E269" s="34">
        <f t="shared" si="8"/>
        <v>1.9656497499999972</v>
      </c>
      <c r="F269" s="35">
        <v>42926</v>
      </c>
      <c r="H269" s="34">
        <f t="shared" si="9"/>
        <v>1.9656497499999972</v>
      </c>
    </row>
    <row r="270" spans="1:8" x14ac:dyDescent="0.3">
      <c r="A270" s="36" t="s">
        <v>1227</v>
      </c>
      <c r="B270" s="33">
        <v>-20.539074100000001</v>
      </c>
      <c r="C270" s="33">
        <v>-21.428708189999998</v>
      </c>
      <c r="E270" s="34">
        <f t="shared" si="8"/>
        <v>0.88963408999999771</v>
      </c>
      <c r="F270" s="35">
        <v>42927</v>
      </c>
      <c r="H270" s="34">
        <f t="shared" si="9"/>
        <v>0.88963408999999771</v>
      </c>
    </row>
    <row r="271" spans="1:8" x14ac:dyDescent="0.3">
      <c r="A271" s="36" t="s">
        <v>1228</v>
      </c>
      <c r="B271" s="33">
        <v>-20.9528383</v>
      </c>
      <c r="C271" s="33">
        <v>-22.798875630000001</v>
      </c>
      <c r="E271" s="34">
        <f t="shared" si="8"/>
        <v>1.8460373300000015</v>
      </c>
      <c r="F271" s="35">
        <v>42928</v>
      </c>
      <c r="H271" s="34">
        <f t="shared" si="9"/>
        <v>1.8460373300000015</v>
      </c>
    </row>
    <row r="272" spans="1:8" x14ac:dyDescent="0.3">
      <c r="A272" s="36" t="s">
        <v>1229</v>
      </c>
      <c r="B272" s="33">
        <v>-19.776376299999999</v>
      </c>
      <c r="C272" s="33">
        <v>-23.416202470000002</v>
      </c>
      <c r="E272" s="34">
        <f t="shared" si="8"/>
        <v>3.6398261700000027</v>
      </c>
      <c r="F272" s="35">
        <v>42929</v>
      </c>
      <c r="H272" s="34">
        <f t="shared" si="9"/>
        <v>3.6398261700000027</v>
      </c>
    </row>
    <row r="273" spans="1:8" x14ac:dyDescent="0.3">
      <c r="A273" s="36" t="s">
        <v>1230</v>
      </c>
      <c r="B273" s="33">
        <v>-18.6840504</v>
      </c>
      <c r="C273" s="33">
        <v>-23.55754422</v>
      </c>
      <c r="E273" s="34">
        <f t="shared" si="8"/>
        <v>4.8734938200000002</v>
      </c>
      <c r="F273" s="35">
        <v>42930</v>
      </c>
      <c r="H273" s="34">
        <f t="shared" si="9"/>
        <v>4.8734938200000002</v>
      </c>
    </row>
    <row r="274" spans="1:8" x14ac:dyDescent="0.3">
      <c r="A274" s="36" t="s">
        <v>1231</v>
      </c>
      <c r="B274" s="33">
        <v>-19.832455700000001</v>
      </c>
      <c r="C274" s="33">
        <v>-23.853487040000001</v>
      </c>
      <c r="E274" s="34">
        <f t="shared" si="8"/>
        <v>4.0210313400000004</v>
      </c>
      <c r="F274" s="35">
        <v>42931</v>
      </c>
      <c r="H274" s="34">
        <f t="shared" si="9"/>
        <v>4.0210313400000004</v>
      </c>
    </row>
    <row r="275" spans="1:8" x14ac:dyDescent="0.3">
      <c r="A275" s="36" t="s">
        <v>1232</v>
      </c>
      <c r="B275" s="33">
        <v>-20.180213800000001</v>
      </c>
      <c r="C275" s="33">
        <v>-23.736419659999999</v>
      </c>
      <c r="E275" s="34">
        <f t="shared" si="8"/>
        <v>3.5562058599999986</v>
      </c>
      <c r="F275" s="35">
        <v>42932</v>
      </c>
      <c r="H275" s="34">
        <f t="shared" si="9"/>
        <v>3.5562058599999986</v>
      </c>
    </row>
    <row r="276" spans="1:8" x14ac:dyDescent="0.3">
      <c r="A276" s="36" t="s">
        <v>1233</v>
      </c>
      <c r="B276" s="33">
        <v>-19.6807345</v>
      </c>
      <c r="C276" s="33">
        <v>-22.394913880000001</v>
      </c>
      <c r="E276" s="34">
        <f t="shared" si="8"/>
        <v>2.7141793800000009</v>
      </c>
      <c r="F276" s="35">
        <v>42933</v>
      </c>
      <c r="H276" s="34">
        <f t="shared" si="9"/>
        <v>2.7141793800000009</v>
      </c>
    </row>
    <row r="277" spans="1:8" x14ac:dyDescent="0.3">
      <c r="A277" s="36" t="s">
        <v>1234</v>
      </c>
      <c r="B277" s="33">
        <v>-18.3047258</v>
      </c>
      <c r="C277" s="33">
        <v>-22.233529740000002</v>
      </c>
      <c r="E277" s="34">
        <f t="shared" si="8"/>
        <v>3.9288039400000017</v>
      </c>
      <c r="F277" s="35">
        <v>42934</v>
      </c>
      <c r="H277" s="34">
        <f t="shared" si="9"/>
        <v>3.9288039400000017</v>
      </c>
    </row>
    <row r="278" spans="1:8" x14ac:dyDescent="0.3">
      <c r="A278" s="36" t="s">
        <v>1235</v>
      </c>
      <c r="B278" s="33">
        <v>-17.586018500000002</v>
      </c>
      <c r="C278" s="33">
        <v>-22.174247340000001</v>
      </c>
      <c r="E278" s="34">
        <f t="shared" si="8"/>
        <v>4.5882288399999993</v>
      </c>
      <c r="F278" s="35">
        <v>42935</v>
      </c>
      <c r="H278" s="34">
        <f t="shared" si="9"/>
        <v>4.5882288399999993</v>
      </c>
    </row>
    <row r="279" spans="1:8" x14ac:dyDescent="0.3">
      <c r="A279" s="36" t="s">
        <v>1236</v>
      </c>
      <c r="B279" s="33">
        <v>-18.5295047</v>
      </c>
      <c r="C279" s="33">
        <v>-21.978655360000001</v>
      </c>
      <c r="E279" s="34">
        <f t="shared" si="8"/>
        <v>3.4491506600000008</v>
      </c>
      <c r="F279" s="35">
        <v>42936</v>
      </c>
      <c r="H279" s="34">
        <f t="shared" si="9"/>
        <v>3.4491506600000008</v>
      </c>
    </row>
    <row r="280" spans="1:8" x14ac:dyDescent="0.3">
      <c r="A280" s="36" t="s">
        <v>1237</v>
      </c>
      <c r="B280" s="33">
        <v>-19.0417503</v>
      </c>
      <c r="C280" s="33">
        <v>-21.713178379999999</v>
      </c>
      <c r="E280" s="34">
        <f t="shared" si="8"/>
        <v>2.6714280799999983</v>
      </c>
      <c r="F280" s="35">
        <v>42937</v>
      </c>
      <c r="H280" s="34">
        <f t="shared" si="9"/>
        <v>2.6714280799999983</v>
      </c>
    </row>
    <row r="281" spans="1:8" x14ac:dyDescent="0.3">
      <c r="A281" s="36" t="s">
        <v>1238</v>
      </c>
      <c r="B281" s="33">
        <v>-19.555263</v>
      </c>
      <c r="C281" s="33">
        <v>-21.78880135</v>
      </c>
      <c r="E281" s="34">
        <f t="shared" si="8"/>
        <v>2.2335383499999999</v>
      </c>
      <c r="F281" s="35">
        <v>42938</v>
      </c>
      <c r="H281" s="34">
        <f t="shared" si="9"/>
        <v>2.2335383499999999</v>
      </c>
    </row>
    <row r="282" spans="1:8" x14ac:dyDescent="0.3">
      <c r="A282" s="36" t="s">
        <v>1239</v>
      </c>
      <c r="B282" s="33">
        <v>-19.4814127</v>
      </c>
      <c r="C282" s="33">
        <v>-20.831184660000002</v>
      </c>
      <c r="E282" s="34">
        <f t="shared" si="8"/>
        <v>1.3497719600000018</v>
      </c>
      <c r="F282" s="35">
        <v>42939</v>
      </c>
      <c r="H282" s="34">
        <f t="shared" si="9"/>
        <v>1.3497719600000018</v>
      </c>
    </row>
    <row r="283" spans="1:8" x14ac:dyDescent="0.3">
      <c r="A283" s="36" t="s">
        <v>1240</v>
      </c>
      <c r="B283" s="33">
        <v>-18.899748200000001</v>
      </c>
      <c r="C283" s="33">
        <v>-21.01972082</v>
      </c>
      <c r="E283" s="34">
        <f t="shared" si="8"/>
        <v>2.1199726199999986</v>
      </c>
      <c r="F283" s="35">
        <v>42940</v>
      </c>
      <c r="H283" s="34">
        <f t="shared" si="9"/>
        <v>2.1199726199999986</v>
      </c>
    </row>
    <row r="284" spans="1:8" x14ac:dyDescent="0.3">
      <c r="A284" s="36" t="s">
        <v>1241</v>
      </c>
      <c r="B284" s="33">
        <v>-18.335243999999999</v>
      </c>
      <c r="C284" s="33">
        <v>-21.923043379999999</v>
      </c>
      <c r="E284" s="34">
        <f t="shared" si="8"/>
        <v>3.5877993799999999</v>
      </c>
      <c r="F284" s="35">
        <v>42941</v>
      </c>
      <c r="H284" s="34">
        <f t="shared" si="9"/>
        <v>3.5877993799999999</v>
      </c>
    </row>
    <row r="285" spans="1:8" x14ac:dyDescent="0.3">
      <c r="A285" s="36" t="s">
        <v>1242</v>
      </c>
      <c r="B285" s="33">
        <v>-19.195224</v>
      </c>
      <c r="C285" s="33">
        <v>-23.506858489999999</v>
      </c>
      <c r="E285" s="34">
        <f t="shared" si="8"/>
        <v>4.3116344899999994</v>
      </c>
      <c r="F285" s="35">
        <v>42942</v>
      </c>
      <c r="H285" s="34">
        <f t="shared" si="9"/>
        <v>4.3116344899999994</v>
      </c>
    </row>
    <row r="286" spans="1:8" x14ac:dyDescent="0.3">
      <c r="A286" s="36" t="s">
        <v>1243</v>
      </c>
      <c r="B286" s="33">
        <v>-19.477210100000001</v>
      </c>
      <c r="C286" s="33">
        <v>-22.496820629999998</v>
      </c>
      <c r="E286" s="34">
        <f t="shared" si="8"/>
        <v>3.0196105299999978</v>
      </c>
      <c r="F286" s="35">
        <v>42943</v>
      </c>
      <c r="H286" s="34">
        <f t="shared" si="9"/>
        <v>3.0196105299999978</v>
      </c>
    </row>
    <row r="287" spans="1:8" x14ac:dyDescent="0.3">
      <c r="A287" s="36" t="s">
        <v>1244</v>
      </c>
      <c r="B287" s="33">
        <v>-20.110712100000001</v>
      </c>
      <c r="C287" s="33">
        <v>-22.656815030000001</v>
      </c>
      <c r="E287" s="34">
        <f t="shared" si="8"/>
        <v>2.54610293</v>
      </c>
      <c r="F287" s="35">
        <v>42944</v>
      </c>
      <c r="H287" s="34">
        <f t="shared" si="9"/>
        <v>2.54610293</v>
      </c>
    </row>
    <row r="288" spans="1:8" x14ac:dyDescent="0.3">
      <c r="A288" s="36" t="s">
        <v>1245</v>
      </c>
      <c r="B288" s="33">
        <v>-20.494461099999999</v>
      </c>
      <c r="C288" s="33">
        <v>-24.317116049999999</v>
      </c>
      <c r="E288" s="34">
        <f t="shared" si="8"/>
        <v>3.8226549500000004</v>
      </c>
      <c r="F288" s="35">
        <v>42945</v>
      </c>
      <c r="H288" s="34">
        <f t="shared" si="9"/>
        <v>3.8226549500000004</v>
      </c>
    </row>
    <row r="289" spans="1:8" x14ac:dyDescent="0.3">
      <c r="A289" s="36" t="s">
        <v>1246</v>
      </c>
      <c r="B289" s="33">
        <v>-21.660660100000001</v>
      </c>
      <c r="C289" s="33">
        <v>-25.809247079999999</v>
      </c>
      <c r="E289" s="34">
        <f t="shared" si="8"/>
        <v>4.1485869799999975</v>
      </c>
      <c r="F289" s="35">
        <v>42946</v>
      </c>
      <c r="H289" s="34">
        <f t="shared" si="9"/>
        <v>4.1485869799999975</v>
      </c>
    </row>
    <row r="290" spans="1:8" x14ac:dyDescent="0.3">
      <c r="A290" s="36" t="s">
        <v>1247</v>
      </c>
      <c r="B290" s="33">
        <v>-21.0888086</v>
      </c>
      <c r="C290" s="33">
        <v>-24.7431956</v>
      </c>
      <c r="E290" s="34">
        <f t="shared" si="8"/>
        <v>3.6543869999999998</v>
      </c>
      <c r="F290" s="35">
        <v>42947</v>
      </c>
      <c r="H290" s="34">
        <f t="shared" si="9"/>
        <v>3.6543869999999998</v>
      </c>
    </row>
    <row r="291" spans="1:8" x14ac:dyDescent="0.3">
      <c r="A291" s="36" t="s">
        <v>1248</v>
      </c>
      <c r="B291" s="33">
        <v>-20.5185736</v>
      </c>
      <c r="C291" s="33">
        <v>-24.24560726</v>
      </c>
      <c r="E291" s="34">
        <f t="shared" si="8"/>
        <v>3.72703366</v>
      </c>
      <c r="F291" s="35">
        <v>42948</v>
      </c>
      <c r="H291" s="34">
        <f t="shared" si="9"/>
        <v>3.72703366</v>
      </c>
    </row>
    <row r="292" spans="1:8" x14ac:dyDescent="0.3">
      <c r="A292" s="36" t="s">
        <v>1249</v>
      </c>
      <c r="B292" s="33">
        <v>-21.055058800000001</v>
      </c>
      <c r="C292" s="33">
        <v>-23.98095434</v>
      </c>
      <c r="E292" s="34">
        <f t="shared" si="8"/>
        <v>2.9258955399999991</v>
      </c>
      <c r="F292" s="35">
        <v>42949</v>
      </c>
      <c r="H292" s="34">
        <f t="shared" si="9"/>
        <v>2.9258955399999991</v>
      </c>
    </row>
    <row r="293" spans="1:8" x14ac:dyDescent="0.3">
      <c r="A293" s="36" t="s">
        <v>1250</v>
      </c>
      <c r="B293" s="33">
        <v>-21.498685200000001</v>
      </c>
      <c r="C293" s="33">
        <v>-24.124317390000002</v>
      </c>
      <c r="E293" s="34">
        <f t="shared" si="8"/>
        <v>2.625632190000001</v>
      </c>
      <c r="F293" s="35">
        <v>42950</v>
      </c>
      <c r="H293" s="34">
        <f t="shared" si="9"/>
        <v>2.625632190000001</v>
      </c>
    </row>
    <row r="294" spans="1:8" x14ac:dyDescent="0.3">
      <c r="A294" s="36" t="s">
        <v>1251</v>
      </c>
      <c r="B294" s="33">
        <v>-23.8011701</v>
      </c>
      <c r="C294" s="33">
        <v>-23.11370969</v>
      </c>
      <c r="E294" s="34">
        <f t="shared" si="8"/>
        <v>-0.68746040999999991</v>
      </c>
      <c r="F294" s="35">
        <v>42951</v>
      </c>
      <c r="H294" s="34">
        <f t="shared" si="9"/>
        <v>0.68746040999999991</v>
      </c>
    </row>
    <row r="295" spans="1:8" x14ac:dyDescent="0.3">
      <c r="A295" s="36" t="s">
        <v>1252</v>
      </c>
      <c r="B295" s="33">
        <v>-23.629622399999999</v>
      </c>
      <c r="C295" s="33">
        <v>-23.833112239999998</v>
      </c>
      <c r="E295" s="34">
        <f t="shared" si="8"/>
        <v>0.20348983999999959</v>
      </c>
      <c r="F295" s="35">
        <v>42952</v>
      </c>
      <c r="H295" s="34">
        <f t="shared" si="9"/>
        <v>0.20348983999999959</v>
      </c>
    </row>
    <row r="296" spans="1:8" x14ac:dyDescent="0.3">
      <c r="A296" s="36" t="s">
        <v>1253</v>
      </c>
      <c r="B296" s="33">
        <v>-22.3485488</v>
      </c>
      <c r="C296" s="33">
        <v>-23.35753923</v>
      </c>
      <c r="E296" s="34">
        <f t="shared" si="8"/>
        <v>1.0089904300000008</v>
      </c>
      <c r="F296" s="35">
        <v>42953</v>
      </c>
      <c r="H296" s="34">
        <f t="shared" si="9"/>
        <v>1.0089904300000008</v>
      </c>
    </row>
    <row r="297" spans="1:8" x14ac:dyDescent="0.3">
      <c r="A297" s="36" t="s">
        <v>1254</v>
      </c>
      <c r="B297" s="33">
        <v>-20.231414399999998</v>
      </c>
      <c r="C297" s="33">
        <v>-25.564483800000001</v>
      </c>
      <c r="E297" s="34">
        <f t="shared" si="8"/>
        <v>5.333069400000003</v>
      </c>
      <c r="F297" s="35">
        <v>42954</v>
      </c>
      <c r="H297" s="34">
        <f t="shared" si="9"/>
        <v>5.333069400000003</v>
      </c>
    </row>
    <row r="298" spans="1:8" x14ac:dyDescent="0.3">
      <c r="A298" s="36" t="s">
        <v>1255</v>
      </c>
      <c r="B298" s="33">
        <v>-20.779201100000002</v>
      </c>
      <c r="C298" s="33">
        <v>-24.85474816</v>
      </c>
      <c r="E298" s="34">
        <f t="shared" si="8"/>
        <v>4.0755470599999981</v>
      </c>
      <c r="F298" s="35">
        <v>42955</v>
      </c>
      <c r="H298" s="34">
        <f t="shared" si="9"/>
        <v>4.0755470599999981</v>
      </c>
    </row>
    <row r="299" spans="1:8" x14ac:dyDescent="0.3">
      <c r="A299" s="36" t="s">
        <v>1256</v>
      </c>
      <c r="B299" s="33">
        <v>-21.5460031</v>
      </c>
      <c r="C299" s="33">
        <v>-25.156548600000001</v>
      </c>
      <c r="E299" s="34">
        <f t="shared" si="8"/>
        <v>3.6105455000000006</v>
      </c>
      <c r="F299" s="35">
        <v>42956</v>
      </c>
      <c r="H299" s="34">
        <f t="shared" si="9"/>
        <v>3.6105455000000006</v>
      </c>
    </row>
    <row r="300" spans="1:8" x14ac:dyDescent="0.3">
      <c r="A300" s="36" t="s">
        <v>1257</v>
      </c>
      <c r="B300" s="33">
        <v>-22.885065600000001</v>
      </c>
      <c r="C300" s="33">
        <v>-25.519013139999998</v>
      </c>
      <c r="E300" s="34">
        <f t="shared" si="8"/>
        <v>2.6339475399999976</v>
      </c>
      <c r="F300" s="35">
        <v>42957</v>
      </c>
      <c r="H300" s="34">
        <f t="shared" si="9"/>
        <v>2.6339475399999976</v>
      </c>
    </row>
    <row r="301" spans="1:8" x14ac:dyDescent="0.3">
      <c r="A301" s="36" t="s">
        <v>1258</v>
      </c>
      <c r="B301" s="33">
        <v>-20.576083799999999</v>
      </c>
      <c r="C301" s="33">
        <v>-26.732824610000002</v>
      </c>
      <c r="E301" s="34">
        <f t="shared" si="8"/>
        <v>6.1567408100000023</v>
      </c>
      <c r="F301" s="35">
        <v>42958</v>
      </c>
      <c r="H301" s="34">
        <f t="shared" si="9"/>
        <v>6.1567408100000023</v>
      </c>
    </row>
    <row r="302" spans="1:8" x14ac:dyDescent="0.3">
      <c r="A302" s="36" t="s">
        <v>1259</v>
      </c>
      <c r="B302" s="33">
        <v>-19.890414</v>
      </c>
      <c r="C302" s="33">
        <v>-26.253457059999999</v>
      </c>
      <c r="E302" s="34">
        <f t="shared" si="8"/>
        <v>6.363043059999999</v>
      </c>
      <c r="F302" s="35">
        <v>42959</v>
      </c>
      <c r="H302" s="34">
        <f t="shared" si="9"/>
        <v>6.363043059999999</v>
      </c>
    </row>
    <row r="303" spans="1:8" x14ac:dyDescent="0.3">
      <c r="A303" s="36" t="s">
        <v>1260</v>
      </c>
      <c r="B303" s="33">
        <v>-19.7891908</v>
      </c>
      <c r="C303" s="33">
        <v>-27.327832879999999</v>
      </c>
      <c r="E303" s="34">
        <f t="shared" si="8"/>
        <v>7.5386420799999989</v>
      </c>
      <c r="F303" s="35">
        <v>42960</v>
      </c>
      <c r="H303" s="34">
        <f t="shared" si="9"/>
        <v>7.5386420799999989</v>
      </c>
    </row>
    <row r="304" spans="1:8" x14ac:dyDescent="0.3">
      <c r="A304" s="36" t="s">
        <v>1261</v>
      </c>
      <c r="B304" s="33">
        <v>-20.318524400000001</v>
      </c>
      <c r="C304" s="33">
        <v>-28.172820420000001</v>
      </c>
      <c r="E304" s="34">
        <f t="shared" si="8"/>
        <v>7.8542960199999996</v>
      </c>
      <c r="F304" s="35">
        <v>42961</v>
      </c>
      <c r="H304" s="34">
        <f t="shared" si="9"/>
        <v>7.8542960199999996</v>
      </c>
    </row>
    <row r="305" spans="1:8" x14ac:dyDescent="0.3">
      <c r="A305" s="36" t="s">
        <v>1262</v>
      </c>
      <c r="B305" s="33">
        <v>-18.858136999999999</v>
      </c>
      <c r="C305" s="33">
        <v>-28.34264932</v>
      </c>
      <c r="E305" s="34">
        <f t="shared" si="8"/>
        <v>9.4845123200000003</v>
      </c>
      <c r="F305" s="35">
        <v>42962</v>
      </c>
      <c r="H305" s="34">
        <f t="shared" si="9"/>
        <v>9.4845123200000003</v>
      </c>
    </row>
    <row r="306" spans="1:8" x14ac:dyDescent="0.3">
      <c r="A306" s="36" t="s">
        <v>1263</v>
      </c>
      <c r="B306" s="33">
        <v>-18.9152852</v>
      </c>
      <c r="C306" s="33">
        <v>-27.561440080000001</v>
      </c>
      <c r="E306" s="34">
        <f t="shared" si="8"/>
        <v>8.646154880000001</v>
      </c>
      <c r="F306" s="35">
        <v>42963</v>
      </c>
      <c r="H306" s="34">
        <f t="shared" si="9"/>
        <v>8.646154880000001</v>
      </c>
    </row>
    <row r="307" spans="1:8" x14ac:dyDescent="0.3">
      <c r="A307" s="36" t="s">
        <v>1264</v>
      </c>
      <c r="B307" s="33">
        <v>-19.267850200000002</v>
      </c>
      <c r="C307" s="33">
        <v>-27.413708020000001</v>
      </c>
      <c r="E307" s="34">
        <f t="shared" si="8"/>
        <v>8.1458578199999998</v>
      </c>
      <c r="F307" s="35">
        <v>42964</v>
      </c>
      <c r="H307" s="34">
        <f t="shared" si="9"/>
        <v>8.1458578199999998</v>
      </c>
    </row>
    <row r="308" spans="1:8" x14ac:dyDescent="0.3">
      <c r="A308" s="36" t="s">
        <v>1265</v>
      </c>
      <c r="B308" s="33">
        <v>-19.496259200000001</v>
      </c>
      <c r="C308" s="33">
        <v>-26.83837269</v>
      </c>
      <c r="E308" s="34">
        <f t="shared" si="8"/>
        <v>7.3421134899999991</v>
      </c>
      <c r="F308" s="35">
        <v>42965</v>
      </c>
      <c r="H308" s="34">
        <f t="shared" si="9"/>
        <v>7.3421134899999991</v>
      </c>
    </row>
    <row r="309" spans="1:8" x14ac:dyDescent="0.3">
      <c r="A309" s="36" t="s">
        <v>1266</v>
      </c>
      <c r="B309" s="33">
        <v>-18.1199759</v>
      </c>
      <c r="C309" s="33">
        <v>-25.397546949999999</v>
      </c>
      <c r="E309" s="34">
        <f t="shared" si="8"/>
        <v>7.2775710499999988</v>
      </c>
      <c r="F309" s="35">
        <v>42966</v>
      </c>
      <c r="H309" s="34">
        <f t="shared" si="9"/>
        <v>7.2775710499999988</v>
      </c>
    </row>
    <row r="310" spans="1:8" x14ac:dyDescent="0.3">
      <c r="A310" s="36" t="s">
        <v>1267</v>
      </c>
      <c r="B310" s="33">
        <v>-19.732893799999999</v>
      </c>
      <c r="C310" s="33">
        <v>-25.570764130000001</v>
      </c>
      <c r="E310" s="34">
        <f t="shared" si="8"/>
        <v>5.8378703300000012</v>
      </c>
      <c r="F310" s="35">
        <v>42967</v>
      </c>
      <c r="H310" s="34">
        <f t="shared" si="9"/>
        <v>5.8378703300000012</v>
      </c>
    </row>
    <row r="311" spans="1:8" x14ac:dyDescent="0.3">
      <c r="A311" s="36" t="s">
        <v>1268</v>
      </c>
      <c r="B311" s="33">
        <v>-19.402650000000001</v>
      </c>
      <c r="C311" s="33">
        <v>-25.3217076</v>
      </c>
      <c r="E311" s="34">
        <f t="shared" si="8"/>
        <v>5.9190575999999986</v>
      </c>
      <c r="F311" s="35">
        <v>42968</v>
      </c>
      <c r="H311" s="34">
        <f t="shared" si="9"/>
        <v>5.9190575999999986</v>
      </c>
    </row>
    <row r="312" spans="1:8" x14ac:dyDescent="0.3">
      <c r="A312" s="36" t="s">
        <v>1269</v>
      </c>
      <c r="B312" s="33">
        <v>-19.655848599999999</v>
      </c>
      <c r="C312" s="33">
        <v>-26.156803719999999</v>
      </c>
      <c r="E312" s="34">
        <f t="shared" si="8"/>
        <v>6.5009551200000004</v>
      </c>
      <c r="F312" s="35">
        <v>42969</v>
      </c>
      <c r="H312" s="34">
        <f t="shared" si="9"/>
        <v>6.5009551200000004</v>
      </c>
    </row>
    <row r="313" spans="1:8" x14ac:dyDescent="0.3">
      <c r="A313" s="36" t="s">
        <v>1270</v>
      </c>
      <c r="B313" s="33">
        <v>-19.803532199999999</v>
      </c>
      <c r="C313" s="33">
        <v>-24.698570790000002</v>
      </c>
      <c r="E313" s="34">
        <f t="shared" si="8"/>
        <v>4.8950385900000022</v>
      </c>
      <c r="F313" s="35">
        <v>42970</v>
      </c>
      <c r="H313" s="34">
        <f t="shared" si="9"/>
        <v>4.8950385900000022</v>
      </c>
    </row>
    <row r="314" spans="1:8" x14ac:dyDescent="0.3">
      <c r="A314" s="36" t="s">
        <v>1271</v>
      </c>
      <c r="B314" s="33">
        <v>-20.6528226</v>
      </c>
      <c r="C314" s="33">
        <v>-24.219775240000001</v>
      </c>
      <c r="E314" s="34">
        <f t="shared" si="8"/>
        <v>3.5669526400000002</v>
      </c>
      <c r="F314" s="35">
        <v>42971</v>
      </c>
      <c r="H314" s="34">
        <f t="shared" si="9"/>
        <v>3.5669526400000002</v>
      </c>
    </row>
    <row r="315" spans="1:8" x14ac:dyDescent="0.3">
      <c r="A315" s="36" t="s">
        <v>1272</v>
      </c>
      <c r="B315" s="33">
        <v>-20.1885063</v>
      </c>
      <c r="C315" s="33">
        <v>-23.417704000000001</v>
      </c>
      <c r="E315" s="34">
        <f t="shared" si="8"/>
        <v>3.2291977000000003</v>
      </c>
      <c r="F315" s="35">
        <v>42972</v>
      </c>
      <c r="H315" s="34">
        <f t="shared" si="9"/>
        <v>3.2291977000000003</v>
      </c>
    </row>
    <row r="316" spans="1:8" x14ac:dyDescent="0.3">
      <c r="A316" s="36" t="s">
        <v>1273</v>
      </c>
      <c r="B316" s="33">
        <v>-21.9500274</v>
      </c>
      <c r="C316" s="33">
        <v>-22.75087375</v>
      </c>
      <c r="E316" s="34">
        <f t="shared" si="8"/>
        <v>0.80084635000000048</v>
      </c>
      <c r="F316" s="35">
        <v>42973</v>
      </c>
      <c r="H316" s="34">
        <f t="shared" si="9"/>
        <v>0.80084635000000048</v>
      </c>
    </row>
    <row r="317" spans="1:8" x14ac:dyDescent="0.3">
      <c r="A317" s="36" t="s">
        <v>1274</v>
      </c>
      <c r="B317" s="33">
        <v>-22.105578000000001</v>
      </c>
      <c r="C317" s="33">
        <v>-23.37094549</v>
      </c>
      <c r="E317" s="34">
        <f t="shared" si="8"/>
        <v>1.2653674899999992</v>
      </c>
      <c r="F317" s="35">
        <v>42974</v>
      </c>
      <c r="H317" s="34">
        <f t="shared" si="9"/>
        <v>1.2653674899999992</v>
      </c>
    </row>
    <row r="318" spans="1:8" x14ac:dyDescent="0.3">
      <c r="A318" s="36" t="s">
        <v>1275</v>
      </c>
      <c r="B318" s="33">
        <v>-22.834459899999999</v>
      </c>
      <c r="C318" s="33">
        <v>-23.577976</v>
      </c>
      <c r="E318" s="34">
        <f t="shared" si="8"/>
        <v>0.74351610000000079</v>
      </c>
      <c r="F318" s="35">
        <v>42975</v>
      </c>
      <c r="H318" s="34">
        <f t="shared" si="9"/>
        <v>0.74351610000000079</v>
      </c>
    </row>
    <row r="319" spans="1:8" x14ac:dyDescent="0.3">
      <c r="A319" s="36" t="s">
        <v>1276</v>
      </c>
      <c r="B319" s="33">
        <v>-25.401460100000001</v>
      </c>
      <c r="C319" s="33">
        <v>-23.695265580000001</v>
      </c>
      <c r="E319" s="34">
        <f t="shared" si="8"/>
        <v>-1.7061945200000004</v>
      </c>
      <c r="F319" s="35">
        <v>42976</v>
      </c>
      <c r="H319" s="34">
        <f t="shared" si="9"/>
        <v>1.7061945200000004</v>
      </c>
    </row>
    <row r="320" spans="1:8" x14ac:dyDescent="0.3">
      <c r="A320" s="36" t="s">
        <v>1277</v>
      </c>
      <c r="B320" s="33">
        <v>-24.887744099999999</v>
      </c>
      <c r="C320" s="33">
        <v>-24.162202959999998</v>
      </c>
      <c r="E320" s="34">
        <f t="shared" si="8"/>
        <v>-0.72554114000000069</v>
      </c>
      <c r="F320" s="35">
        <v>42977</v>
      </c>
      <c r="H320" s="34">
        <f t="shared" si="9"/>
        <v>0.72554114000000069</v>
      </c>
    </row>
    <row r="321" spans="1:8" x14ac:dyDescent="0.3">
      <c r="A321" s="36" t="s">
        <v>1278</v>
      </c>
      <c r="B321" s="33">
        <v>-25.276637000000001</v>
      </c>
      <c r="C321" s="33">
        <v>-23.588808119999999</v>
      </c>
      <c r="E321" s="34">
        <f t="shared" si="8"/>
        <v>-1.6878288800000014</v>
      </c>
      <c r="F321" s="35">
        <v>42978</v>
      </c>
      <c r="H321" s="34">
        <f t="shared" si="9"/>
        <v>1.6878288800000014</v>
      </c>
    </row>
    <row r="322" spans="1:8" x14ac:dyDescent="0.3">
      <c r="A322" s="36" t="s">
        <v>1279</v>
      </c>
      <c r="B322" s="33">
        <v>-24.568659799999999</v>
      </c>
      <c r="C322" s="33">
        <v>-25.28657183</v>
      </c>
      <c r="E322" s="34">
        <f t="shared" ref="E322:E334" si="10">B322-C322</f>
        <v>0.71791203000000081</v>
      </c>
      <c r="F322" s="35">
        <v>42979</v>
      </c>
      <c r="H322" s="34">
        <f t="shared" si="9"/>
        <v>0.71791203000000081</v>
      </c>
    </row>
    <row r="323" spans="1:8" x14ac:dyDescent="0.3">
      <c r="A323" s="36" t="s">
        <v>1280</v>
      </c>
      <c r="B323" s="33">
        <v>-23.700151999999999</v>
      </c>
      <c r="C323" s="33">
        <v>-24.526611249999998</v>
      </c>
      <c r="E323" s="34">
        <f t="shared" si="10"/>
        <v>0.8264592499999992</v>
      </c>
      <c r="F323" s="35">
        <v>42980</v>
      </c>
      <c r="H323" s="34">
        <f t="shared" ref="H323:H334" si="11">ABS(E323)</f>
        <v>0.8264592499999992</v>
      </c>
    </row>
    <row r="324" spans="1:8" x14ac:dyDescent="0.3">
      <c r="A324" s="36" t="s">
        <v>1281</v>
      </c>
      <c r="B324" s="33">
        <v>-22.751869200000002</v>
      </c>
      <c r="C324" s="33">
        <v>-24.32399478</v>
      </c>
      <c r="E324" s="34">
        <f t="shared" si="10"/>
        <v>1.572125579999998</v>
      </c>
      <c r="F324" s="35">
        <v>42981</v>
      </c>
      <c r="H324" s="34">
        <f t="shared" si="11"/>
        <v>1.572125579999998</v>
      </c>
    </row>
    <row r="325" spans="1:8" x14ac:dyDescent="0.3">
      <c r="A325" s="36" t="s">
        <v>1282</v>
      </c>
      <c r="B325" s="33">
        <v>-24.068875200000001</v>
      </c>
      <c r="C325" s="33">
        <v>-23.893197090000001</v>
      </c>
      <c r="E325" s="34">
        <f t="shared" si="10"/>
        <v>-0.17567810999999978</v>
      </c>
      <c r="F325" s="35">
        <v>42982</v>
      </c>
      <c r="H325" s="34">
        <f t="shared" si="11"/>
        <v>0.17567810999999978</v>
      </c>
    </row>
    <row r="326" spans="1:8" x14ac:dyDescent="0.3">
      <c r="A326" s="36" t="s">
        <v>1283</v>
      </c>
      <c r="B326" s="33">
        <v>-23.850177200000001</v>
      </c>
      <c r="C326" s="33">
        <v>-22.922069279999999</v>
      </c>
      <c r="E326" s="34">
        <f t="shared" si="10"/>
        <v>-0.9281079200000022</v>
      </c>
      <c r="F326" s="35">
        <v>42983</v>
      </c>
      <c r="H326" s="34">
        <f t="shared" si="11"/>
        <v>0.9281079200000022</v>
      </c>
    </row>
    <row r="327" spans="1:8" x14ac:dyDescent="0.3">
      <c r="A327" s="36" t="s">
        <v>1284</v>
      </c>
      <c r="B327" s="33">
        <v>-22.3527898</v>
      </c>
      <c r="C327" s="33">
        <v>-23.81479831</v>
      </c>
      <c r="E327" s="34">
        <f t="shared" si="10"/>
        <v>1.4620085100000004</v>
      </c>
      <c r="F327" s="35">
        <v>42984</v>
      </c>
      <c r="H327" s="34">
        <f t="shared" si="11"/>
        <v>1.4620085100000004</v>
      </c>
    </row>
    <row r="328" spans="1:8" x14ac:dyDescent="0.3">
      <c r="A328" s="36" t="s">
        <v>1285</v>
      </c>
      <c r="B328" s="33">
        <v>-23.098269999999999</v>
      </c>
      <c r="C328" s="33">
        <v>-26.132024680000001</v>
      </c>
      <c r="E328" s="34">
        <f t="shared" si="10"/>
        <v>3.0337546800000013</v>
      </c>
      <c r="F328" s="35">
        <v>42985</v>
      </c>
      <c r="H328" s="34">
        <f t="shared" si="11"/>
        <v>3.0337546800000013</v>
      </c>
    </row>
    <row r="329" spans="1:8" x14ac:dyDescent="0.3">
      <c r="A329" s="36" t="s">
        <v>1286</v>
      </c>
      <c r="B329" s="33">
        <v>-24.837538599999998</v>
      </c>
      <c r="C329" s="33">
        <v>-25.694660219999999</v>
      </c>
      <c r="E329" s="34">
        <f t="shared" si="10"/>
        <v>0.85712162000000092</v>
      </c>
      <c r="F329" s="35">
        <v>42986</v>
      </c>
      <c r="H329" s="34">
        <f t="shared" si="11"/>
        <v>0.85712162000000092</v>
      </c>
    </row>
    <row r="330" spans="1:8" x14ac:dyDescent="0.3">
      <c r="A330" s="36" t="s">
        <v>1287</v>
      </c>
      <c r="B330" s="33">
        <v>-24.2539415</v>
      </c>
      <c r="C330" s="33">
        <v>-26.04940744</v>
      </c>
      <c r="E330" s="34">
        <f t="shared" si="10"/>
        <v>1.7954659399999997</v>
      </c>
      <c r="F330" s="35">
        <v>42987</v>
      </c>
      <c r="H330" s="34">
        <f t="shared" si="11"/>
        <v>1.7954659399999997</v>
      </c>
    </row>
    <row r="331" spans="1:8" x14ac:dyDescent="0.3">
      <c r="A331" s="36" t="s">
        <v>1288</v>
      </c>
      <c r="B331" s="33">
        <v>-24.8401204</v>
      </c>
      <c r="C331" s="33">
        <v>-27.0326798</v>
      </c>
      <c r="E331" s="34">
        <f t="shared" si="10"/>
        <v>2.1925594000000004</v>
      </c>
      <c r="F331" s="35">
        <v>42988</v>
      </c>
      <c r="H331" s="34">
        <f t="shared" si="11"/>
        <v>2.1925594000000004</v>
      </c>
    </row>
    <row r="332" spans="1:8" x14ac:dyDescent="0.3">
      <c r="A332" s="36" t="s">
        <v>1289</v>
      </c>
      <c r="B332" s="33">
        <v>-22.542413799999999</v>
      </c>
      <c r="C332" s="33">
        <v>-27.010815869999998</v>
      </c>
      <c r="E332" s="34">
        <f t="shared" si="10"/>
        <v>4.4684020699999998</v>
      </c>
      <c r="F332" s="35">
        <v>42989</v>
      </c>
      <c r="H332" s="34">
        <f t="shared" si="11"/>
        <v>4.4684020699999998</v>
      </c>
    </row>
    <row r="333" spans="1:8" x14ac:dyDescent="0.3">
      <c r="A333" s="36" t="s">
        <v>1290</v>
      </c>
      <c r="B333" s="33">
        <v>-22.984438900000001</v>
      </c>
      <c r="C333" s="33">
        <v>-25.466654640000002</v>
      </c>
      <c r="E333" s="34">
        <f t="shared" si="10"/>
        <v>2.4822157400000009</v>
      </c>
      <c r="F333" s="35">
        <v>42990</v>
      </c>
      <c r="H333" s="34">
        <f t="shared" si="11"/>
        <v>2.4822157400000009</v>
      </c>
    </row>
    <row r="334" spans="1:8" x14ac:dyDescent="0.3">
      <c r="A334" s="36" t="s">
        <v>1291</v>
      </c>
      <c r="B334" s="33">
        <v>-22.232115700000001</v>
      </c>
      <c r="C334" s="33">
        <v>-27.086776879999999</v>
      </c>
      <c r="E334" s="34">
        <f t="shared" si="10"/>
        <v>4.8546611799999972</v>
      </c>
      <c r="F334" s="35">
        <v>42991</v>
      </c>
      <c r="H334" s="34">
        <f t="shared" si="11"/>
        <v>4.8546611799999972</v>
      </c>
    </row>
    <row r="335" spans="1:8" x14ac:dyDescent="0.3">
      <c r="A335" s="36"/>
      <c r="F335" s="35"/>
    </row>
    <row r="336" spans="1:8" x14ac:dyDescent="0.3">
      <c r="A336" s="36"/>
      <c r="E336" s="37">
        <f>STDEV(E2:E334)</f>
        <v>7.6629921623627189</v>
      </c>
      <c r="F336" s="35"/>
      <c r="H336" s="37">
        <f>AVERAGE(H2:H334)</f>
        <v>7.478721060330332</v>
      </c>
    </row>
    <row r="337" spans="1:8" x14ac:dyDescent="0.3">
      <c r="A337" s="36"/>
      <c r="F337" s="35"/>
    </row>
    <row r="338" spans="1:8" x14ac:dyDescent="0.3">
      <c r="A338" s="36"/>
      <c r="F338" s="35"/>
    </row>
    <row r="339" spans="1:8" x14ac:dyDescent="0.3">
      <c r="A339" s="36"/>
      <c r="F339" s="35"/>
    </row>
    <row r="340" spans="1:8" x14ac:dyDescent="0.3">
      <c r="A340" s="36"/>
      <c r="F340" s="35"/>
    </row>
    <row r="341" spans="1:8" x14ac:dyDescent="0.3">
      <c r="A341" s="36"/>
      <c r="F341" s="35"/>
      <c r="H341" s="37"/>
    </row>
    <row r="342" spans="1:8" x14ac:dyDescent="0.3">
      <c r="F342" s="35"/>
    </row>
    <row r="343" spans="1:8" x14ac:dyDescent="0.3">
      <c r="F343" s="35"/>
    </row>
    <row r="344" spans="1:8" x14ac:dyDescent="0.3">
      <c r="F344" s="35"/>
    </row>
    <row r="345" spans="1:8" x14ac:dyDescent="0.3">
      <c r="A345" s="34" t="s">
        <v>763</v>
      </c>
      <c r="F345" s="35"/>
    </row>
    <row r="346" spans="1:8" x14ac:dyDescent="0.3">
      <c r="A346" s="34" t="s">
        <v>764</v>
      </c>
      <c r="F346" s="35"/>
    </row>
    <row r="347" spans="1:8" x14ac:dyDescent="0.3">
      <c r="A347" s="34" t="s">
        <v>765</v>
      </c>
      <c r="F347" s="35"/>
    </row>
    <row r="348" spans="1:8" x14ac:dyDescent="0.3">
      <c r="A348" s="34" t="s">
        <v>766</v>
      </c>
      <c r="F348" s="35"/>
    </row>
    <row r="349" spans="1:8" x14ac:dyDescent="0.3">
      <c r="A349" s="34" t="s">
        <v>767</v>
      </c>
      <c r="F349" s="35"/>
    </row>
    <row r="350" spans="1:8" x14ac:dyDescent="0.3">
      <c r="A350" s="34" t="s">
        <v>768</v>
      </c>
      <c r="F350" s="35"/>
    </row>
    <row r="351" spans="1:8" x14ac:dyDescent="0.3">
      <c r="A351" s="34" t="s">
        <v>769</v>
      </c>
      <c r="F351" s="35"/>
    </row>
    <row r="352" spans="1:8" x14ac:dyDescent="0.3">
      <c r="A352" s="34" t="s">
        <v>770</v>
      </c>
      <c r="F352" s="35"/>
    </row>
    <row r="353" spans="1:6" x14ac:dyDescent="0.3">
      <c r="A353" s="34" t="s">
        <v>771</v>
      </c>
      <c r="F353" s="35"/>
    </row>
    <row r="354" spans="1:6" x14ac:dyDescent="0.3">
      <c r="A354" s="34" t="s">
        <v>772</v>
      </c>
      <c r="F354" s="35"/>
    </row>
    <row r="355" spans="1:6" x14ac:dyDescent="0.3">
      <c r="A355" s="34" t="s">
        <v>773</v>
      </c>
      <c r="F355" s="35"/>
    </row>
    <row r="356" spans="1:6" x14ac:dyDescent="0.3">
      <c r="A356" s="34" t="s">
        <v>774</v>
      </c>
      <c r="F356" s="35"/>
    </row>
  </sheetData>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E732D7-1E37-46ED-B61D-6AFF2744B673}">
  <sheetPr codeName="Sheet17"/>
  <dimension ref="A1:F356"/>
  <sheetViews>
    <sheetView tabSelected="1" topLeftCell="D312" workbookViewId="0">
      <selection activeCell="Y340" sqref="Y340"/>
    </sheetView>
  </sheetViews>
  <sheetFormatPr defaultRowHeight="14.4" x14ac:dyDescent="0.3"/>
  <cols>
    <col min="1" max="1" width="37.21875" style="34" bestFit="1" customWidth="1"/>
    <col min="2" max="3" width="8.88671875" style="33"/>
    <col min="4" max="4" width="8.88671875" style="34"/>
    <col min="5" max="5" width="12" style="34" bestFit="1" customWidth="1"/>
    <col min="6" max="6" width="9.88671875" style="34" bestFit="1" customWidth="1"/>
    <col min="7" max="16384" width="8.88671875" style="34"/>
  </cols>
  <sheetData>
    <row r="1" spans="1:6" x14ac:dyDescent="0.3">
      <c r="A1" s="36"/>
      <c r="E1" s="34" t="s">
        <v>776</v>
      </c>
      <c r="F1" s="34" t="s">
        <v>775</v>
      </c>
    </row>
    <row r="2" spans="1:6" x14ac:dyDescent="0.3">
      <c r="A2" s="36" t="s">
        <v>2678</v>
      </c>
      <c r="B2" s="33">
        <v>8.2818570000000005</v>
      </c>
      <c r="C2" s="33">
        <v>3.1212759669999999</v>
      </c>
      <c r="E2" s="34">
        <f t="shared" ref="E2:E65" si="0">B2-C2</f>
        <v>5.1605810330000006</v>
      </c>
      <c r="F2" s="35">
        <v>42659</v>
      </c>
    </row>
    <row r="3" spans="1:6" x14ac:dyDescent="0.3">
      <c r="A3" s="36" t="s">
        <v>2679</v>
      </c>
      <c r="B3" s="33">
        <v>8.2348569999999999</v>
      </c>
      <c r="C3" s="33">
        <v>1.854353162</v>
      </c>
      <c r="E3" s="34">
        <f t="shared" si="0"/>
        <v>6.3805038380000001</v>
      </c>
      <c r="F3" s="35">
        <v>42660</v>
      </c>
    </row>
    <row r="4" spans="1:6" x14ac:dyDescent="0.3">
      <c r="A4" s="36" t="s">
        <v>2680</v>
      </c>
      <c r="B4" s="33">
        <v>7.7878860000000003</v>
      </c>
      <c r="C4" s="33">
        <v>1.7094173800000001</v>
      </c>
      <c r="E4" s="34">
        <f t="shared" si="0"/>
        <v>6.0784686200000007</v>
      </c>
      <c r="F4" s="35">
        <v>42661</v>
      </c>
    </row>
    <row r="5" spans="1:6" x14ac:dyDescent="0.3">
      <c r="A5" s="36" t="s">
        <v>2681</v>
      </c>
      <c r="B5" s="33">
        <v>8.0611669999999993</v>
      </c>
      <c r="C5" s="33">
        <v>1.1451164410000001</v>
      </c>
      <c r="E5" s="34">
        <f t="shared" si="0"/>
        <v>6.9160505589999994</v>
      </c>
      <c r="F5" s="35">
        <v>42662</v>
      </c>
    </row>
    <row r="6" spans="1:6" x14ac:dyDescent="0.3">
      <c r="A6" s="36" t="s">
        <v>2682</v>
      </c>
      <c r="B6" s="33">
        <v>7.9579310000000003</v>
      </c>
      <c r="C6" s="33">
        <v>1.050646373</v>
      </c>
      <c r="E6" s="34">
        <f t="shared" si="0"/>
        <v>6.9072846270000001</v>
      </c>
      <c r="F6" s="35">
        <v>42663</v>
      </c>
    </row>
    <row r="7" spans="1:6" x14ac:dyDescent="0.3">
      <c r="A7" s="36" t="s">
        <v>2683</v>
      </c>
      <c r="B7" s="33">
        <v>9.5510610000000007</v>
      </c>
      <c r="C7" s="33">
        <v>0.33960241400000002</v>
      </c>
      <c r="E7" s="34">
        <f t="shared" si="0"/>
        <v>9.2114585860000009</v>
      </c>
      <c r="F7" s="35">
        <v>42664</v>
      </c>
    </row>
    <row r="8" spans="1:6" x14ac:dyDescent="0.3">
      <c r="A8" s="36" t="s">
        <v>2684</v>
      </c>
      <c r="B8" s="33">
        <v>10.843965000000001</v>
      </c>
      <c r="C8" s="33">
        <v>-0.50441914300000001</v>
      </c>
      <c r="E8" s="34">
        <f t="shared" si="0"/>
        <v>11.348384143000001</v>
      </c>
      <c r="F8" s="35">
        <v>42665</v>
      </c>
    </row>
    <row r="9" spans="1:6" x14ac:dyDescent="0.3">
      <c r="A9" s="36" t="s">
        <v>2358</v>
      </c>
      <c r="B9" s="33">
        <v>12.849809</v>
      </c>
      <c r="C9" s="33">
        <v>-1.740465793</v>
      </c>
      <c r="E9" s="34">
        <f t="shared" si="0"/>
        <v>14.590274793000001</v>
      </c>
      <c r="F9" s="35">
        <v>42666</v>
      </c>
    </row>
    <row r="10" spans="1:6" x14ac:dyDescent="0.3">
      <c r="A10" s="36" t="s">
        <v>2359</v>
      </c>
      <c r="B10" s="33">
        <v>13.070243</v>
      </c>
      <c r="C10" s="33">
        <v>-0.82659538700000001</v>
      </c>
      <c r="E10" s="34">
        <f t="shared" si="0"/>
        <v>13.896838386999999</v>
      </c>
      <c r="F10" s="35">
        <v>42667</v>
      </c>
    </row>
    <row r="11" spans="1:6" x14ac:dyDescent="0.3">
      <c r="A11" s="36" t="s">
        <v>2360</v>
      </c>
      <c r="B11" s="33">
        <v>13.703834000000001</v>
      </c>
      <c r="C11" s="33">
        <v>-0.23916990299999999</v>
      </c>
      <c r="E11" s="34">
        <f t="shared" si="0"/>
        <v>13.943003903000001</v>
      </c>
      <c r="F11" s="35">
        <v>42668</v>
      </c>
    </row>
    <row r="12" spans="1:6" x14ac:dyDescent="0.3">
      <c r="A12" s="36" t="s">
        <v>2361</v>
      </c>
      <c r="B12" s="33">
        <v>13.054028000000001</v>
      </c>
      <c r="C12" s="33">
        <v>-1.850403059</v>
      </c>
      <c r="E12" s="34">
        <f t="shared" si="0"/>
        <v>14.904431059</v>
      </c>
      <c r="F12" s="35">
        <v>42669</v>
      </c>
    </row>
    <row r="13" spans="1:6" x14ac:dyDescent="0.3">
      <c r="A13" s="36" t="s">
        <v>2362</v>
      </c>
      <c r="B13" s="33">
        <v>12.969728</v>
      </c>
      <c r="C13" s="33">
        <v>-1.324719373</v>
      </c>
      <c r="E13" s="34">
        <f t="shared" si="0"/>
        <v>14.294447373000001</v>
      </c>
      <c r="F13" s="35">
        <v>42670</v>
      </c>
    </row>
    <row r="14" spans="1:6" x14ac:dyDescent="0.3">
      <c r="A14" s="36" t="s">
        <v>2363</v>
      </c>
      <c r="B14" s="33">
        <v>12.635391</v>
      </c>
      <c r="C14" s="33">
        <v>0.33602320499999999</v>
      </c>
      <c r="E14" s="34">
        <f t="shared" si="0"/>
        <v>12.299367795</v>
      </c>
      <c r="F14" s="35">
        <v>42671</v>
      </c>
    </row>
    <row r="15" spans="1:6" x14ac:dyDescent="0.3">
      <c r="A15" s="36" t="s">
        <v>2364</v>
      </c>
      <c r="B15" s="33">
        <v>13.148612</v>
      </c>
      <c r="C15" s="33">
        <v>1.461714752</v>
      </c>
      <c r="E15" s="34">
        <f t="shared" si="0"/>
        <v>11.686897247999999</v>
      </c>
      <c r="F15" s="35">
        <v>42672</v>
      </c>
    </row>
    <row r="16" spans="1:6" x14ac:dyDescent="0.3">
      <c r="A16" s="36" t="s">
        <v>2365</v>
      </c>
      <c r="B16" s="33">
        <v>13.892227</v>
      </c>
      <c r="C16" s="33">
        <v>1.4002131179999999</v>
      </c>
      <c r="E16" s="34">
        <f t="shared" si="0"/>
        <v>12.492013882</v>
      </c>
      <c r="F16" s="35">
        <v>42673</v>
      </c>
    </row>
    <row r="17" spans="1:6" x14ac:dyDescent="0.3">
      <c r="A17" s="36" t="s">
        <v>2366</v>
      </c>
      <c r="B17" s="33">
        <v>13.387505000000001</v>
      </c>
      <c r="C17" s="33">
        <v>2.2986308700000002</v>
      </c>
      <c r="E17" s="34">
        <f t="shared" si="0"/>
        <v>11.088874130000001</v>
      </c>
      <c r="F17" s="35">
        <v>42674</v>
      </c>
    </row>
    <row r="18" spans="1:6" x14ac:dyDescent="0.3">
      <c r="A18" s="36" t="s">
        <v>2367</v>
      </c>
      <c r="B18" s="33">
        <v>13.958275</v>
      </c>
      <c r="C18" s="33">
        <v>1.811475505</v>
      </c>
      <c r="E18" s="34">
        <f t="shared" si="0"/>
        <v>12.146799495</v>
      </c>
      <c r="F18" s="35">
        <v>42675</v>
      </c>
    </row>
    <row r="19" spans="1:6" x14ac:dyDescent="0.3">
      <c r="A19" s="36" t="s">
        <v>2368</v>
      </c>
      <c r="B19" s="33">
        <v>14.460948</v>
      </c>
      <c r="C19" s="33">
        <v>4.038066615</v>
      </c>
      <c r="E19" s="34">
        <f t="shared" si="0"/>
        <v>10.422881385</v>
      </c>
      <c r="F19" s="35">
        <v>42676</v>
      </c>
    </row>
    <row r="20" spans="1:6" x14ac:dyDescent="0.3">
      <c r="A20" s="36" t="s">
        <v>2369</v>
      </c>
      <c r="B20" s="33">
        <v>15.623473000000001</v>
      </c>
      <c r="C20" s="33">
        <v>4.0293189900000002</v>
      </c>
      <c r="E20" s="34">
        <f t="shared" si="0"/>
        <v>11.59415401</v>
      </c>
      <c r="F20" s="35">
        <v>42677</v>
      </c>
    </row>
    <row r="21" spans="1:6" x14ac:dyDescent="0.3">
      <c r="A21" s="36" t="s">
        <v>2370</v>
      </c>
      <c r="B21" s="33">
        <v>13.692057</v>
      </c>
      <c r="C21" s="33">
        <v>5.5027536289999999</v>
      </c>
      <c r="E21" s="34">
        <f t="shared" si="0"/>
        <v>8.1893033710000012</v>
      </c>
      <c r="F21" s="35">
        <v>42678</v>
      </c>
    </row>
    <row r="22" spans="1:6" x14ac:dyDescent="0.3">
      <c r="A22" s="36" t="s">
        <v>2371</v>
      </c>
      <c r="B22" s="33">
        <v>11.787630999999999</v>
      </c>
      <c r="C22" s="33">
        <v>5.1799910489999998</v>
      </c>
      <c r="E22" s="34">
        <f t="shared" si="0"/>
        <v>6.6076399509999995</v>
      </c>
      <c r="F22" s="35">
        <v>42679</v>
      </c>
    </row>
    <row r="23" spans="1:6" x14ac:dyDescent="0.3">
      <c r="A23" s="36" t="s">
        <v>2372</v>
      </c>
      <c r="B23" s="33">
        <v>10.808654000000001</v>
      </c>
      <c r="C23" s="33">
        <v>6.6597616549999996</v>
      </c>
      <c r="E23" s="34">
        <f t="shared" si="0"/>
        <v>4.148892345000001</v>
      </c>
      <c r="F23" s="35">
        <v>42680</v>
      </c>
    </row>
    <row r="24" spans="1:6" x14ac:dyDescent="0.3">
      <c r="A24" s="36" t="s">
        <v>2373</v>
      </c>
      <c r="B24" s="33">
        <v>10.080423</v>
      </c>
      <c r="C24" s="33">
        <v>6.5820203169999996</v>
      </c>
      <c r="E24" s="34">
        <f t="shared" si="0"/>
        <v>3.4984026830000001</v>
      </c>
      <c r="F24" s="35">
        <v>42681</v>
      </c>
    </row>
    <row r="25" spans="1:6" x14ac:dyDescent="0.3">
      <c r="A25" s="36" t="s">
        <v>2374</v>
      </c>
      <c r="B25" s="33">
        <v>8.6086410000000004</v>
      </c>
      <c r="C25" s="33">
        <v>6.2479469989999998</v>
      </c>
      <c r="E25" s="34">
        <f t="shared" si="0"/>
        <v>2.3606940010000006</v>
      </c>
      <c r="F25" s="35">
        <v>42682</v>
      </c>
    </row>
    <row r="26" spans="1:6" x14ac:dyDescent="0.3">
      <c r="A26" s="36" t="s">
        <v>2375</v>
      </c>
      <c r="B26" s="33">
        <v>9.1625019999999999</v>
      </c>
      <c r="C26" s="33">
        <v>3.8840714520000001</v>
      </c>
      <c r="E26" s="34">
        <f t="shared" si="0"/>
        <v>5.2784305479999993</v>
      </c>
      <c r="F26" s="35">
        <v>42683</v>
      </c>
    </row>
    <row r="27" spans="1:6" x14ac:dyDescent="0.3">
      <c r="A27" s="36" t="s">
        <v>2376</v>
      </c>
      <c r="B27" s="33">
        <v>9.1963150000000002</v>
      </c>
      <c r="C27" s="33">
        <v>2.574450009</v>
      </c>
      <c r="E27" s="34">
        <f t="shared" si="0"/>
        <v>6.6218649910000007</v>
      </c>
      <c r="F27" s="35">
        <v>42684</v>
      </c>
    </row>
    <row r="28" spans="1:6" x14ac:dyDescent="0.3">
      <c r="A28" s="36" t="s">
        <v>2377</v>
      </c>
      <c r="B28" s="33">
        <v>9.7486829999999998</v>
      </c>
      <c r="C28" s="33">
        <v>0.35837763900000003</v>
      </c>
      <c r="E28" s="34">
        <f t="shared" si="0"/>
        <v>9.3903053609999994</v>
      </c>
      <c r="F28" s="35">
        <v>42685</v>
      </c>
    </row>
    <row r="29" spans="1:6" x14ac:dyDescent="0.3">
      <c r="A29" s="36" t="s">
        <v>2378</v>
      </c>
      <c r="B29" s="33">
        <v>10.681450999999999</v>
      </c>
      <c r="C29" s="33">
        <v>-0.55764419899999995</v>
      </c>
      <c r="E29" s="34">
        <f t="shared" si="0"/>
        <v>11.239095198999999</v>
      </c>
      <c r="F29" s="35">
        <v>42686</v>
      </c>
    </row>
    <row r="30" spans="1:6" x14ac:dyDescent="0.3">
      <c r="A30" s="36" t="s">
        <v>2379</v>
      </c>
      <c r="B30" s="33">
        <v>8.9494600000000002</v>
      </c>
      <c r="C30" s="33">
        <v>-0.701290945</v>
      </c>
      <c r="E30" s="34">
        <f t="shared" si="0"/>
        <v>9.6507509450000004</v>
      </c>
      <c r="F30" s="35">
        <v>42687</v>
      </c>
    </row>
    <row r="31" spans="1:6" x14ac:dyDescent="0.3">
      <c r="A31" s="36" t="s">
        <v>2380</v>
      </c>
      <c r="B31" s="33">
        <v>9.5004720000000002</v>
      </c>
      <c r="C31" s="33">
        <v>0.102688582</v>
      </c>
      <c r="E31" s="34">
        <f t="shared" si="0"/>
        <v>9.3977834179999995</v>
      </c>
      <c r="F31" s="35">
        <v>42688</v>
      </c>
    </row>
    <row r="32" spans="1:6" x14ac:dyDescent="0.3">
      <c r="A32" s="36" t="s">
        <v>2381</v>
      </c>
      <c r="B32" s="33">
        <v>10.825122</v>
      </c>
      <c r="C32" s="33">
        <v>0.16079922999999999</v>
      </c>
      <c r="E32" s="34">
        <f t="shared" si="0"/>
        <v>10.66432277</v>
      </c>
      <c r="F32" s="35">
        <v>42689</v>
      </c>
    </row>
    <row r="33" spans="1:6" x14ac:dyDescent="0.3">
      <c r="A33" s="36" t="s">
        <v>2382</v>
      </c>
      <c r="B33" s="33">
        <v>9.3700119999999991</v>
      </c>
      <c r="C33" s="33">
        <v>-0.54549801099999995</v>
      </c>
      <c r="E33" s="34">
        <f t="shared" si="0"/>
        <v>9.9155100109999985</v>
      </c>
      <c r="F33" s="35">
        <v>42690</v>
      </c>
    </row>
    <row r="34" spans="1:6" x14ac:dyDescent="0.3">
      <c r="A34" s="36" t="s">
        <v>2383</v>
      </c>
      <c r="B34" s="33">
        <v>9.7393789999999996</v>
      </c>
      <c r="C34" s="33">
        <v>1.074853241</v>
      </c>
      <c r="E34" s="34">
        <f t="shared" si="0"/>
        <v>8.664525759</v>
      </c>
      <c r="F34" s="35">
        <v>42691</v>
      </c>
    </row>
    <row r="35" spans="1:6" x14ac:dyDescent="0.3">
      <c r="A35" s="36" t="s">
        <v>2384</v>
      </c>
      <c r="B35" s="33">
        <v>9.9123649999999994</v>
      </c>
      <c r="C35" s="33">
        <v>0.70842344000000002</v>
      </c>
      <c r="E35" s="34">
        <f t="shared" si="0"/>
        <v>9.2039415599999987</v>
      </c>
      <c r="F35" s="35">
        <v>42692</v>
      </c>
    </row>
    <row r="36" spans="1:6" x14ac:dyDescent="0.3">
      <c r="A36" s="36" t="s">
        <v>2385</v>
      </c>
      <c r="B36" s="33">
        <v>9.3135030000000008</v>
      </c>
      <c r="C36" s="33">
        <v>0.69736378700000001</v>
      </c>
      <c r="E36" s="34">
        <f t="shared" si="0"/>
        <v>8.6161392130000003</v>
      </c>
      <c r="F36" s="35">
        <v>42693</v>
      </c>
    </row>
    <row r="37" spans="1:6" x14ac:dyDescent="0.3">
      <c r="A37" s="36" t="s">
        <v>2386</v>
      </c>
      <c r="B37" s="33">
        <v>9.606007</v>
      </c>
      <c r="C37" s="33">
        <v>0.34269469299999999</v>
      </c>
      <c r="E37" s="34">
        <f t="shared" si="0"/>
        <v>9.2633123069999996</v>
      </c>
      <c r="F37" s="35">
        <v>42694</v>
      </c>
    </row>
    <row r="38" spans="1:6" x14ac:dyDescent="0.3">
      <c r="A38" s="36" t="s">
        <v>2387</v>
      </c>
      <c r="B38" s="33">
        <v>9.3567199999999993</v>
      </c>
      <c r="C38" s="33">
        <v>3.4407959999999999E-3</v>
      </c>
      <c r="E38" s="34">
        <f t="shared" si="0"/>
        <v>9.3532792039999997</v>
      </c>
      <c r="F38" s="35">
        <v>42695</v>
      </c>
    </row>
    <row r="39" spans="1:6" x14ac:dyDescent="0.3">
      <c r="A39" s="36" t="s">
        <v>2388</v>
      </c>
      <c r="B39" s="33">
        <v>10.052381</v>
      </c>
      <c r="C39" s="33">
        <v>-0.69451966099999995</v>
      </c>
      <c r="E39" s="34">
        <f t="shared" si="0"/>
        <v>10.746900661</v>
      </c>
      <c r="F39" s="35">
        <v>42696</v>
      </c>
    </row>
    <row r="40" spans="1:6" x14ac:dyDescent="0.3">
      <c r="A40" s="36" t="s">
        <v>2389</v>
      </c>
      <c r="B40" s="33">
        <v>10.198112</v>
      </c>
      <c r="C40" s="33">
        <v>-1.258728311</v>
      </c>
      <c r="E40" s="34">
        <f t="shared" si="0"/>
        <v>11.456840311000001</v>
      </c>
      <c r="F40" s="35">
        <v>42697</v>
      </c>
    </row>
    <row r="41" spans="1:6" x14ac:dyDescent="0.3">
      <c r="A41" s="36" t="s">
        <v>2390</v>
      </c>
      <c r="B41" s="33">
        <v>8.69956</v>
      </c>
      <c r="C41" s="33">
        <v>-1.971718866</v>
      </c>
      <c r="E41" s="34">
        <f t="shared" si="0"/>
        <v>10.671278866</v>
      </c>
      <c r="F41" s="35">
        <v>42698</v>
      </c>
    </row>
    <row r="42" spans="1:6" x14ac:dyDescent="0.3">
      <c r="A42" s="36" t="s">
        <v>2391</v>
      </c>
      <c r="B42" s="33">
        <v>8.7521819999999995</v>
      </c>
      <c r="C42" s="33">
        <v>-1.4410993569999999</v>
      </c>
      <c r="E42" s="34">
        <f t="shared" si="0"/>
        <v>10.193281357</v>
      </c>
      <c r="F42" s="35">
        <v>42699</v>
      </c>
    </row>
    <row r="43" spans="1:6" x14ac:dyDescent="0.3">
      <c r="A43" s="36" t="s">
        <v>2392</v>
      </c>
      <c r="B43" s="33">
        <v>6.9990610000000002</v>
      </c>
      <c r="C43" s="33">
        <v>-1.8172871859999999</v>
      </c>
      <c r="E43" s="34">
        <f t="shared" si="0"/>
        <v>8.8163481860000008</v>
      </c>
      <c r="F43" s="35">
        <v>42700</v>
      </c>
    </row>
    <row r="44" spans="1:6" x14ac:dyDescent="0.3">
      <c r="A44" s="36" t="s">
        <v>2393</v>
      </c>
      <c r="B44" s="33">
        <v>7.5117529999999997</v>
      </c>
      <c r="C44" s="33">
        <v>-3.9427187990000001</v>
      </c>
      <c r="E44" s="34">
        <f t="shared" si="0"/>
        <v>11.454471799</v>
      </c>
      <c r="F44" s="35">
        <v>42701</v>
      </c>
    </row>
    <row r="45" spans="1:6" x14ac:dyDescent="0.3">
      <c r="A45" s="36" t="s">
        <v>2394</v>
      </c>
      <c r="B45" s="33">
        <v>6.3283769999999997</v>
      </c>
      <c r="C45" s="33">
        <v>-3.2646427930000002</v>
      </c>
      <c r="E45" s="34">
        <f t="shared" si="0"/>
        <v>9.5930197929999999</v>
      </c>
      <c r="F45" s="35">
        <v>42702</v>
      </c>
    </row>
    <row r="46" spans="1:6" x14ac:dyDescent="0.3">
      <c r="A46" s="36" t="s">
        <v>2395</v>
      </c>
      <c r="B46" s="33">
        <v>6.5988280000000001</v>
      </c>
      <c r="C46" s="33">
        <v>-4.3740992690000002</v>
      </c>
      <c r="E46" s="34">
        <f t="shared" si="0"/>
        <v>10.972927268999999</v>
      </c>
      <c r="F46" s="35">
        <v>42703</v>
      </c>
    </row>
    <row r="47" spans="1:6" x14ac:dyDescent="0.3">
      <c r="A47" s="36" t="s">
        <v>2396</v>
      </c>
      <c r="B47" s="33">
        <v>6.6447919999999998</v>
      </c>
      <c r="C47" s="33">
        <v>-5.682855762</v>
      </c>
      <c r="E47" s="34">
        <f t="shared" si="0"/>
        <v>12.327647762</v>
      </c>
      <c r="F47" s="35">
        <v>42704</v>
      </c>
    </row>
    <row r="48" spans="1:6" x14ac:dyDescent="0.3">
      <c r="A48" s="36" t="s">
        <v>2397</v>
      </c>
      <c r="B48" s="33">
        <v>7.5853120000000001</v>
      </c>
      <c r="C48" s="33">
        <v>-5.6771558459999998</v>
      </c>
      <c r="E48" s="34">
        <f t="shared" si="0"/>
        <v>13.262467846</v>
      </c>
      <c r="F48" s="35">
        <v>42705</v>
      </c>
    </row>
    <row r="49" spans="1:6" x14ac:dyDescent="0.3">
      <c r="A49" s="36" t="s">
        <v>2398</v>
      </c>
      <c r="B49" s="33">
        <v>7.7035600000000004</v>
      </c>
      <c r="C49" s="33">
        <v>-5.9540050369999999</v>
      </c>
      <c r="E49" s="34">
        <f t="shared" si="0"/>
        <v>13.657565037000001</v>
      </c>
      <c r="F49" s="35">
        <v>42706</v>
      </c>
    </row>
    <row r="50" spans="1:6" x14ac:dyDescent="0.3">
      <c r="A50" s="36" t="s">
        <v>2399</v>
      </c>
      <c r="B50" s="33">
        <v>7.4257840000000002</v>
      </c>
      <c r="C50" s="33">
        <v>-5.9776612819999997</v>
      </c>
      <c r="E50" s="34">
        <f t="shared" si="0"/>
        <v>13.403445282</v>
      </c>
      <c r="F50" s="35">
        <v>42707</v>
      </c>
    </row>
    <row r="51" spans="1:6" x14ac:dyDescent="0.3">
      <c r="A51" s="36" t="s">
        <v>2400</v>
      </c>
      <c r="B51" s="33">
        <v>6.872001</v>
      </c>
      <c r="C51" s="33">
        <v>-4.4547348160000002</v>
      </c>
      <c r="E51" s="34">
        <f t="shared" si="0"/>
        <v>11.326735815999999</v>
      </c>
      <c r="F51" s="35">
        <v>42708</v>
      </c>
    </row>
    <row r="52" spans="1:6" x14ac:dyDescent="0.3">
      <c r="A52" s="36" t="s">
        <v>2401</v>
      </c>
      <c r="B52" s="33">
        <v>7.805536</v>
      </c>
      <c r="C52" s="33">
        <v>-3.9823272580000002</v>
      </c>
      <c r="E52" s="34">
        <f t="shared" si="0"/>
        <v>11.787863258</v>
      </c>
      <c r="F52" s="35">
        <v>42709</v>
      </c>
    </row>
    <row r="53" spans="1:6" x14ac:dyDescent="0.3">
      <c r="A53" s="36" t="s">
        <v>2402</v>
      </c>
      <c r="B53" s="33">
        <v>9.7016639999999992</v>
      </c>
      <c r="C53" s="33">
        <v>-4.1203864079999999</v>
      </c>
      <c r="E53" s="34">
        <f t="shared" si="0"/>
        <v>13.822050407999999</v>
      </c>
      <c r="F53" s="35">
        <v>42710</v>
      </c>
    </row>
    <row r="54" spans="1:6" x14ac:dyDescent="0.3">
      <c r="A54" s="36" t="s">
        <v>2403</v>
      </c>
      <c r="B54" s="33">
        <v>9.6984390000000005</v>
      </c>
      <c r="C54" s="33">
        <v>-3.0391539559999998</v>
      </c>
      <c r="E54" s="34">
        <f t="shared" si="0"/>
        <v>12.737592956</v>
      </c>
      <c r="F54" s="35">
        <v>42711</v>
      </c>
    </row>
    <row r="55" spans="1:6" x14ac:dyDescent="0.3">
      <c r="A55" s="36" t="s">
        <v>2404</v>
      </c>
      <c r="B55" s="33">
        <v>9.0385380000000008</v>
      </c>
      <c r="C55" s="33">
        <v>-6.2674535000000003E-2</v>
      </c>
      <c r="E55" s="34">
        <f t="shared" si="0"/>
        <v>9.1012125350000002</v>
      </c>
      <c r="F55" s="35">
        <v>42712</v>
      </c>
    </row>
    <row r="56" spans="1:6" x14ac:dyDescent="0.3">
      <c r="A56" s="36" t="s">
        <v>2405</v>
      </c>
      <c r="B56" s="33">
        <v>9.6800879999999996</v>
      </c>
      <c r="C56" s="33">
        <v>1.3775312639999999</v>
      </c>
      <c r="E56" s="34">
        <f t="shared" si="0"/>
        <v>8.3025567359999997</v>
      </c>
      <c r="F56" s="35">
        <v>42713</v>
      </c>
    </row>
    <row r="57" spans="1:6" x14ac:dyDescent="0.3">
      <c r="A57" s="36" t="s">
        <v>2406</v>
      </c>
      <c r="B57" s="33">
        <v>10.209383000000001</v>
      </c>
      <c r="C57" s="33">
        <v>-1.1778159E-2</v>
      </c>
      <c r="E57" s="34">
        <f t="shared" si="0"/>
        <v>10.221161159000001</v>
      </c>
      <c r="F57" s="35">
        <v>42714</v>
      </c>
    </row>
    <row r="58" spans="1:6" x14ac:dyDescent="0.3">
      <c r="A58" s="36" t="s">
        <v>2407</v>
      </c>
      <c r="B58" s="33">
        <v>10.147971999999999</v>
      </c>
      <c r="C58" s="33">
        <v>0.26361664299999998</v>
      </c>
      <c r="E58" s="34">
        <f t="shared" si="0"/>
        <v>9.8843553569999987</v>
      </c>
      <c r="F58" s="35">
        <v>42715</v>
      </c>
    </row>
    <row r="59" spans="1:6" x14ac:dyDescent="0.3">
      <c r="A59" s="36" t="s">
        <v>2408</v>
      </c>
      <c r="B59" s="33">
        <v>9.4815199999999997</v>
      </c>
      <c r="C59" s="33">
        <v>-0.22533362400000001</v>
      </c>
      <c r="E59" s="34">
        <f t="shared" si="0"/>
        <v>9.706853623999999</v>
      </c>
      <c r="F59" s="35">
        <v>42716</v>
      </c>
    </row>
    <row r="60" spans="1:6" x14ac:dyDescent="0.3">
      <c r="A60" s="36" t="s">
        <v>2409</v>
      </c>
      <c r="B60" s="33">
        <v>8.8193619999999999</v>
      </c>
      <c r="C60" s="33">
        <v>-0.57635157000000004</v>
      </c>
      <c r="E60" s="34">
        <f t="shared" si="0"/>
        <v>9.3957135699999998</v>
      </c>
      <c r="F60" s="35">
        <v>42717</v>
      </c>
    </row>
    <row r="61" spans="1:6" x14ac:dyDescent="0.3">
      <c r="A61" s="36" t="s">
        <v>2410</v>
      </c>
      <c r="B61" s="33">
        <v>7.3719840000000003</v>
      </c>
      <c r="C61" s="33">
        <v>-0.91656642200000005</v>
      </c>
      <c r="E61" s="34">
        <f t="shared" si="0"/>
        <v>8.2885504220000001</v>
      </c>
      <c r="F61" s="35">
        <v>42718</v>
      </c>
    </row>
    <row r="62" spans="1:6" x14ac:dyDescent="0.3">
      <c r="A62" s="36" t="s">
        <v>2411</v>
      </c>
      <c r="B62" s="33">
        <v>7.0556349999999997</v>
      </c>
      <c r="C62" s="33">
        <v>-2.1846147920000001</v>
      </c>
      <c r="E62" s="34">
        <f t="shared" si="0"/>
        <v>9.2402497920000002</v>
      </c>
      <c r="F62" s="35">
        <v>42719</v>
      </c>
    </row>
    <row r="63" spans="1:6" x14ac:dyDescent="0.3">
      <c r="A63" s="36" t="s">
        <v>2412</v>
      </c>
      <c r="B63" s="33">
        <v>7.0224099999999998</v>
      </c>
      <c r="C63" s="33">
        <v>-1.7582567330000001</v>
      </c>
      <c r="E63" s="34">
        <f t="shared" si="0"/>
        <v>8.7806667330000003</v>
      </c>
      <c r="F63" s="35">
        <v>42720</v>
      </c>
    </row>
    <row r="64" spans="1:6" x14ac:dyDescent="0.3">
      <c r="A64" s="36" t="s">
        <v>2413</v>
      </c>
      <c r="B64" s="33">
        <v>5.2531889999999999</v>
      </c>
      <c r="C64" s="33">
        <v>-2.7655716319999999</v>
      </c>
      <c r="E64" s="34">
        <f t="shared" si="0"/>
        <v>8.0187606319999993</v>
      </c>
      <c r="F64" s="35">
        <v>42721</v>
      </c>
    </row>
    <row r="65" spans="1:6" x14ac:dyDescent="0.3">
      <c r="A65" s="36" t="s">
        <v>2414</v>
      </c>
      <c r="B65" s="33">
        <v>6.0431030000000003</v>
      </c>
      <c r="C65" s="33">
        <v>-3.6734058350000001</v>
      </c>
      <c r="E65" s="34">
        <f t="shared" si="0"/>
        <v>9.7165088350000008</v>
      </c>
      <c r="F65" s="35">
        <v>42722</v>
      </c>
    </row>
    <row r="66" spans="1:6" x14ac:dyDescent="0.3">
      <c r="A66" s="36" t="s">
        <v>2415</v>
      </c>
      <c r="B66" s="33">
        <v>5.7338979999999999</v>
      </c>
      <c r="C66" s="33">
        <v>-2.756974332</v>
      </c>
      <c r="E66" s="34">
        <f t="shared" ref="E66:E129" si="1">B66-C66</f>
        <v>8.4908723320000004</v>
      </c>
      <c r="F66" s="35">
        <v>42723</v>
      </c>
    </row>
    <row r="67" spans="1:6" x14ac:dyDescent="0.3">
      <c r="A67" s="36" t="s">
        <v>2416</v>
      </c>
      <c r="B67" s="33">
        <v>6.813682</v>
      </c>
      <c r="C67" s="33">
        <v>-3.2199894840000001</v>
      </c>
      <c r="E67" s="34">
        <f t="shared" si="1"/>
        <v>10.033671483999999</v>
      </c>
      <c r="F67" s="35">
        <v>42724</v>
      </c>
    </row>
    <row r="68" spans="1:6" x14ac:dyDescent="0.3">
      <c r="A68" s="36" t="s">
        <v>2417</v>
      </c>
      <c r="B68" s="33">
        <v>7.1367289999999999</v>
      </c>
      <c r="C68" s="33">
        <v>-3.0582449070000002</v>
      </c>
      <c r="E68" s="34">
        <f t="shared" si="1"/>
        <v>10.194973907</v>
      </c>
      <c r="F68" s="35">
        <v>42725</v>
      </c>
    </row>
    <row r="69" spans="1:6" x14ac:dyDescent="0.3">
      <c r="A69" s="36" t="s">
        <v>2418</v>
      </c>
      <c r="B69" s="33">
        <v>8.9628490000000003</v>
      </c>
      <c r="C69" s="33">
        <v>-0.94030143600000005</v>
      </c>
      <c r="E69" s="34">
        <f t="shared" si="1"/>
        <v>9.9031504360000007</v>
      </c>
      <c r="F69" s="35">
        <v>42726</v>
      </c>
    </row>
    <row r="70" spans="1:6" x14ac:dyDescent="0.3">
      <c r="A70" s="36" t="s">
        <v>2419</v>
      </c>
      <c r="B70" s="33">
        <v>7.8635029999999997</v>
      </c>
      <c r="C70" s="33">
        <v>-1.7941207349999999</v>
      </c>
      <c r="E70" s="34">
        <f t="shared" si="1"/>
        <v>9.6576237349999996</v>
      </c>
      <c r="F70" s="35">
        <v>42727</v>
      </c>
    </row>
    <row r="71" spans="1:6" x14ac:dyDescent="0.3">
      <c r="A71" s="36" t="s">
        <v>2420</v>
      </c>
      <c r="B71" s="33">
        <v>8.0098029999999998</v>
      </c>
      <c r="C71" s="33">
        <v>-0.43068483699999999</v>
      </c>
      <c r="E71" s="34">
        <f t="shared" si="1"/>
        <v>8.4404878369999992</v>
      </c>
      <c r="F71" s="35">
        <v>42728</v>
      </c>
    </row>
    <row r="72" spans="1:6" x14ac:dyDescent="0.3">
      <c r="A72" s="36" t="s">
        <v>2421</v>
      </c>
      <c r="B72" s="33">
        <v>8.535202</v>
      </c>
      <c r="C72" s="33">
        <v>-0.95310481499999999</v>
      </c>
      <c r="E72" s="34">
        <f t="shared" si="1"/>
        <v>9.4883068149999996</v>
      </c>
      <c r="F72" s="35">
        <v>42729</v>
      </c>
    </row>
    <row r="73" spans="1:6" x14ac:dyDescent="0.3">
      <c r="A73" s="36" t="s">
        <v>2422</v>
      </c>
      <c r="B73" s="33">
        <v>9.2599339999999994</v>
      </c>
      <c r="C73" s="33">
        <v>-0.89500022999999995</v>
      </c>
      <c r="E73" s="34">
        <f t="shared" si="1"/>
        <v>10.154934229999999</v>
      </c>
      <c r="F73" s="35">
        <v>42730</v>
      </c>
    </row>
    <row r="74" spans="1:6" x14ac:dyDescent="0.3">
      <c r="A74" s="36" t="s">
        <v>2423</v>
      </c>
      <c r="B74" s="33">
        <v>9.854533</v>
      </c>
      <c r="C74" s="33">
        <v>-0.31279235</v>
      </c>
      <c r="E74" s="34">
        <f t="shared" si="1"/>
        <v>10.16732535</v>
      </c>
      <c r="F74" s="35">
        <v>42731</v>
      </c>
    </row>
    <row r="75" spans="1:6" x14ac:dyDescent="0.3">
      <c r="A75" s="36" t="s">
        <v>2424</v>
      </c>
      <c r="B75" s="33">
        <v>8.7441940000000002</v>
      </c>
      <c r="C75" s="33">
        <v>-0.31556030000000002</v>
      </c>
      <c r="E75" s="34">
        <f t="shared" si="1"/>
        <v>9.0597542999999998</v>
      </c>
      <c r="F75" s="35">
        <v>42732</v>
      </c>
    </row>
    <row r="76" spans="1:6" x14ac:dyDescent="0.3">
      <c r="A76" s="36" t="s">
        <v>2425</v>
      </c>
      <c r="B76" s="33">
        <v>8.8750699999999991</v>
      </c>
      <c r="C76" s="33">
        <v>-0.46751398</v>
      </c>
      <c r="E76" s="34">
        <f t="shared" si="1"/>
        <v>9.3425839799999988</v>
      </c>
      <c r="F76" s="35">
        <v>42733</v>
      </c>
    </row>
    <row r="77" spans="1:6" x14ac:dyDescent="0.3">
      <c r="A77" s="36" t="s">
        <v>2426</v>
      </c>
      <c r="B77" s="33">
        <v>9.4815760000000004</v>
      </c>
      <c r="C77" s="33">
        <v>0.76240165500000001</v>
      </c>
      <c r="E77" s="34">
        <f t="shared" si="1"/>
        <v>8.7191743450000008</v>
      </c>
      <c r="F77" s="35">
        <v>42734</v>
      </c>
    </row>
    <row r="78" spans="1:6" x14ac:dyDescent="0.3">
      <c r="A78" s="36" t="s">
        <v>2427</v>
      </c>
      <c r="B78" s="33">
        <v>8.9471030000000003</v>
      </c>
      <c r="C78" s="33">
        <v>1.277461271</v>
      </c>
      <c r="E78" s="34">
        <f t="shared" si="1"/>
        <v>7.6696417290000003</v>
      </c>
      <c r="F78" s="35">
        <v>42735</v>
      </c>
    </row>
    <row r="79" spans="1:6" x14ac:dyDescent="0.3">
      <c r="A79" s="36" t="s">
        <v>2428</v>
      </c>
      <c r="B79" s="33">
        <v>9.8934730000000002</v>
      </c>
      <c r="C79" s="33">
        <v>2.2926556769999999</v>
      </c>
      <c r="E79" s="34">
        <f t="shared" si="1"/>
        <v>7.6008173230000002</v>
      </c>
      <c r="F79" s="35">
        <v>42736</v>
      </c>
    </row>
    <row r="80" spans="1:6" x14ac:dyDescent="0.3">
      <c r="A80" s="36" t="s">
        <v>2429</v>
      </c>
      <c r="B80" s="33">
        <v>9.4316440000000004</v>
      </c>
      <c r="C80" s="33">
        <v>3.3874076999999998</v>
      </c>
      <c r="E80" s="34">
        <f t="shared" si="1"/>
        <v>6.0442363000000006</v>
      </c>
      <c r="F80" s="35">
        <v>42737</v>
      </c>
    </row>
    <row r="81" spans="1:6" x14ac:dyDescent="0.3">
      <c r="A81" s="36" t="s">
        <v>2430</v>
      </c>
      <c r="B81" s="33">
        <v>11.260489</v>
      </c>
      <c r="C81" s="33">
        <v>4.5677591670000002</v>
      </c>
      <c r="E81" s="34">
        <f t="shared" si="1"/>
        <v>6.6927298329999996</v>
      </c>
      <c r="F81" s="35">
        <v>42738</v>
      </c>
    </row>
    <row r="82" spans="1:6" x14ac:dyDescent="0.3">
      <c r="A82" s="36" t="s">
        <v>2431</v>
      </c>
      <c r="B82" s="33">
        <v>11.358299000000001</v>
      </c>
      <c r="C82" s="33">
        <v>5.0407247699999997</v>
      </c>
      <c r="E82" s="34">
        <f t="shared" si="1"/>
        <v>6.3175742300000008</v>
      </c>
      <c r="F82" s="35">
        <v>42739</v>
      </c>
    </row>
    <row r="83" spans="1:6" x14ac:dyDescent="0.3">
      <c r="A83" s="36" t="s">
        <v>2432</v>
      </c>
      <c r="B83" s="33">
        <v>10.51505</v>
      </c>
      <c r="C83" s="33">
        <v>5.960176401</v>
      </c>
      <c r="E83" s="34">
        <f t="shared" si="1"/>
        <v>4.5548735990000004</v>
      </c>
      <c r="F83" s="35">
        <v>42740</v>
      </c>
    </row>
    <row r="84" spans="1:6" x14ac:dyDescent="0.3">
      <c r="A84" s="36" t="s">
        <v>2433</v>
      </c>
      <c r="B84" s="33">
        <v>8.801482</v>
      </c>
      <c r="C84" s="33">
        <v>5.0854943419999996</v>
      </c>
      <c r="E84" s="34">
        <f t="shared" si="1"/>
        <v>3.7159876580000004</v>
      </c>
      <c r="F84" s="35">
        <v>42741</v>
      </c>
    </row>
    <row r="85" spans="1:6" x14ac:dyDescent="0.3">
      <c r="A85" s="36" t="s">
        <v>2434</v>
      </c>
      <c r="B85" s="33">
        <v>9.0233530000000002</v>
      </c>
      <c r="C85" s="33">
        <v>6.5404732059999997</v>
      </c>
      <c r="E85" s="34">
        <f t="shared" si="1"/>
        <v>2.4828797940000005</v>
      </c>
      <c r="F85" s="35">
        <v>42742</v>
      </c>
    </row>
    <row r="86" spans="1:6" x14ac:dyDescent="0.3">
      <c r="A86" s="36" t="s">
        <v>2435</v>
      </c>
      <c r="B86" s="33">
        <v>9.2030469999999998</v>
      </c>
      <c r="C86" s="33">
        <v>5.8475144270000001</v>
      </c>
      <c r="E86" s="34">
        <f t="shared" si="1"/>
        <v>3.3555325729999996</v>
      </c>
      <c r="F86" s="35">
        <v>42743</v>
      </c>
    </row>
    <row r="87" spans="1:6" x14ac:dyDescent="0.3">
      <c r="A87" s="36" t="s">
        <v>2436</v>
      </c>
      <c r="B87" s="33">
        <v>8.2114770000000004</v>
      </c>
      <c r="C87" s="33">
        <v>5.3722579079999999</v>
      </c>
      <c r="E87" s="34">
        <f t="shared" si="1"/>
        <v>2.8392190920000004</v>
      </c>
      <c r="F87" s="35">
        <v>42744</v>
      </c>
    </row>
    <row r="88" spans="1:6" x14ac:dyDescent="0.3">
      <c r="A88" s="36" t="s">
        <v>2437</v>
      </c>
      <c r="B88" s="33">
        <v>8.5671540000000004</v>
      </c>
      <c r="C88" s="33">
        <v>5.5140087949999996</v>
      </c>
      <c r="E88" s="34">
        <f t="shared" si="1"/>
        <v>3.0531452050000008</v>
      </c>
      <c r="F88" s="35">
        <v>42745</v>
      </c>
    </row>
    <row r="89" spans="1:6" x14ac:dyDescent="0.3">
      <c r="A89" s="36" t="s">
        <v>2438</v>
      </c>
      <c r="B89" s="33">
        <v>8.0158529999999999</v>
      </c>
      <c r="C89" s="33">
        <v>4.3083075490000002</v>
      </c>
      <c r="E89" s="34">
        <f t="shared" si="1"/>
        <v>3.7075454509999997</v>
      </c>
      <c r="F89" s="35">
        <v>42746</v>
      </c>
    </row>
    <row r="90" spans="1:6" x14ac:dyDescent="0.3">
      <c r="A90" s="36" t="s">
        <v>2439</v>
      </c>
      <c r="B90" s="33">
        <v>8.0647029999999997</v>
      </c>
      <c r="C90" s="33">
        <v>4.5410156419999996</v>
      </c>
      <c r="E90" s="34">
        <f t="shared" si="1"/>
        <v>3.5236873580000001</v>
      </c>
      <c r="F90" s="35">
        <v>42747</v>
      </c>
    </row>
    <row r="91" spans="1:6" x14ac:dyDescent="0.3">
      <c r="A91" s="36" t="s">
        <v>2440</v>
      </c>
      <c r="B91" s="33">
        <v>10.11195</v>
      </c>
      <c r="C91" s="33">
        <v>6.1358455410000001</v>
      </c>
      <c r="E91" s="34">
        <f t="shared" si="1"/>
        <v>3.9761044590000001</v>
      </c>
      <c r="F91" s="35">
        <v>42748</v>
      </c>
    </row>
    <row r="92" spans="1:6" x14ac:dyDescent="0.3">
      <c r="A92" s="36" t="s">
        <v>2441</v>
      </c>
      <c r="B92" s="33">
        <v>12.029593999999999</v>
      </c>
      <c r="C92" s="33">
        <v>6.8430209590000004</v>
      </c>
      <c r="E92" s="34">
        <f t="shared" si="1"/>
        <v>5.1865730409999991</v>
      </c>
      <c r="F92" s="35">
        <v>42749</v>
      </c>
    </row>
    <row r="93" spans="1:6" x14ac:dyDescent="0.3">
      <c r="A93" s="36" t="s">
        <v>2442</v>
      </c>
      <c r="B93" s="33">
        <v>11.352319</v>
      </c>
      <c r="C93" s="33">
        <v>6.1031764739999996</v>
      </c>
      <c r="E93" s="34">
        <f t="shared" si="1"/>
        <v>5.249142526</v>
      </c>
      <c r="F93" s="35">
        <v>42750</v>
      </c>
    </row>
    <row r="94" spans="1:6" x14ac:dyDescent="0.3">
      <c r="A94" s="36" t="s">
        <v>2443</v>
      </c>
      <c r="B94" s="33">
        <v>10.670946000000001</v>
      </c>
      <c r="C94" s="33">
        <v>6.9623210699999998</v>
      </c>
      <c r="E94" s="34">
        <f t="shared" si="1"/>
        <v>3.7086249300000009</v>
      </c>
      <c r="F94" s="35">
        <v>42751</v>
      </c>
    </row>
    <row r="95" spans="1:6" x14ac:dyDescent="0.3">
      <c r="A95" s="36" t="s">
        <v>2444</v>
      </c>
      <c r="B95" s="33">
        <v>10.54407</v>
      </c>
      <c r="C95" s="33">
        <v>5.822791541</v>
      </c>
      <c r="E95" s="34">
        <f t="shared" si="1"/>
        <v>4.7212784589999996</v>
      </c>
      <c r="F95" s="35">
        <v>42752</v>
      </c>
    </row>
    <row r="96" spans="1:6" x14ac:dyDescent="0.3">
      <c r="A96" s="36" t="s">
        <v>2445</v>
      </c>
      <c r="B96" s="33">
        <v>11.622488000000001</v>
      </c>
      <c r="C96" s="33">
        <v>5.2981220230000003</v>
      </c>
      <c r="E96" s="34">
        <f t="shared" si="1"/>
        <v>6.3243659770000002</v>
      </c>
      <c r="F96" s="35">
        <v>42753</v>
      </c>
    </row>
    <row r="97" spans="1:6" x14ac:dyDescent="0.3">
      <c r="A97" s="36" t="s">
        <v>2446</v>
      </c>
      <c r="B97" s="33">
        <v>12.229984999999999</v>
      </c>
      <c r="C97" s="33">
        <v>6.1972766799999999</v>
      </c>
      <c r="E97" s="34">
        <f t="shared" si="1"/>
        <v>6.0327083199999993</v>
      </c>
      <c r="F97" s="35">
        <v>42754</v>
      </c>
    </row>
    <row r="98" spans="1:6" x14ac:dyDescent="0.3">
      <c r="A98" s="36" t="s">
        <v>2447</v>
      </c>
      <c r="B98" s="33">
        <v>10.678039999999999</v>
      </c>
      <c r="C98" s="33">
        <v>7.0076256509999997</v>
      </c>
      <c r="E98" s="34">
        <f t="shared" si="1"/>
        <v>3.6704143489999996</v>
      </c>
      <c r="F98" s="35">
        <v>42755</v>
      </c>
    </row>
    <row r="99" spans="1:6" x14ac:dyDescent="0.3">
      <c r="A99" s="36" t="s">
        <v>2448</v>
      </c>
      <c r="B99" s="33">
        <v>11.981266</v>
      </c>
      <c r="C99" s="33">
        <v>7.1458210920000003</v>
      </c>
      <c r="E99" s="34">
        <f t="shared" si="1"/>
        <v>4.8354449079999995</v>
      </c>
      <c r="F99" s="35">
        <v>42756</v>
      </c>
    </row>
    <row r="100" spans="1:6" x14ac:dyDescent="0.3">
      <c r="A100" s="36" t="s">
        <v>2449</v>
      </c>
      <c r="B100" s="33">
        <v>12.295743</v>
      </c>
      <c r="C100" s="33">
        <v>6.9817652199999998</v>
      </c>
      <c r="E100" s="34">
        <f t="shared" si="1"/>
        <v>5.3139777800000001</v>
      </c>
      <c r="F100" s="35">
        <v>42757</v>
      </c>
    </row>
    <row r="101" spans="1:6" x14ac:dyDescent="0.3">
      <c r="A101" s="36" t="s">
        <v>2450</v>
      </c>
      <c r="B101" s="33">
        <v>12.0481</v>
      </c>
      <c r="C101" s="33">
        <v>4.773002397</v>
      </c>
      <c r="E101" s="34">
        <f t="shared" si="1"/>
        <v>7.2750976029999999</v>
      </c>
      <c r="F101" s="35">
        <v>42758</v>
      </c>
    </row>
    <row r="102" spans="1:6" x14ac:dyDescent="0.3">
      <c r="A102" s="36" t="s">
        <v>2451</v>
      </c>
      <c r="B102" s="33">
        <v>11.973388</v>
      </c>
      <c r="C102" s="33">
        <v>5.0645730139999996</v>
      </c>
      <c r="E102" s="34">
        <f t="shared" si="1"/>
        <v>6.9088149860000003</v>
      </c>
      <c r="F102" s="35">
        <v>42759</v>
      </c>
    </row>
    <row r="103" spans="1:6" x14ac:dyDescent="0.3">
      <c r="A103" s="36" t="s">
        <v>2452</v>
      </c>
      <c r="B103" s="33">
        <v>12.375272000000001</v>
      </c>
      <c r="C103" s="33">
        <v>4.7582016579999999</v>
      </c>
      <c r="E103" s="34">
        <f t="shared" si="1"/>
        <v>7.6170703420000008</v>
      </c>
      <c r="F103" s="35">
        <v>42760</v>
      </c>
    </row>
    <row r="104" spans="1:6" x14ac:dyDescent="0.3">
      <c r="A104" s="36" t="s">
        <v>2453</v>
      </c>
      <c r="B104" s="33">
        <v>12.751692</v>
      </c>
      <c r="C104" s="33">
        <v>4.3464288089999998</v>
      </c>
      <c r="E104" s="34">
        <f t="shared" si="1"/>
        <v>8.4052631909999995</v>
      </c>
      <c r="F104" s="35">
        <v>42761</v>
      </c>
    </row>
    <row r="105" spans="1:6" x14ac:dyDescent="0.3">
      <c r="A105" s="36" t="s">
        <v>2454</v>
      </c>
      <c r="B105" s="33">
        <v>11.712126</v>
      </c>
      <c r="C105" s="33">
        <v>4.60149703</v>
      </c>
      <c r="E105" s="34">
        <f t="shared" si="1"/>
        <v>7.1106289699999996</v>
      </c>
      <c r="F105" s="35">
        <v>42762</v>
      </c>
    </row>
    <row r="106" spans="1:6" x14ac:dyDescent="0.3">
      <c r="A106" s="36" t="s">
        <v>2455</v>
      </c>
      <c r="B106" s="33">
        <v>10.132629</v>
      </c>
      <c r="C106" s="33">
        <v>4.0384235439999996</v>
      </c>
      <c r="E106" s="34">
        <f t="shared" si="1"/>
        <v>6.0942054560000001</v>
      </c>
      <c r="F106" s="35">
        <v>42763</v>
      </c>
    </row>
    <row r="107" spans="1:6" x14ac:dyDescent="0.3">
      <c r="A107" s="36" t="s">
        <v>2456</v>
      </c>
      <c r="B107" s="33">
        <v>10.447877999999999</v>
      </c>
      <c r="C107" s="33">
        <v>4.6209293010000003</v>
      </c>
      <c r="E107" s="34">
        <f t="shared" si="1"/>
        <v>5.826948698999999</v>
      </c>
      <c r="F107" s="35">
        <v>42764</v>
      </c>
    </row>
    <row r="108" spans="1:6" x14ac:dyDescent="0.3">
      <c r="A108" s="36" t="s">
        <v>2457</v>
      </c>
      <c r="B108" s="33">
        <v>10.840877000000001</v>
      </c>
      <c r="C108" s="33">
        <v>3.7358312819999999</v>
      </c>
      <c r="E108" s="34">
        <f t="shared" si="1"/>
        <v>7.1050457180000013</v>
      </c>
      <c r="F108" s="35">
        <v>42765</v>
      </c>
    </row>
    <row r="109" spans="1:6" x14ac:dyDescent="0.3">
      <c r="A109" s="36" t="s">
        <v>2458</v>
      </c>
      <c r="B109" s="33">
        <v>9.5871030000000008</v>
      </c>
      <c r="C109" s="33">
        <v>4.7846282560000004</v>
      </c>
      <c r="E109" s="34">
        <f t="shared" si="1"/>
        <v>4.8024747440000004</v>
      </c>
      <c r="F109" s="35">
        <v>42766</v>
      </c>
    </row>
    <row r="110" spans="1:6" x14ac:dyDescent="0.3">
      <c r="A110" s="36" t="s">
        <v>2459</v>
      </c>
      <c r="B110" s="33">
        <v>10.120399000000001</v>
      </c>
      <c r="C110" s="33">
        <v>5.5824542580000003</v>
      </c>
      <c r="E110" s="34">
        <f t="shared" si="1"/>
        <v>4.5379447420000005</v>
      </c>
      <c r="F110" s="35">
        <v>42767</v>
      </c>
    </row>
    <row r="111" spans="1:6" x14ac:dyDescent="0.3">
      <c r="A111" s="36" t="s">
        <v>2460</v>
      </c>
      <c r="B111" s="33">
        <v>11.363272</v>
      </c>
      <c r="C111" s="33">
        <v>5.5232870629999997</v>
      </c>
      <c r="E111" s="34">
        <f t="shared" si="1"/>
        <v>5.8399849370000005</v>
      </c>
      <c r="F111" s="35">
        <v>42768</v>
      </c>
    </row>
    <row r="112" spans="1:6" x14ac:dyDescent="0.3">
      <c r="A112" s="36" t="s">
        <v>2461</v>
      </c>
      <c r="B112" s="33">
        <v>9.4660299999999999</v>
      </c>
      <c r="C112" s="33">
        <v>5.3546335000000003</v>
      </c>
      <c r="E112" s="34">
        <f t="shared" si="1"/>
        <v>4.1113964999999997</v>
      </c>
      <c r="F112" s="35">
        <v>42769</v>
      </c>
    </row>
    <row r="113" spans="1:6" x14ac:dyDescent="0.3">
      <c r="A113" s="36" t="s">
        <v>2462</v>
      </c>
      <c r="B113" s="33">
        <v>10.858725</v>
      </c>
      <c r="C113" s="33">
        <v>4.2028213919999997</v>
      </c>
      <c r="E113" s="34">
        <f t="shared" si="1"/>
        <v>6.655903608</v>
      </c>
      <c r="F113" s="35">
        <v>42770</v>
      </c>
    </row>
    <row r="114" spans="1:6" x14ac:dyDescent="0.3">
      <c r="A114" s="36" t="s">
        <v>2463</v>
      </c>
      <c r="B114" s="33">
        <v>10.814418999999999</v>
      </c>
      <c r="C114" s="33">
        <v>3.019202049</v>
      </c>
      <c r="E114" s="34">
        <f t="shared" si="1"/>
        <v>7.7952169509999987</v>
      </c>
      <c r="F114" s="35">
        <v>42771</v>
      </c>
    </row>
    <row r="115" spans="1:6" x14ac:dyDescent="0.3">
      <c r="A115" s="36" t="s">
        <v>2464</v>
      </c>
      <c r="B115" s="33">
        <v>11.551842000000001</v>
      </c>
      <c r="C115" s="33">
        <v>1.3368160710000001</v>
      </c>
      <c r="E115" s="34">
        <f t="shared" si="1"/>
        <v>10.215025929000001</v>
      </c>
      <c r="F115" s="35">
        <v>42772</v>
      </c>
    </row>
    <row r="116" spans="1:6" x14ac:dyDescent="0.3">
      <c r="A116" s="36" t="s">
        <v>2465</v>
      </c>
      <c r="B116" s="33">
        <v>12.319277</v>
      </c>
      <c r="C116" s="33">
        <v>1.9672285549999999</v>
      </c>
      <c r="E116" s="34">
        <f t="shared" si="1"/>
        <v>10.352048444999999</v>
      </c>
      <c r="F116" s="35">
        <v>42773</v>
      </c>
    </row>
    <row r="117" spans="1:6" x14ac:dyDescent="0.3">
      <c r="A117" s="36" t="s">
        <v>2466</v>
      </c>
      <c r="B117" s="33">
        <v>11.452735000000001</v>
      </c>
      <c r="C117" s="33">
        <v>0.71892190600000005</v>
      </c>
      <c r="E117" s="34">
        <f t="shared" si="1"/>
        <v>10.733813094</v>
      </c>
      <c r="F117" s="35">
        <v>42774</v>
      </c>
    </row>
    <row r="118" spans="1:6" x14ac:dyDescent="0.3">
      <c r="A118" s="36" t="s">
        <v>2467</v>
      </c>
      <c r="B118" s="33">
        <v>12.767312</v>
      </c>
      <c r="C118" s="33">
        <v>0.10026687300000001</v>
      </c>
      <c r="E118" s="34">
        <f t="shared" si="1"/>
        <v>12.667045127</v>
      </c>
      <c r="F118" s="35">
        <v>42775</v>
      </c>
    </row>
    <row r="119" spans="1:6" x14ac:dyDescent="0.3">
      <c r="A119" s="36" t="s">
        <v>2468</v>
      </c>
      <c r="B119" s="33">
        <v>12.691867</v>
      </c>
      <c r="C119" s="33">
        <v>0.15640119799999999</v>
      </c>
      <c r="E119" s="34">
        <f t="shared" si="1"/>
        <v>12.535465802000001</v>
      </c>
      <c r="F119" s="35">
        <v>42776</v>
      </c>
    </row>
    <row r="120" spans="1:6" x14ac:dyDescent="0.3">
      <c r="A120" s="36" t="s">
        <v>2469</v>
      </c>
      <c r="B120" s="33">
        <v>13.232397000000001</v>
      </c>
      <c r="C120" s="33">
        <v>1.028616411</v>
      </c>
      <c r="E120" s="34">
        <f t="shared" si="1"/>
        <v>12.203780589000001</v>
      </c>
      <c r="F120" s="35">
        <v>42777</v>
      </c>
    </row>
    <row r="121" spans="1:6" x14ac:dyDescent="0.3">
      <c r="A121" s="36" t="s">
        <v>2470</v>
      </c>
      <c r="B121" s="33">
        <v>11.883144</v>
      </c>
      <c r="C121" s="33">
        <v>3.3189974040000001</v>
      </c>
      <c r="E121" s="34">
        <f t="shared" si="1"/>
        <v>8.5641465960000005</v>
      </c>
      <c r="F121" s="35">
        <v>42778</v>
      </c>
    </row>
    <row r="122" spans="1:6" x14ac:dyDescent="0.3">
      <c r="A122" s="36" t="s">
        <v>2471</v>
      </c>
      <c r="B122" s="33">
        <v>11.686954</v>
      </c>
      <c r="C122" s="33">
        <v>1.887894551</v>
      </c>
      <c r="E122" s="34">
        <f t="shared" si="1"/>
        <v>9.7990594489999996</v>
      </c>
      <c r="F122" s="35">
        <v>42779</v>
      </c>
    </row>
    <row r="123" spans="1:6" x14ac:dyDescent="0.3">
      <c r="A123" s="36" t="s">
        <v>2472</v>
      </c>
      <c r="B123" s="33">
        <v>12.081731</v>
      </c>
      <c r="C123" s="33">
        <v>1.415424287</v>
      </c>
      <c r="E123" s="34">
        <f t="shared" si="1"/>
        <v>10.666306712999999</v>
      </c>
      <c r="F123" s="35">
        <v>42780</v>
      </c>
    </row>
    <row r="124" spans="1:6" x14ac:dyDescent="0.3">
      <c r="A124" s="36" t="s">
        <v>2473</v>
      </c>
      <c r="B124" s="33">
        <v>12.316939</v>
      </c>
      <c r="C124" s="33">
        <v>0.17703437399999999</v>
      </c>
      <c r="E124" s="34">
        <f t="shared" si="1"/>
        <v>12.139904626</v>
      </c>
      <c r="F124" s="35">
        <v>42781</v>
      </c>
    </row>
    <row r="125" spans="1:6" x14ac:dyDescent="0.3">
      <c r="A125" s="36" t="s">
        <v>2474</v>
      </c>
      <c r="B125" s="33">
        <v>13.374018</v>
      </c>
      <c r="C125" s="33">
        <v>2.8122351380000001</v>
      </c>
      <c r="E125" s="34">
        <f t="shared" si="1"/>
        <v>10.561782861999999</v>
      </c>
      <c r="F125" s="35">
        <v>42782</v>
      </c>
    </row>
    <row r="126" spans="1:6" x14ac:dyDescent="0.3">
      <c r="A126" s="36" t="s">
        <v>2475</v>
      </c>
      <c r="B126" s="33">
        <v>13.789158</v>
      </c>
      <c r="C126" s="33">
        <v>0.19160615</v>
      </c>
      <c r="E126" s="34">
        <f t="shared" si="1"/>
        <v>13.59755185</v>
      </c>
      <c r="F126" s="35">
        <v>42783</v>
      </c>
    </row>
    <row r="127" spans="1:6" x14ac:dyDescent="0.3">
      <c r="A127" s="36" t="s">
        <v>2476</v>
      </c>
      <c r="B127" s="33">
        <v>12.633114000000001</v>
      </c>
      <c r="C127" s="33">
        <v>-0.78204767600000002</v>
      </c>
      <c r="E127" s="34">
        <f t="shared" si="1"/>
        <v>13.415161676</v>
      </c>
      <c r="F127" s="35">
        <v>42784</v>
      </c>
    </row>
    <row r="128" spans="1:6" x14ac:dyDescent="0.3">
      <c r="A128" s="36" t="s">
        <v>2477</v>
      </c>
      <c r="B128" s="33">
        <v>12.558137</v>
      </c>
      <c r="C128" s="33">
        <v>-0.29257048400000002</v>
      </c>
      <c r="E128" s="34">
        <f t="shared" si="1"/>
        <v>12.850707484000001</v>
      </c>
      <c r="F128" s="35">
        <v>42785</v>
      </c>
    </row>
    <row r="129" spans="1:6" x14ac:dyDescent="0.3">
      <c r="A129" s="36" t="s">
        <v>2478</v>
      </c>
      <c r="B129" s="33">
        <v>11.153565</v>
      </c>
      <c r="C129" s="33">
        <v>-0.92624675199999995</v>
      </c>
      <c r="E129" s="34">
        <f t="shared" si="1"/>
        <v>12.079811752000001</v>
      </c>
      <c r="F129" s="35">
        <v>42786</v>
      </c>
    </row>
    <row r="130" spans="1:6" x14ac:dyDescent="0.3">
      <c r="A130" s="36" t="s">
        <v>2479</v>
      </c>
      <c r="B130" s="33">
        <v>11.486300999999999</v>
      </c>
      <c r="C130" s="33">
        <v>-0.21320392199999999</v>
      </c>
      <c r="E130" s="34">
        <f t="shared" ref="E130:E193" si="2">B130-C130</f>
        <v>11.699504921999999</v>
      </c>
      <c r="F130" s="35">
        <v>42787</v>
      </c>
    </row>
    <row r="131" spans="1:6" x14ac:dyDescent="0.3">
      <c r="A131" s="36" t="s">
        <v>2480</v>
      </c>
      <c r="B131" s="33">
        <v>11.364922</v>
      </c>
      <c r="C131" s="33">
        <v>1.035265305</v>
      </c>
      <c r="E131" s="34">
        <f t="shared" si="2"/>
        <v>10.329656695000001</v>
      </c>
      <c r="F131" s="35">
        <v>42788</v>
      </c>
    </row>
    <row r="132" spans="1:6" x14ac:dyDescent="0.3">
      <c r="A132" s="36" t="s">
        <v>2481</v>
      </c>
      <c r="B132" s="33">
        <v>10.250753</v>
      </c>
      <c r="C132" s="33">
        <v>-0.76915966400000002</v>
      </c>
      <c r="E132" s="34">
        <f t="shared" si="2"/>
        <v>11.019912664</v>
      </c>
      <c r="F132" s="35">
        <v>42789</v>
      </c>
    </row>
    <row r="133" spans="1:6" x14ac:dyDescent="0.3">
      <c r="A133" s="36" t="s">
        <v>2482</v>
      </c>
      <c r="B133" s="33">
        <v>11.267901999999999</v>
      </c>
      <c r="C133" s="33">
        <v>-0.75471975199999997</v>
      </c>
      <c r="E133" s="34">
        <f t="shared" si="2"/>
        <v>12.022621751999999</v>
      </c>
      <c r="F133" s="35">
        <v>42790</v>
      </c>
    </row>
    <row r="134" spans="1:6" x14ac:dyDescent="0.3">
      <c r="A134" s="36" t="s">
        <v>2483</v>
      </c>
      <c r="B134" s="33">
        <v>11.575675</v>
      </c>
      <c r="C134" s="33">
        <v>-0.160621074</v>
      </c>
      <c r="E134" s="34">
        <f t="shared" si="2"/>
        <v>11.736296074</v>
      </c>
      <c r="F134" s="35">
        <v>42791</v>
      </c>
    </row>
    <row r="135" spans="1:6" x14ac:dyDescent="0.3">
      <c r="A135" s="36" t="s">
        <v>2484</v>
      </c>
      <c r="B135" s="33">
        <v>12.218999999999999</v>
      </c>
      <c r="C135" s="33">
        <v>0.35372562800000001</v>
      </c>
      <c r="E135" s="34">
        <f t="shared" si="2"/>
        <v>11.865274372</v>
      </c>
      <c r="F135" s="35">
        <v>42792</v>
      </c>
    </row>
    <row r="136" spans="1:6" x14ac:dyDescent="0.3">
      <c r="A136" s="36" t="s">
        <v>2485</v>
      </c>
      <c r="B136" s="33">
        <v>14.051636</v>
      </c>
      <c r="C136" s="33">
        <v>2.8206170699999999</v>
      </c>
      <c r="E136" s="34">
        <f t="shared" si="2"/>
        <v>11.231018930000001</v>
      </c>
      <c r="F136" s="35">
        <v>42793</v>
      </c>
    </row>
    <row r="137" spans="1:6" x14ac:dyDescent="0.3">
      <c r="A137" s="36" t="s">
        <v>2486</v>
      </c>
      <c r="B137" s="33">
        <v>13.538974</v>
      </c>
      <c r="C137" s="33">
        <v>3.4194093780000001</v>
      </c>
      <c r="E137" s="34">
        <f t="shared" si="2"/>
        <v>10.119564621999999</v>
      </c>
      <c r="F137" s="35">
        <v>42794</v>
      </c>
    </row>
    <row r="138" spans="1:6" x14ac:dyDescent="0.3">
      <c r="A138" s="36" t="s">
        <v>2487</v>
      </c>
      <c r="B138" s="33">
        <v>13.180911999999999</v>
      </c>
      <c r="C138" s="33">
        <v>4.6157108090000003</v>
      </c>
      <c r="E138" s="34">
        <f t="shared" si="2"/>
        <v>8.5652011909999999</v>
      </c>
      <c r="F138" s="35">
        <v>42795</v>
      </c>
    </row>
    <row r="139" spans="1:6" x14ac:dyDescent="0.3">
      <c r="A139" s="36" t="s">
        <v>2488</v>
      </c>
      <c r="B139" s="33">
        <v>13.599494</v>
      </c>
      <c r="C139" s="33">
        <v>5.7823094450000001</v>
      </c>
      <c r="E139" s="34">
        <f t="shared" si="2"/>
        <v>7.8171845549999999</v>
      </c>
      <c r="F139" s="35">
        <v>42796</v>
      </c>
    </row>
    <row r="140" spans="1:6" x14ac:dyDescent="0.3">
      <c r="A140" s="36" t="s">
        <v>2489</v>
      </c>
      <c r="B140" s="33">
        <v>13.700326</v>
      </c>
      <c r="C140" s="33">
        <v>6.7972024500000003</v>
      </c>
      <c r="E140" s="34">
        <f t="shared" si="2"/>
        <v>6.9031235500000001</v>
      </c>
      <c r="F140" s="35">
        <v>42797</v>
      </c>
    </row>
    <row r="141" spans="1:6" x14ac:dyDescent="0.3">
      <c r="A141" s="36" t="s">
        <v>2490</v>
      </c>
      <c r="B141" s="33">
        <v>15.106623000000001</v>
      </c>
      <c r="C141" s="33">
        <v>7.1073180110000003</v>
      </c>
      <c r="E141" s="34">
        <f t="shared" si="2"/>
        <v>7.9993049890000005</v>
      </c>
      <c r="F141" s="35">
        <v>42798</v>
      </c>
    </row>
    <row r="142" spans="1:6" x14ac:dyDescent="0.3">
      <c r="A142" s="36" t="s">
        <v>2491</v>
      </c>
      <c r="B142" s="33">
        <v>15.16574</v>
      </c>
      <c r="C142" s="33">
        <v>6.3110770030000003</v>
      </c>
      <c r="E142" s="34">
        <f t="shared" si="2"/>
        <v>8.8546629969999984</v>
      </c>
      <c r="F142" s="35">
        <v>42799</v>
      </c>
    </row>
    <row r="143" spans="1:6" x14ac:dyDescent="0.3">
      <c r="A143" s="36" t="s">
        <v>2492</v>
      </c>
      <c r="B143" s="33">
        <v>15.127535</v>
      </c>
      <c r="C143" s="33">
        <v>6.1902190900000003</v>
      </c>
      <c r="E143" s="34">
        <f t="shared" si="2"/>
        <v>8.9373159099999988</v>
      </c>
      <c r="F143" s="35">
        <v>42800</v>
      </c>
    </row>
    <row r="144" spans="1:6" x14ac:dyDescent="0.3">
      <c r="A144" s="36" t="s">
        <v>2493</v>
      </c>
      <c r="B144" s="33">
        <v>15.315564</v>
      </c>
      <c r="C144" s="33">
        <v>6.0840088379999999</v>
      </c>
      <c r="E144" s="34">
        <f t="shared" si="2"/>
        <v>9.2315551619999994</v>
      </c>
      <c r="F144" s="35">
        <v>42801</v>
      </c>
    </row>
    <row r="145" spans="1:6" x14ac:dyDescent="0.3">
      <c r="A145" s="36" t="s">
        <v>2494</v>
      </c>
      <c r="B145" s="33">
        <v>13.498364</v>
      </c>
      <c r="C145" s="33">
        <v>7.1506998240000001</v>
      </c>
      <c r="E145" s="34">
        <f t="shared" si="2"/>
        <v>6.3476641760000003</v>
      </c>
      <c r="F145" s="35">
        <v>42802</v>
      </c>
    </row>
    <row r="146" spans="1:6" x14ac:dyDescent="0.3">
      <c r="A146" s="36" t="s">
        <v>2495</v>
      </c>
      <c r="B146" s="33">
        <v>12.649373000000001</v>
      </c>
      <c r="C146" s="33">
        <v>6.9824071099999996</v>
      </c>
      <c r="E146" s="34">
        <f t="shared" si="2"/>
        <v>5.6669658900000011</v>
      </c>
      <c r="F146" s="35">
        <v>42803</v>
      </c>
    </row>
    <row r="147" spans="1:6" x14ac:dyDescent="0.3">
      <c r="A147" s="36" t="s">
        <v>2496</v>
      </c>
      <c r="B147" s="33">
        <v>11.800627</v>
      </c>
      <c r="C147" s="33">
        <v>7.6627868039999996</v>
      </c>
      <c r="E147" s="34">
        <f t="shared" si="2"/>
        <v>4.1378401960000009</v>
      </c>
      <c r="F147" s="35">
        <v>42804</v>
      </c>
    </row>
    <row r="148" spans="1:6" x14ac:dyDescent="0.3">
      <c r="A148" s="36" t="s">
        <v>2497</v>
      </c>
      <c r="B148" s="33">
        <v>12.171659999999999</v>
      </c>
      <c r="C148" s="33">
        <v>7.1423648489999998</v>
      </c>
      <c r="E148" s="34">
        <f t="shared" si="2"/>
        <v>5.0292951509999995</v>
      </c>
      <c r="F148" s="35">
        <v>42805</v>
      </c>
    </row>
    <row r="149" spans="1:6" x14ac:dyDescent="0.3">
      <c r="A149" s="36" t="s">
        <v>2498</v>
      </c>
      <c r="B149" s="33">
        <v>12.44622</v>
      </c>
      <c r="C149" s="33">
        <v>6.5264902749999996</v>
      </c>
      <c r="E149" s="34">
        <f t="shared" si="2"/>
        <v>5.9197297250000007</v>
      </c>
      <c r="F149" s="35">
        <v>42806</v>
      </c>
    </row>
    <row r="150" spans="1:6" x14ac:dyDescent="0.3">
      <c r="A150" s="36" t="s">
        <v>2499</v>
      </c>
      <c r="B150" s="33">
        <v>11.208920000000001</v>
      </c>
      <c r="C150" s="33">
        <v>5.4602791169999998</v>
      </c>
      <c r="E150" s="34">
        <f t="shared" si="2"/>
        <v>5.7486408830000011</v>
      </c>
      <c r="F150" s="35">
        <v>42807</v>
      </c>
    </row>
    <row r="151" spans="1:6" x14ac:dyDescent="0.3">
      <c r="A151" s="36" t="s">
        <v>2500</v>
      </c>
      <c r="B151" s="33">
        <v>13.102156000000001</v>
      </c>
      <c r="C151" s="33">
        <v>4.2431779599999997</v>
      </c>
      <c r="E151" s="34">
        <f t="shared" si="2"/>
        <v>8.8589780400000002</v>
      </c>
      <c r="F151" s="35">
        <v>42808</v>
      </c>
    </row>
    <row r="152" spans="1:6" x14ac:dyDescent="0.3">
      <c r="A152" s="36" t="s">
        <v>2501</v>
      </c>
      <c r="B152" s="33">
        <v>12.946838</v>
      </c>
      <c r="C152" s="33">
        <v>3.0053597170000002</v>
      </c>
      <c r="E152" s="34">
        <f t="shared" si="2"/>
        <v>9.9414782829999986</v>
      </c>
      <c r="F152" s="35">
        <v>42809</v>
      </c>
    </row>
    <row r="153" spans="1:6" x14ac:dyDescent="0.3">
      <c r="A153" s="36" t="s">
        <v>2502</v>
      </c>
      <c r="B153" s="33">
        <v>13.533704999999999</v>
      </c>
      <c r="C153" s="33">
        <v>3.5080722280000001</v>
      </c>
      <c r="E153" s="34">
        <f t="shared" si="2"/>
        <v>10.025632772</v>
      </c>
      <c r="F153" s="35">
        <v>42810</v>
      </c>
    </row>
    <row r="154" spans="1:6" x14ac:dyDescent="0.3">
      <c r="A154" s="36" t="s">
        <v>2503</v>
      </c>
      <c r="B154" s="33">
        <v>15.033918</v>
      </c>
      <c r="C154" s="33">
        <v>4.1549859690000002</v>
      </c>
      <c r="E154" s="34">
        <f t="shared" si="2"/>
        <v>10.878932031</v>
      </c>
      <c r="F154" s="35">
        <v>42811</v>
      </c>
    </row>
    <row r="155" spans="1:6" x14ac:dyDescent="0.3">
      <c r="A155" s="36" t="s">
        <v>2504</v>
      </c>
      <c r="B155" s="33">
        <v>14.116856</v>
      </c>
      <c r="C155" s="33">
        <v>2.7478000429999998</v>
      </c>
      <c r="E155" s="34">
        <f t="shared" si="2"/>
        <v>11.369055957</v>
      </c>
      <c r="F155" s="35">
        <v>42812</v>
      </c>
    </row>
    <row r="156" spans="1:6" x14ac:dyDescent="0.3">
      <c r="A156" s="36" t="s">
        <v>2505</v>
      </c>
      <c r="B156" s="33">
        <v>14.006180000000001</v>
      </c>
      <c r="C156" s="33">
        <v>2.284024397</v>
      </c>
      <c r="E156" s="34">
        <f t="shared" si="2"/>
        <v>11.722155603000001</v>
      </c>
      <c r="F156" s="35">
        <v>42813</v>
      </c>
    </row>
    <row r="157" spans="1:6" x14ac:dyDescent="0.3">
      <c r="A157" s="36" t="s">
        <v>2506</v>
      </c>
      <c r="B157" s="33">
        <v>13.506195999999999</v>
      </c>
      <c r="C157" s="33">
        <v>2.8801287489999998</v>
      </c>
      <c r="E157" s="34">
        <f t="shared" si="2"/>
        <v>10.626067250999998</v>
      </c>
      <c r="F157" s="35">
        <v>42814</v>
      </c>
    </row>
    <row r="158" spans="1:6" x14ac:dyDescent="0.3">
      <c r="A158" s="36" t="s">
        <v>2507</v>
      </c>
      <c r="B158" s="33">
        <v>14.088638</v>
      </c>
      <c r="C158" s="33">
        <v>1.8619046319999999</v>
      </c>
      <c r="E158" s="34">
        <f t="shared" si="2"/>
        <v>12.226733368</v>
      </c>
      <c r="F158" s="35">
        <v>42815</v>
      </c>
    </row>
    <row r="159" spans="1:6" x14ac:dyDescent="0.3">
      <c r="A159" s="36" t="s">
        <v>2508</v>
      </c>
      <c r="B159" s="33">
        <v>14.526127000000001</v>
      </c>
      <c r="C159" s="33">
        <v>1.304453635</v>
      </c>
      <c r="E159" s="34">
        <f t="shared" si="2"/>
        <v>13.221673365000001</v>
      </c>
      <c r="F159" s="35">
        <v>42816</v>
      </c>
    </row>
    <row r="160" spans="1:6" x14ac:dyDescent="0.3">
      <c r="A160" s="36" t="s">
        <v>2509</v>
      </c>
      <c r="B160" s="33">
        <v>13.138401999999999</v>
      </c>
      <c r="C160" s="33">
        <v>0.92824741099999997</v>
      </c>
      <c r="E160" s="34">
        <f t="shared" si="2"/>
        <v>12.210154589</v>
      </c>
      <c r="F160" s="35">
        <v>42817</v>
      </c>
    </row>
    <row r="161" spans="1:6" x14ac:dyDescent="0.3">
      <c r="A161" s="36" t="s">
        <v>2510</v>
      </c>
      <c r="B161" s="33">
        <v>12.239829</v>
      </c>
      <c r="C161" s="33">
        <v>-0.97278392400000002</v>
      </c>
      <c r="E161" s="34">
        <f t="shared" si="2"/>
        <v>13.212612924</v>
      </c>
      <c r="F161" s="35">
        <v>42818</v>
      </c>
    </row>
    <row r="162" spans="1:6" x14ac:dyDescent="0.3">
      <c r="A162" s="36" t="s">
        <v>2511</v>
      </c>
      <c r="B162" s="33">
        <v>13.228597000000001</v>
      </c>
      <c r="C162" s="33">
        <v>-1.603428979</v>
      </c>
      <c r="E162" s="34">
        <f t="shared" si="2"/>
        <v>14.832025979000001</v>
      </c>
      <c r="F162" s="35">
        <v>42819</v>
      </c>
    </row>
    <row r="163" spans="1:6" x14ac:dyDescent="0.3">
      <c r="A163" s="36" t="s">
        <v>2512</v>
      </c>
      <c r="B163" s="33">
        <v>12.655574</v>
      </c>
      <c r="C163" s="33">
        <v>-1.237659013</v>
      </c>
      <c r="E163" s="34">
        <f t="shared" si="2"/>
        <v>13.893233013</v>
      </c>
      <c r="F163" s="35">
        <v>42820</v>
      </c>
    </row>
    <row r="164" spans="1:6" x14ac:dyDescent="0.3">
      <c r="A164" s="36" t="s">
        <v>2513</v>
      </c>
      <c r="B164" s="33">
        <v>12.475028999999999</v>
      </c>
      <c r="C164" s="33">
        <v>-2.3792696040000001</v>
      </c>
      <c r="E164" s="34">
        <f t="shared" si="2"/>
        <v>14.854298604</v>
      </c>
      <c r="F164" s="35">
        <v>42821</v>
      </c>
    </row>
    <row r="165" spans="1:6" x14ac:dyDescent="0.3">
      <c r="A165" s="36" t="s">
        <v>2514</v>
      </c>
      <c r="B165" s="33">
        <v>11.458083999999999</v>
      </c>
      <c r="C165" s="33">
        <v>-2.867167325</v>
      </c>
      <c r="E165" s="34">
        <f t="shared" si="2"/>
        <v>14.325251325</v>
      </c>
      <c r="F165" s="35">
        <v>42822</v>
      </c>
    </row>
    <row r="166" spans="1:6" x14ac:dyDescent="0.3">
      <c r="A166" s="36" t="s">
        <v>2515</v>
      </c>
      <c r="B166" s="33">
        <v>10.526793</v>
      </c>
      <c r="C166" s="33">
        <v>-2.3637660579999999</v>
      </c>
      <c r="E166" s="34">
        <f t="shared" si="2"/>
        <v>12.890559057999999</v>
      </c>
      <c r="F166" s="35">
        <v>42823</v>
      </c>
    </row>
    <row r="167" spans="1:6" x14ac:dyDescent="0.3">
      <c r="A167" s="36" t="s">
        <v>2516</v>
      </c>
      <c r="B167" s="33">
        <v>11.377903999999999</v>
      </c>
      <c r="C167" s="33">
        <v>-2.5807281089999998</v>
      </c>
      <c r="E167" s="34">
        <f t="shared" si="2"/>
        <v>13.958632109</v>
      </c>
      <c r="F167" s="35">
        <v>42824</v>
      </c>
    </row>
    <row r="168" spans="1:6" x14ac:dyDescent="0.3">
      <c r="A168" s="36" t="s">
        <v>2517</v>
      </c>
      <c r="B168" s="33">
        <v>10.946552000000001</v>
      </c>
      <c r="C168" s="33">
        <v>-2.073017895</v>
      </c>
      <c r="E168" s="34">
        <f t="shared" si="2"/>
        <v>13.019569895</v>
      </c>
      <c r="F168" s="35">
        <v>42825</v>
      </c>
    </row>
    <row r="169" spans="1:6" x14ac:dyDescent="0.3">
      <c r="A169" s="36" t="s">
        <v>2518</v>
      </c>
      <c r="B169" s="33">
        <v>10.745388</v>
      </c>
      <c r="C169" s="33">
        <v>-3.034630189</v>
      </c>
      <c r="E169" s="34">
        <f t="shared" si="2"/>
        <v>13.780018189</v>
      </c>
      <c r="F169" s="35">
        <v>42826</v>
      </c>
    </row>
    <row r="170" spans="1:6" x14ac:dyDescent="0.3">
      <c r="A170" s="36" t="s">
        <v>2519</v>
      </c>
      <c r="B170" s="33">
        <v>13.009274</v>
      </c>
      <c r="C170" s="33">
        <v>-1.1987360949999999</v>
      </c>
      <c r="E170" s="34">
        <f t="shared" si="2"/>
        <v>14.208010094999999</v>
      </c>
      <c r="F170" s="35">
        <v>42827</v>
      </c>
    </row>
    <row r="171" spans="1:6" x14ac:dyDescent="0.3">
      <c r="A171" s="36" t="s">
        <v>2520</v>
      </c>
      <c r="B171" s="33">
        <v>12.046455999999999</v>
      </c>
      <c r="C171" s="33">
        <v>-1.817644955</v>
      </c>
      <c r="E171" s="34">
        <f t="shared" si="2"/>
        <v>13.864100955</v>
      </c>
      <c r="F171" s="35">
        <v>42828</v>
      </c>
    </row>
    <row r="172" spans="1:6" x14ac:dyDescent="0.3">
      <c r="A172" s="36" t="s">
        <v>2521</v>
      </c>
      <c r="B172" s="33">
        <v>11.148334999999999</v>
      </c>
      <c r="C172" s="33">
        <v>-1.0286067210000001</v>
      </c>
      <c r="E172" s="34">
        <f t="shared" si="2"/>
        <v>12.176941720999999</v>
      </c>
      <c r="F172" s="35">
        <v>42829</v>
      </c>
    </row>
    <row r="173" spans="1:6" x14ac:dyDescent="0.3">
      <c r="A173" s="36" t="s">
        <v>2522</v>
      </c>
      <c r="B173" s="33">
        <v>11.101891999999999</v>
      </c>
      <c r="C173" s="33">
        <v>-3.519801873</v>
      </c>
      <c r="E173" s="34">
        <f t="shared" si="2"/>
        <v>14.621693873</v>
      </c>
      <c r="F173" s="35">
        <v>42830</v>
      </c>
    </row>
    <row r="174" spans="1:6" x14ac:dyDescent="0.3">
      <c r="A174" s="36" t="s">
        <v>2523</v>
      </c>
      <c r="B174" s="33">
        <v>10.068576</v>
      </c>
      <c r="C174" s="33">
        <v>-4.8645264920000004</v>
      </c>
      <c r="E174" s="34">
        <f t="shared" si="2"/>
        <v>14.933102492</v>
      </c>
      <c r="F174" s="35">
        <v>42831</v>
      </c>
    </row>
    <row r="175" spans="1:6" x14ac:dyDescent="0.3">
      <c r="A175" s="36" t="s">
        <v>2524</v>
      </c>
      <c r="B175" s="33">
        <v>11.189574</v>
      </c>
      <c r="C175" s="33">
        <v>-4.551706866</v>
      </c>
      <c r="E175" s="34">
        <f t="shared" si="2"/>
        <v>15.741280866</v>
      </c>
      <c r="F175" s="35">
        <v>42832</v>
      </c>
    </row>
    <row r="176" spans="1:6" x14ac:dyDescent="0.3">
      <c r="A176" s="36" t="s">
        <v>2525</v>
      </c>
      <c r="B176" s="33">
        <v>9.7751040000000007</v>
      </c>
      <c r="C176" s="33">
        <v>-4.9706567220000002</v>
      </c>
      <c r="E176" s="34">
        <f t="shared" si="2"/>
        <v>14.745760722</v>
      </c>
      <c r="F176" s="35">
        <v>42833</v>
      </c>
    </row>
    <row r="177" spans="1:6" x14ac:dyDescent="0.3">
      <c r="A177" s="36" t="s">
        <v>2526</v>
      </c>
      <c r="B177" s="33">
        <v>10.432096</v>
      </c>
      <c r="C177" s="33">
        <v>-5.954278199</v>
      </c>
      <c r="E177" s="34">
        <f t="shared" si="2"/>
        <v>16.386374198999999</v>
      </c>
      <c r="F177" s="35">
        <v>42834</v>
      </c>
    </row>
    <row r="178" spans="1:6" x14ac:dyDescent="0.3">
      <c r="A178" s="36" t="s">
        <v>2527</v>
      </c>
      <c r="B178" s="33">
        <v>10.37613</v>
      </c>
      <c r="C178" s="33">
        <v>-6.2342229549999999</v>
      </c>
      <c r="E178" s="34">
        <f t="shared" si="2"/>
        <v>16.610352955</v>
      </c>
      <c r="F178" s="35">
        <v>42835</v>
      </c>
    </row>
    <row r="179" spans="1:6" x14ac:dyDescent="0.3">
      <c r="A179" s="36" t="s">
        <v>2528</v>
      </c>
      <c r="B179" s="33">
        <v>10.468683</v>
      </c>
      <c r="C179" s="33">
        <v>-5.3743716790000002</v>
      </c>
      <c r="E179" s="34">
        <f t="shared" si="2"/>
        <v>15.843054679000002</v>
      </c>
      <c r="F179" s="35">
        <v>42836</v>
      </c>
    </row>
    <row r="180" spans="1:6" x14ac:dyDescent="0.3">
      <c r="A180" s="36" t="s">
        <v>2529</v>
      </c>
      <c r="B180" s="33">
        <v>9.3576390000000007</v>
      </c>
      <c r="C180" s="33">
        <v>-5.9396109929999996</v>
      </c>
      <c r="E180" s="34">
        <f t="shared" si="2"/>
        <v>15.297249993000001</v>
      </c>
      <c r="F180" s="35">
        <v>42837</v>
      </c>
    </row>
    <row r="181" spans="1:6" x14ac:dyDescent="0.3">
      <c r="A181" s="36" t="s">
        <v>2530</v>
      </c>
      <c r="B181" s="33">
        <v>10.645481999999999</v>
      </c>
      <c r="C181" s="33">
        <v>-6.3442884580000003</v>
      </c>
      <c r="E181" s="34">
        <f t="shared" si="2"/>
        <v>16.989770457999999</v>
      </c>
      <c r="F181" s="35">
        <v>42838</v>
      </c>
    </row>
    <row r="182" spans="1:6" x14ac:dyDescent="0.3">
      <c r="A182" s="36" t="s">
        <v>2531</v>
      </c>
      <c r="B182" s="33">
        <v>11.190293</v>
      </c>
      <c r="C182" s="33">
        <v>-6.7483997000000002</v>
      </c>
      <c r="E182" s="34">
        <f t="shared" si="2"/>
        <v>17.938692700000001</v>
      </c>
      <c r="F182" s="35">
        <v>42839</v>
      </c>
    </row>
    <row r="183" spans="1:6" x14ac:dyDescent="0.3">
      <c r="A183" s="36" t="s">
        <v>2532</v>
      </c>
      <c r="B183" s="33">
        <v>10.753734</v>
      </c>
      <c r="C183" s="33">
        <v>-8.8690723859999991</v>
      </c>
      <c r="E183" s="34">
        <f t="shared" si="2"/>
        <v>19.622806386000001</v>
      </c>
      <c r="F183" s="35">
        <v>42840</v>
      </c>
    </row>
    <row r="184" spans="1:6" x14ac:dyDescent="0.3">
      <c r="A184" s="36" t="s">
        <v>2533</v>
      </c>
      <c r="B184" s="33">
        <v>10.645688</v>
      </c>
      <c r="C184" s="33">
        <v>-9.5345220229999992</v>
      </c>
      <c r="E184" s="34">
        <f t="shared" si="2"/>
        <v>20.180210023000001</v>
      </c>
      <c r="F184" s="35">
        <v>42841</v>
      </c>
    </row>
    <row r="185" spans="1:6" x14ac:dyDescent="0.3">
      <c r="A185" s="36" t="s">
        <v>2534</v>
      </c>
      <c r="B185" s="33">
        <v>10.719593</v>
      </c>
      <c r="C185" s="33">
        <v>-10.046746874</v>
      </c>
      <c r="E185" s="34">
        <f t="shared" si="2"/>
        <v>20.766339874</v>
      </c>
      <c r="F185" s="35">
        <v>42842</v>
      </c>
    </row>
    <row r="186" spans="1:6" x14ac:dyDescent="0.3">
      <c r="A186" s="36" t="s">
        <v>2535</v>
      </c>
      <c r="B186" s="33">
        <v>12.021693000000001</v>
      </c>
      <c r="C186" s="33">
        <v>-10.562476768</v>
      </c>
      <c r="E186" s="34">
        <f t="shared" si="2"/>
        <v>22.584169768000002</v>
      </c>
      <c r="F186" s="35">
        <v>42843</v>
      </c>
    </row>
    <row r="187" spans="1:6" x14ac:dyDescent="0.3">
      <c r="A187" s="36" t="s">
        <v>2536</v>
      </c>
      <c r="B187" s="33">
        <v>11.72423</v>
      </c>
      <c r="C187" s="33">
        <v>-9.8968447019999992</v>
      </c>
      <c r="E187" s="34">
        <f t="shared" si="2"/>
        <v>21.621074702000001</v>
      </c>
      <c r="F187" s="35">
        <v>42844</v>
      </c>
    </row>
    <row r="188" spans="1:6" x14ac:dyDescent="0.3">
      <c r="A188" s="36" t="s">
        <v>2537</v>
      </c>
      <c r="B188" s="33">
        <v>11.725455</v>
      </c>
      <c r="C188" s="33">
        <v>-10.284927359999999</v>
      </c>
      <c r="E188" s="34">
        <f t="shared" si="2"/>
        <v>22.010382360000001</v>
      </c>
      <c r="F188" s="35">
        <v>42845</v>
      </c>
    </row>
    <row r="189" spans="1:6" x14ac:dyDescent="0.3">
      <c r="A189" s="36" t="s">
        <v>2538</v>
      </c>
      <c r="B189" s="33">
        <v>10.700161</v>
      </c>
      <c r="C189" s="33">
        <v>-9.6658570689999994</v>
      </c>
      <c r="E189" s="34">
        <f t="shared" si="2"/>
        <v>20.366018068999999</v>
      </c>
      <c r="F189" s="35">
        <v>42846</v>
      </c>
    </row>
    <row r="190" spans="1:6" x14ac:dyDescent="0.3">
      <c r="A190" s="36" t="s">
        <v>2539</v>
      </c>
      <c r="B190" s="33">
        <v>10.085616999999999</v>
      </c>
      <c r="C190" s="33">
        <v>-8.5800837849999994</v>
      </c>
      <c r="E190" s="34">
        <f t="shared" si="2"/>
        <v>18.665700784999999</v>
      </c>
      <c r="F190" s="35">
        <v>42847</v>
      </c>
    </row>
    <row r="191" spans="1:6" x14ac:dyDescent="0.3">
      <c r="A191" s="36" t="s">
        <v>2540</v>
      </c>
      <c r="B191" s="33">
        <v>10.287974999999999</v>
      </c>
      <c r="C191" s="33">
        <v>-7.604332415</v>
      </c>
      <c r="E191" s="34">
        <f t="shared" si="2"/>
        <v>17.892307414999998</v>
      </c>
      <c r="F191" s="35">
        <v>42848</v>
      </c>
    </row>
    <row r="192" spans="1:6" x14ac:dyDescent="0.3">
      <c r="A192" s="36" t="s">
        <v>2541</v>
      </c>
      <c r="B192" s="33">
        <v>9.8759010000000007</v>
      </c>
      <c r="C192" s="33">
        <v>-10.273099685</v>
      </c>
      <c r="E192" s="34">
        <f t="shared" si="2"/>
        <v>20.149000685000001</v>
      </c>
      <c r="F192" s="35">
        <v>42849</v>
      </c>
    </row>
    <row r="193" spans="1:6" x14ac:dyDescent="0.3">
      <c r="A193" s="36" t="s">
        <v>2542</v>
      </c>
      <c r="B193" s="33">
        <v>9.6185019999999994</v>
      </c>
      <c r="C193" s="33">
        <v>-10.371572876</v>
      </c>
      <c r="E193" s="34">
        <f t="shared" si="2"/>
        <v>19.990074876000001</v>
      </c>
      <c r="F193" s="35">
        <v>42850</v>
      </c>
    </row>
    <row r="194" spans="1:6" x14ac:dyDescent="0.3">
      <c r="A194" s="36" t="s">
        <v>2543</v>
      </c>
      <c r="B194" s="33">
        <v>8.4918019999999999</v>
      </c>
      <c r="C194" s="33">
        <v>-9.8868046609999993</v>
      </c>
      <c r="E194" s="34">
        <f t="shared" ref="E194:E257" si="3">B194-C194</f>
        <v>18.378606660999999</v>
      </c>
      <c r="F194" s="35">
        <v>42851</v>
      </c>
    </row>
    <row r="195" spans="1:6" x14ac:dyDescent="0.3">
      <c r="A195" s="36" t="s">
        <v>2544</v>
      </c>
      <c r="B195" s="33">
        <v>9.6544819999999998</v>
      </c>
      <c r="C195" s="33">
        <v>-10.467372524</v>
      </c>
      <c r="E195" s="34">
        <f t="shared" si="3"/>
        <v>20.121854524</v>
      </c>
      <c r="F195" s="35">
        <v>42852</v>
      </c>
    </row>
    <row r="196" spans="1:6" x14ac:dyDescent="0.3">
      <c r="A196" s="36" t="s">
        <v>2545</v>
      </c>
      <c r="B196" s="33">
        <v>10.557708999999999</v>
      </c>
      <c r="C196" s="33">
        <v>-11.645585133999999</v>
      </c>
      <c r="E196" s="34">
        <f t="shared" si="3"/>
        <v>22.203294133999997</v>
      </c>
      <c r="F196" s="35">
        <v>42853</v>
      </c>
    </row>
    <row r="197" spans="1:6" x14ac:dyDescent="0.3">
      <c r="A197" s="36" t="s">
        <v>2546</v>
      </c>
      <c r="B197" s="33">
        <v>8.6188350000000007</v>
      </c>
      <c r="C197" s="33">
        <v>-12.101698437</v>
      </c>
      <c r="E197" s="34">
        <f t="shared" si="3"/>
        <v>20.720533437</v>
      </c>
      <c r="F197" s="35">
        <v>42854</v>
      </c>
    </row>
    <row r="198" spans="1:6" x14ac:dyDescent="0.3">
      <c r="A198" s="36" t="s">
        <v>2547</v>
      </c>
      <c r="B198" s="33">
        <v>6.9942140000000004</v>
      </c>
      <c r="C198" s="33">
        <v>-11.380565827</v>
      </c>
      <c r="E198" s="34">
        <f t="shared" si="3"/>
        <v>18.374779827000001</v>
      </c>
      <c r="F198" s="35">
        <v>42855</v>
      </c>
    </row>
    <row r="199" spans="1:6" x14ac:dyDescent="0.3">
      <c r="A199" s="36" t="s">
        <v>2548</v>
      </c>
      <c r="B199" s="33">
        <v>6.2887839999999997</v>
      </c>
      <c r="C199" s="33">
        <v>-12.032646156</v>
      </c>
      <c r="E199" s="34">
        <f t="shared" si="3"/>
        <v>18.321430155999998</v>
      </c>
      <c r="F199" s="35">
        <v>42856</v>
      </c>
    </row>
    <row r="200" spans="1:6" x14ac:dyDescent="0.3">
      <c r="A200" s="36" t="s">
        <v>2549</v>
      </c>
      <c r="B200" s="33">
        <v>6.1778969999999997</v>
      </c>
      <c r="C200" s="33">
        <v>-10.864459239</v>
      </c>
      <c r="E200" s="34">
        <f t="shared" si="3"/>
        <v>17.042356239</v>
      </c>
      <c r="F200" s="35">
        <v>42857</v>
      </c>
    </row>
    <row r="201" spans="1:6" x14ac:dyDescent="0.3">
      <c r="A201" s="36" t="s">
        <v>2550</v>
      </c>
      <c r="B201" s="33">
        <v>6.0946559999999996</v>
      </c>
      <c r="C201" s="33">
        <v>-11.725548587</v>
      </c>
      <c r="E201" s="34">
        <f t="shared" si="3"/>
        <v>17.820204586999999</v>
      </c>
      <c r="F201" s="35">
        <v>42858</v>
      </c>
    </row>
    <row r="202" spans="1:6" x14ac:dyDescent="0.3">
      <c r="A202" s="36" t="s">
        <v>2551</v>
      </c>
      <c r="B202" s="33">
        <v>5.0074120000000004</v>
      </c>
      <c r="C202" s="33">
        <v>-12.002029856</v>
      </c>
      <c r="E202" s="34">
        <f t="shared" si="3"/>
        <v>17.009441856000002</v>
      </c>
      <c r="F202" s="35">
        <v>42859</v>
      </c>
    </row>
    <row r="203" spans="1:6" x14ac:dyDescent="0.3">
      <c r="A203" s="36" t="s">
        <v>2552</v>
      </c>
      <c r="B203" s="33">
        <v>5.4911019999999997</v>
      </c>
      <c r="C203" s="33">
        <v>-13.99345452</v>
      </c>
      <c r="E203" s="34">
        <f t="shared" si="3"/>
        <v>19.484556519999998</v>
      </c>
      <c r="F203" s="35">
        <v>42860</v>
      </c>
    </row>
    <row r="204" spans="1:6" x14ac:dyDescent="0.3">
      <c r="A204" s="36" t="s">
        <v>2553</v>
      </c>
      <c r="B204" s="33">
        <v>6.4871819999999998</v>
      </c>
      <c r="C204" s="33">
        <v>-13.576748436999999</v>
      </c>
      <c r="E204" s="34">
        <f t="shared" si="3"/>
        <v>20.063930437</v>
      </c>
      <c r="F204" s="35">
        <v>42861</v>
      </c>
    </row>
    <row r="205" spans="1:6" x14ac:dyDescent="0.3">
      <c r="A205" s="36" t="s">
        <v>2554</v>
      </c>
      <c r="B205" s="33">
        <v>6.7480760000000002</v>
      </c>
      <c r="C205" s="33">
        <v>-14.038930282000001</v>
      </c>
      <c r="E205" s="34">
        <f t="shared" si="3"/>
        <v>20.787006282</v>
      </c>
      <c r="F205" s="35">
        <v>42862</v>
      </c>
    </row>
    <row r="206" spans="1:6" x14ac:dyDescent="0.3">
      <c r="A206" s="36" t="s">
        <v>2555</v>
      </c>
      <c r="B206" s="33">
        <v>8.2069620000000008</v>
      </c>
      <c r="C206" s="33">
        <v>-13.991692418</v>
      </c>
      <c r="E206" s="34">
        <f t="shared" si="3"/>
        <v>22.198654418</v>
      </c>
      <c r="F206" s="35">
        <v>42863</v>
      </c>
    </row>
    <row r="207" spans="1:6" x14ac:dyDescent="0.3">
      <c r="A207" s="36" t="s">
        <v>2556</v>
      </c>
      <c r="B207" s="33">
        <v>8.122503</v>
      </c>
      <c r="C207" s="33">
        <v>-14.995600073</v>
      </c>
      <c r="E207" s="34">
        <f t="shared" si="3"/>
        <v>23.118103073</v>
      </c>
      <c r="F207" s="35">
        <v>42864</v>
      </c>
    </row>
    <row r="208" spans="1:6" x14ac:dyDescent="0.3">
      <c r="A208" s="36" t="s">
        <v>2557</v>
      </c>
      <c r="B208" s="33">
        <v>7.4795340000000001</v>
      </c>
      <c r="C208" s="33">
        <v>-15.357593064</v>
      </c>
      <c r="E208" s="34">
        <f t="shared" si="3"/>
        <v>22.837127064000001</v>
      </c>
      <c r="F208" s="35">
        <v>42865</v>
      </c>
    </row>
    <row r="209" spans="1:6" x14ac:dyDescent="0.3">
      <c r="A209" s="36" t="s">
        <v>2558</v>
      </c>
      <c r="B209" s="33">
        <v>7.6356130000000002</v>
      </c>
      <c r="C209" s="33">
        <v>-13.844569890000001</v>
      </c>
      <c r="E209" s="34">
        <f t="shared" si="3"/>
        <v>21.480182890000002</v>
      </c>
      <c r="F209" s="35">
        <v>42866</v>
      </c>
    </row>
    <row r="210" spans="1:6" x14ac:dyDescent="0.3">
      <c r="A210" s="36" t="s">
        <v>2559</v>
      </c>
      <c r="B210" s="33">
        <v>7.6796829999999998</v>
      </c>
      <c r="C210" s="33">
        <v>-12.513058869</v>
      </c>
      <c r="E210" s="34">
        <f t="shared" si="3"/>
        <v>20.192741868999999</v>
      </c>
      <c r="F210" s="35">
        <v>42867</v>
      </c>
    </row>
    <row r="211" spans="1:6" x14ac:dyDescent="0.3">
      <c r="A211" s="36" t="s">
        <v>2560</v>
      </c>
      <c r="B211" s="33">
        <v>8.8101489999999991</v>
      </c>
      <c r="C211" s="33">
        <v>-13.67942182</v>
      </c>
      <c r="E211" s="34">
        <f t="shared" si="3"/>
        <v>22.489570819999997</v>
      </c>
      <c r="F211" s="35">
        <v>42868</v>
      </c>
    </row>
    <row r="212" spans="1:6" x14ac:dyDescent="0.3">
      <c r="A212" s="36" t="s">
        <v>2561</v>
      </c>
      <c r="B212" s="33">
        <v>8.6170069999999992</v>
      </c>
      <c r="C212" s="33">
        <v>-14.015111939000001</v>
      </c>
      <c r="E212" s="34">
        <f t="shared" si="3"/>
        <v>22.632118939000001</v>
      </c>
      <c r="F212" s="35">
        <v>42869</v>
      </c>
    </row>
    <row r="213" spans="1:6" x14ac:dyDescent="0.3">
      <c r="A213" s="36" t="s">
        <v>2562</v>
      </c>
      <c r="B213" s="33">
        <v>8.7771159999999995</v>
      </c>
      <c r="C213" s="33">
        <v>-14.10139772</v>
      </c>
      <c r="E213" s="34">
        <f t="shared" si="3"/>
        <v>22.878513720000001</v>
      </c>
      <c r="F213" s="35">
        <v>42870</v>
      </c>
    </row>
    <row r="214" spans="1:6" x14ac:dyDescent="0.3">
      <c r="A214" s="36" t="s">
        <v>2563</v>
      </c>
      <c r="B214" s="33">
        <v>9.5564210000000003</v>
      </c>
      <c r="C214" s="33">
        <v>-14.65066695</v>
      </c>
      <c r="E214" s="34">
        <f t="shared" si="3"/>
        <v>24.207087950000002</v>
      </c>
      <c r="F214" s="35">
        <v>42871</v>
      </c>
    </row>
    <row r="215" spans="1:6" x14ac:dyDescent="0.3">
      <c r="A215" s="36" t="s">
        <v>2564</v>
      </c>
      <c r="B215" s="33">
        <v>9.2650140000000007</v>
      </c>
      <c r="C215" s="33">
        <v>-14.997133233</v>
      </c>
      <c r="E215" s="34">
        <f t="shared" si="3"/>
        <v>24.262147233</v>
      </c>
      <c r="F215" s="35">
        <v>42872</v>
      </c>
    </row>
    <row r="216" spans="1:6" x14ac:dyDescent="0.3">
      <c r="A216" s="36" t="s">
        <v>2565</v>
      </c>
      <c r="B216" s="33">
        <v>8.7473559999999999</v>
      </c>
      <c r="C216" s="33">
        <v>-14.495418725</v>
      </c>
      <c r="E216" s="34">
        <f t="shared" si="3"/>
        <v>23.242774725</v>
      </c>
      <c r="F216" s="35">
        <v>42873</v>
      </c>
    </row>
    <row r="217" spans="1:6" x14ac:dyDescent="0.3">
      <c r="A217" s="36" t="s">
        <v>2566</v>
      </c>
      <c r="B217" s="33">
        <v>7.6567249999999998</v>
      </c>
      <c r="C217" s="33">
        <v>-13.729821984000001</v>
      </c>
      <c r="E217" s="34">
        <f t="shared" si="3"/>
        <v>21.386546983999999</v>
      </c>
      <c r="F217" s="35">
        <v>42874</v>
      </c>
    </row>
    <row r="218" spans="1:6" x14ac:dyDescent="0.3">
      <c r="A218" s="36" t="s">
        <v>2567</v>
      </c>
      <c r="B218" s="33">
        <v>8.3457489999999996</v>
      </c>
      <c r="C218" s="33">
        <v>-13.499286658999999</v>
      </c>
      <c r="E218" s="34">
        <f t="shared" si="3"/>
        <v>21.845035658999997</v>
      </c>
      <c r="F218" s="35">
        <v>42875</v>
      </c>
    </row>
    <row r="219" spans="1:6" x14ac:dyDescent="0.3">
      <c r="A219" s="36" t="s">
        <v>2568</v>
      </c>
      <c r="B219" s="33">
        <v>8.8772500000000001</v>
      </c>
      <c r="C219" s="33">
        <v>-15.416289229</v>
      </c>
      <c r="E219" s="34">
        <f t="shared" si="3"/>
        <v>24.293539229</v>
      </c>
      <c r="F219" s="35">
        <v>42876</v>
      </c>
    </row>
    <row r="220" spans="1:6" x14ac:dyDescent="0.3">
      <c r="A220" s="36" t="s">
        <v>2569</v>
      </c>
      <c r="B220" s="33">
        <v>7.6223910000000004</v>
      </c>
      <c r="C220" s="33">
        <v>-15.483516462000001</v>
      </c>
      <c r="E220" s="34">
        <f t="shared" si="3"/>
        <v>23.105907462000001</v>
      </c>
      <c r="F220" s="35">
        <v>42877</v>
      </c>
    </row>
    <row r="221" spans="1:6" x14ac:dyDescent="0.3">
      <c r="A221" s="36" t="s">
        <v>2570</v>
      </c>
      <c r="B221" s="33">
        <v>6.2399839999999998</v>
      </c>
      <c r="C221" s="33">
        <v>-15.975502885999999</v>
      </c>
      <c r="E221" s="34">
        <f t="shared" si="3"/>
        <v>22.215486886000001</v>
      </c>
      <c r="F221" s="35">
        <v>42878</v>
      </c>
    </row>
    <row r="222" spans="1:6" x14ac:dyDescent="0.3">
      <c r="A222" s="36" t="s">
        <v>2571</v>
      </c>
      <c r="B222" s="33">
        <v>7.4619309999999999</v>
      </c>
      <c r="C222" s="33">
        <v>-15.547630027</v>
      </c>
      <c r="E222" s="34">
        <f t="shared" si="3"/>
        <v>23.009561027</v>
      </c>
      <c r="F222" s="35">
        <v>42879</v>
      </c>
    </row>
    <row r="223" spans="1:6" x14ac:dyDescent="0.3">
      <c r="A223" s="36" t="s">
        <v>2572</v>
      </c>
      <c r="B223" s="33">
        <v>8.2366969999999995</v>
      </c>
      <c r="C223" s="33">
        <v>-14.708234613</v>
      </c>
      <c r="E223" s="34">
        <f t="shared" si="3"/>
        <v>22.944931613000001</v>
      </c>
      <c r="F223" s="35">
        <v>42880</v>
      </c>
    </row>
    <row r="224" spans="1:6" x14ac:dyDescent="0.3">
      <c r="A224" s="36" t="s">
        <v>2573</v>
      </c>
      <c r="B224" s="33">
        <v>8.6230340000000005</v>
      </c>
      <c r="C224" s="33">
        <v>-15.096954984</v>
      </c>
      <c r="E224" s="34">
        <f t="shared" si="3"/>
        <v>23.719988984</v>
      </c>
      <c r="F224" s="35">
        <v>42881</v>
      </c>
    </row>
    <row r="225" spans="1:6" x14ac:dyDescent="0.3">
      <c r="A225" s="36" t="s">
        <v>2574</v>
      </c>
      <c r="B225" s="33">
        <v>9.1854320000000005</v>
      </c>
      <c r="C225" s="33">
        <v>-13.571024806</v>
      </c>
      <c r="E225" s="34">
        <f t="shared" si="3"/>
        <v>22.756456806000003</v>
      </c>
      <c r="F225" s="35">
        <v>42882</v>
      </c>
    </row>
    <row r="226" spans="1:6" x14ac:dyDescent="0.3">
      <c r="A226" s="36" t="s">
        <v>2575</v>
      </c>
      <c r="B226" s="33">
        <v>9.5151559999999993</v>
      </c>
      <c r="C226" s="33">
        <v>-13.703748654</v>
      </c>
      <c r="E226" s="34">
        <f t="shared" si="3"/>
        <v>23.218904653999999</v>
      </c>
      <c r="F226" s="35">
        <v>42883</v>
      </c>
    </row>
    <row r="227" spans="1:6" x14ac:dyDescent="0.3">
      <c r="A227" s="36" t="s">
        <v>2576</v>
      </c>
      <c r="B227" s="33">
        <v>10.871270000000001</v>
      </c>
      <c r="C227" s="33">
        <v>-12.870413924999999</v>
      </c>
      <c r="E227" s="34">
        <f t="shared" si="3"/>
        <v>23.741683925</v>
      </c>
      <c r="F227" s="35">
        <v>42884</v>
      </c>
    </row>
    <row r="228" spans="1:6" x14ac:dyDescent="0.3">
      <c r="A228" s="36" t="s">
        <v>2577</v>
      </c>
      <c r="B228" s="33">
        <v>11.856387</v>
      </c>
      <c r="C228" s="33">
        <v>-12.757101021</v>
      </c>
      <c r="E228" s="34">
        <f t="shared" si="3"/>
        <v>24.613488021000002</v>
      </c>
      <c r="F228" s="35">
        <v>42885</v>
      </c>
    </row>
    <row r="229" spans="1:6" x14ac:dyDescent="0.3">
      <c r="A229" s="36" t="s">
        <v>2578</v>
      </c>
      <c r="B229" s="33">
        <v>11.370827</v>
      </c>
      <c r="C229" s="33">
        <v>-11.519682336000001</v>
      </c>
      <c r="E229" s="34">
        <f t="shared" si="3"/>
        <v>22.890509336000001</v>
      </c>
      <c r="F229" s="35">
        <v>42886</v>
      </c>
    </row>
    <row r="230" spans="1:6" x14ac:dyDescent="0.3">
      <c r="A230" s="36" t="s">
        <v>2579</v>
      </c>
      <c r="B230" s="33">
        <v>11.965006000000001</v>
      </c>
      <c r="C230" s="33">
        <v>-12.943486159000001</v>
      </c>
      <c r="E230" s="34">
        <f t="shared" si="3"/>
        <v>24.908492159000001</v>
      </c>
      <c r="F230" s="35">
        <v>42887</v>
      </c>
    </row>
    <row r="231" spans="1:6" x14ac:dyDescent="0.3">
      <c r="A231" s="36" t="s">
        <v>2580</v>
      </c>
      <c r="B231" s="33">
        <v>12.912604</v>
      </c>
      <c r="C231" s="33">
        <v>-11.698006629</v>
      </c>
      <c r="E231" s="34">
        <f t="shared" si="3"/>
        <v>24.610610629</v>
      </c>
      <c r="F231" s="35">
        <v>42888</v>
      </c>
    </row>
    <row r="232" spans="1:6" x14ac:dyDescent="0.3">
      <c r="A232" s="36" t="s">
        <v>2581</v>
      </c>
      <c r="B232" s="33">
        <v>12.520390000000001</v>
      </c>
      <c r="C232" s="33">
        <v>-10.21337194</v>
      </c>
      <c r="E232" s="34">
        <f t="shared" si="3"/>
        <v>22.733761940000001</v>
      </c>
      <c r="F232" s="35">
        <v>42889</v>
      </c>
    </row>
    <row r="233" spans="1:6" x14ac:dyDescent="0.3">
      <c r="A233" s="36" t="s">
        <v>2582</v>
      </c>
      <c r="B233" s="33">
        <v>12.890364</v>
      </c>
      <c r="C233" s="33">
        <v>-10.155418527</v>
      </c>
      <c r="E233" s="34">
        <f t="shared" si="3"/>
        <v>23.045782527</v>
      </c>
      <c r="F233" s="35">
        <v>42890</v>
      </c>
    </row>
    <row r="234" spans="1:6" x14ac:dyDescent="0.3">
      <c r="A234" s="36" t="s">
        <v>2583</v>
      </c>
      <c r="B234" s="33">
        <v>10.580055</v>
      </c>
      <c r="C234" s="33">
        <v>-10.312972664</v>
      </c>
      <c r="E234" s="34">
        <f t="shared" si="3"/>
        <v>20.893027664000002</v>
      </c>
      <c r="F234" s="35">
        <v>42891</v>
      </c>
    </row>
    <row r="235" spans="1:6" x14ac:dyDescent="0.3">
      <c r="A235" s="36" t="s">
        <v>2584</v>
      </c>
      <c r="B235" s="33">
        <v>9.0942220000000002</v>
      </c>
      <c r="C235" s="33">
        <v>-10.788996721</v>
      </c>
      <c r="E235" s="34">
        <f t="shared" si="3"/>
        <v>19.883218720999999</v>
      </c>
      <c r="F235" s="35">
        <v>42892</v>
      </c>
    </row>
    <row r="236" spans="1:6" x14ac:dyDescent="0.3">
      <c r="A236" s="36" t="s">
        <v>2585</v>
      </c>
      <c r="B236" s="33">
        <v>11.513092</v>
      </c>
      <c r="C236" s="33">
        <v>-10.825440454000001</v>
      </c>
      <c r="E236" s="34">
        <f t="shared" si="3"/>
        <v>22.338532454000003</v>
      </c>
      <c r="F236" s="35">
        <v>42893</v>
      </c>
    </row>
    <row r="237" spans="1:6" x14ac:dyDescent="0.3">
      <c r="A237" s="36" t="s">
        <v>2586</v>
      </c>
      <c r="B237" s="33">
        <v>12.640302999999999</v>
      </c>
      <c r="C237" s="33">
        <v>-11.136372298</v>
      </c>
      <c r="E237" s="34">
        <f t="shared" si="3"/>
        <v>23.776675298000001</v>
      </c>
      <c r="F237" s="35">
        <v>42894</v>
      </c>
    </row>
    <row r="238" spans="1:6" x14ac:dyDescent="0.3">
      <c r="A238" s="36" t="s">
        <v>2587</v>
      </c>
      <c r="B238" s="33">
        <v>12.995927999999999</v>
      </c>
      <c r="C238" s="33">
        <v>-11.916716614</v>
      </c>
      <c r="E238" s="34">
        <f t="shared" si="3"/>
        <v>24.912644614000001</v>
      </c>
      <c r="F238" s="35">
        <v>42895</v>
      </c>
    </row>
    <row r="239" spans="1:6" x14ac:dyDescent="0.3">
      <c r="A239" s="36" t="s">
        <v>2588</v>
      </c>
      <c r="B239" s="33">
        <v>11.958784</v>
      </c>
      <c r="C239" s="33">
        <v>-12.680520871000001</v>
      </c>
      <c r="E239" s="34">
        <f t="shared" si="3"/>
        <v>24.639304871</v>
      </c>
      <c r="F239" s="35">
        <v>42896</v>
      </c>
    </row>
    <row r="240" spans="1:6" x14ac:dyDescent="0.3">
      <c r="A240" s="36" t="s">
        <v>2589</v>
      </c>
      <c r="B240" s="33">
        <v>12.290426</v>
      </c>
      <c r="C240" s="33">
        <v>-11.920113708000001</v>
      </c>
      <c r="E240" s="34">
        <f t="shared" si="3"/>
        <v>24.210539707999999</v>
      </c>
      <c r="F240" s="35">
        <v>42897</v>
      </c>
    </row>
    <row r="241" spans="1:6" x14ac:dyDescent="0.3">
      <c r="A241" s="36" t="s">
        <v>2590</v>
      </c>
      <c r="B241" s="33">
        <v>11.721662999999999</v>
      </c>
      <c r="C241" s="33">
        <v>-12.208992276</v>
      </c>
      <c r="E241" s="34">
        <f t="shared" si="3"/>
        <v>23.930655276</v>
      </c>
      <c r="F241" s="35">
        <v>42898</v>
      </c>
    </row>
    <row r="242" spans="1:6" x14ac:dyDescent="0.3">
      <c r="A242" s="36" t="s">
        <v>2591</v>
      </c>
      <c r="B242" s="33">
        <v>12.860108</v>
      </c>
      <c r="C242" s="33">
        <v>-12.384946062999999</v>
      </c>
      <c r="E242" s="34">
        <f t="shared" si="3"/>
        <v>25.245054062999998</v>
      </c>
      <c r="F242" s="35">
        <v>42899</v>
      </c>
    </row>
    <row r="243" spans="1:6" x14ac:dyDescent="0.3">
      <c r="A243" s="36" t="s">
        <v>2592</v>
      </c>
      <c r="B243" s="33">
        <v>13.119560999999999</v>
      </c>
      <c r="C243" s="33">
        <v>-12.415466010999999</v>
      </c>
      <c r="E243" s="34">
        <f t="shared" si="3"/>
        <v>25.535027010999997</v>
      </c>
      <c r="F243" s="35">
        <v>42900</v>
      </c>
    </row>
    <row r="244" spans="1:6" x14ac:dyDescent="0.3">
      <c r="A244" s="36" t="s">
        <v>2593</v>
      </c>
      <c r="B244" s="33">
        <v>13.606737000000001</v>
      </c>
      <c r="C244" s="33">
        <v>-11.918895849</v>
      </c>
      <c r="E244" s="34">
        <f t="shared" si="3"/>
        <v>25.525632849000001</v>
      </c>
      <c r="F244" s="35">
        <v>42901</v>
      </c>
    </row>
    <row r="245" spans="1:6" x14ac:dyDescent="0.3">
      <c r="A245" s="36" t="s">
        <v>2594</v>
      </c>
      <c r="B245" s="33">
        <v>14.033982999999999</v>
      </c>
      <c r="C245" s="33">
        <v>-11.835094485999999</v>
      </c>
      <c r="E245" s="34">
        <f t="shared" si="3"/>
        <v>25.869077485999998</v>
      </c>
      <c r="F245" s="35">
        <v>42902</v>
      </c>
    </row>
    <row r="246" spans="1:6" x14ac:dyDescent="0.3">
      <c r="A246" s="36" t="s">
        <v>2595</v>
      </c>
      <c r="B246" s="33">
        <v>16.149118999999999</v>
      </c>
      <c r="C246" s="33">
        <v>-9.2406258999999995</v>
      </c>
      <c r="E246" s="34">
        <f t="shared" si="3"/>
        <v>25.389744899999997</v>
      </c>
      <c r="F246" s="35">
        <v>42903</v>
      </c>
    </row>
    <row r="247" spans="1:6" x14ac:dyDescent="0.3">
      <c r="A247" s="36" t="s">
        <v>2596</v>
      </c>
      <c r="B247" s="33">
        <v>15.082190000000001</v>
      </c>
      <c r="C247" s="33">
        <v>-7.9068418190000003</v>
      </c>
      <c r="E247" s="34">
        <f t="shared" si="3"/>
        <v>22.989031819000001</v>
      </c>
      <c r="F247" s="35">
        <v>42904</v>
      </c>
    </row>
    <row r="248" spans="1:6" x14ac:dyDescent="0.3">
      <c r="A248" s="36" t="s">
        <v>2597</v>
      </c>
      <c r="B248" s="33">
        <v>14.620801</v>
      </c>
      <c r="C248" s="33">
        <v>-7.2282482809999999</v>
      </c>
      <c r="E248" s="34">
        <f t="shared" si="3"/>
        <v>21.849049280999999</v>
      </c>
      <c r="F248" s="35">
        <v>42905</v>
      </c>
    </row>
    <row r="249" spans="1:6" x14ac:dyDescent="0.3">
      <c r="A249" s="36" t="s">
        <v>2598</v>
      </c>
      <c r="B249" s="33">
        <v>12.936992</v>
      </c>
      <c r="C249" s="33">
        <v>-7.3587731769999998</v>
      </c>
      <c r="E249" s="34">
        <f t="shared" si="3"/>
        <v>20.295765177</v>
      </c>
      <c r="F249" s="35">
        <v>42906</v>
      </c>
    </row>
    <row r="250" spans="1:6" x14ac:dyDescent="0.3">
      <c r="A250" s="36" t="s">
        <v>2599</v>
      </c>
      <c r="B250" s="33">
        <v>13.607877999999999</v>
      </c>
      <c r="C250" s="33">
        <v>-7.7746895440000001</v>
      </c>
      <c r="E250" s="34">
        <f t="shared" si="3"/>
        <v>21.382567544</v>
      </c>
      <c r="F250" s="35">
        <v>42907</v>
      </c>
    </row>
    <row r="251" spans="1:6" x14ac:dyDescent="0.3">
      <c r="A251" s="36" t="s">
        <v>2600</v>
      </c>
      <c r="B251" s="33">
        <v>13.004270999999999</v>
      </c>
      <c r="C251" s="33">
        <v>-7.5873049010000004</v>
      </c>
      <c r="E251" s="34">
        <f t="shared" si="3"/>
        <v>20.591575900999999</v>
      </c>
      <c r="F251" s="35">
        <v>42908</v>
      </c>
    </row>
    <row r="252" spans="1:6" x14ac:dyDescent="0.3">
      <c r="A252" s="36" t="s">
        <v>2601</v>
      </c>
      <c r="B252" s="33">
        <v>12.42764</v>
      </c>
      <c r="C252" s="33">
        <v>-8.3009142839999992</v>
      </c>
      <c r="E252" s="34">
        <f t="shared" si="3"/>
        <v>20.728554283999998</v>
      </c>
      <c r="F252" s="35">
        <v>42909</v>
      </c>
    </row>
    <row r="253" spans="1:6" x14ac:dyDescent="0.3">
      <c r="A253" s="36" t="s">
        <v>2602</v>
      </c>
      <c r="B253" s="33">
        <v>12.119084000000001</v>
      </c>
      <c r="C253" s="33">
        <v>-6.7544992419999996</v>
      </c>
      <c r="E253" s="34">
        <f t="shared" si="3"/>
        <v>18.873583242000002</v>
      </c>
      <c r="F253" s="35">
        <v>42910</v>
      </c>
    </row>
    <row r="254" spans="1:6" x14ac:dyDescent="0.3">
      <c r="A254" s="36" t="s">
        <v>2603</v>
      </c>
      <c r="B254" s="33">
        <v>12.777675</v>
      </c>
      <c r="C254" s="33">
        <v>-8.1128055519999993</v>
      </c>
      <c r="E254" s="34">
        <f t="shared" si="3"/>
        <v>20.890480552</v>
      </c>
      <c r="F254" s="35">
        <v>42911</v>
      </c>
    </row>
    <row r="255" spans="1:6" x14ac:dyDescent="0.3">
      <c r="A255" s="36" t="s">
        <v>2604</v>
      </c>
      <c r="B255" s="33">
        <v>12.682871</v>
      </c>
      <c r="C255" s="33">
        <v>-8.2361277410000007</v>
      </c>
      <c r="E255" s="34">
        <f t="shared" si="3"/>
        <v>20.918998741000003</v>
      </c>
      <c r="F255" s="35">
        <v>42912</v>
      </c>
    </row>
    <row r="256" spans="1:6" x14ac:dyDescent="0.3">
      <c r="A256" s="36" t="s">
        <v>2605</v>
      </c>
      <c r="B256" s="33">
        <v>13.415891</v>
      </c>
      <c r="C256" s="33">
        <v>-7.5621870949999996</v>
      </c>
      <c r="E256" s="34">
        <f t="shared" si="3"/>
        <v>20.978078095000001</v>
      </c>
      <c r="F256" s="35">
        <v>42913</v>
      </c>
    </row>
    <row r="257" spans="1:6" x14ac:dyDescent="0.3">
      <c r="A257" s="36" t="s">
        <v>2606</v>
      </c>
      <c r="B257" s="33">
        <v>13.752361000000001</v>
      </c>
      <c r="C257" s="33">
        <v>-6.4901858959999998</v>
      </c>
      <c r="E257" s="34">
        <f t="shared" si="3"/>
        <v>20.242546896</v>
      </c>
      <c r="F257" s="35">
        <v>42914</v>
      </c>
    </row>
    <row r="258" spans="1:6" x14ac:dyDescent="0.3">
      <c r="A258" s="36" t="s">
        <v>2607</v>
      </c>
      <c r="B258" s="33">
        <v>12.689861000000001</v>
      </c>
      <c r="C258" s="33">
        <v>-6.9691515470000001</v>
      </c>
      <c r="E258" s="34">
        <f t="shared" ref="E258:E321" si="4">B258-C258</f>
        <v>19.659012547</v>
      </c>
      <c r="F258" s="35">
        <v>42915</v>
      </c>
    </row>
    <row r="259" spans="1:6" x14ac:dyDescent="0.3">
      <c r="A259" s="36" t="s">
        <v>2608</v>
      </c>
      <c r="B259" s="33">
        <v>12.128722</v>
      </c>
      <c r="C259" s="33">
        <v>-9.0851435770000002</v>
      </c>
      <c r="E259" s="34">
        <f t="shared" si="4"/>
        <v>21.213865577</v>
      </c>
      <c r="F259" s="35">
        <v>42916</v>
      </c>
    </row>
    <row r="260" spans="1:6" x14ac:dyDescent="0.3">
      <c r="A260" s="36" t="s">
        <v>2609</v>
      </c>
      <c r="B260" s="33">
        <v>13.018057000000001</v>
      </c>
      <c r="C260" s="33">
        <v>-10.411086123</v>
      </c>
      <c r="E260" s="34">
        <f t="shared" si="4"/>
        <v>23.429143123000003</v>
      </c>
      <c r="F260" s="35">
        <v>42917</v>
      </c>
    </row>
    <row r="261" spans="1:6" x14ac:dyDescent="0.3">
      <c r="A261" s="36" t="s">
        <v>2610</v>
      </c>
      <c r="B261" s="33">
        <v>13.471387999999999</v>
      </c>
      <c r="C261" s="33">
        <v>-8.6723112469999997</v>
      </c>
      <c r="E261" s="34">
        <f t="shared" si="4"/>
        <v>22.143699247000001</v>
      </c>
      <c r="F261" s="35">
        <v>42918</v>
      </c>
    </row>
    <row r="262" spans="1:6" x14ac:dyDescent="0.3">
      <c r="A262" s="36" t="s">
        <v>2611</v>
      </c>
      <c r="B262" s="33">
        <v>11.762123000000001</v>
      </c>
      <c r="C262" s="33">
        <v>-9.5644888940000001</v>
      </c>
      <c r="E262" s="34">
        <f t="shared" si="4"/>
        <v>21.326611894000003</v>
      </c>
      <c r="F262" s="35">
        <v>42919</v>
      </c>
    </row>
    <row r="263" spans="1:6" x14ac:dyDescent="0.3">
      <c r="A263" s="36" t="s">
        <v>2612</v>
      </c>
      <c r="B263" s="33">
        <v>10.594348999999999</v>
      </c>
      <c r="C263" s="33">
        <v>-9.9808127839999994</v>
      </c>
      <c r="E263" s="34">
        <f t="shared" si="4"/>
        <v>20.575161783999999</v>
      </c>
      <c r="F263" s="35">
        <v>42920</v>
      </c>
    </row>
    <row r="264" spans="1:6" x14ac:dyDescent="0.3">
      <c r="A264" s="36" t="s">
        <v>2613</v>
      </c>
      <c r="B264" s="33">
        <v>9.7027169999999998</v>
      </c>
      <c r="C264" s="33">
        <v>-10.011903447</v>
      </c>
      <c r="E264" s="34">
        <f t="shared" si="4"/>
        <v>19.714620447000001</v>
      </c>
      <c r="F264" s="35">
        <v>42921</v>
      </c>
    </row>
    <row r="265" spans="1:6" x14ac:dyDescent="0.3">
      <c r="A265" s="36" t="s">
        <v>2614</v>
      </c>
      <c r="B265" s="33">
        <v>10.011272</v>
      </c>
      <c r="C265" s="33">
        <v>-9.6758984859999995</v>
      </c>
      <c r="E265" s="34">
        <f t="shared" si="4"/>
        <v>19.687170485999999</v>
      </c>
      <c r="F265" s="35">
        <v>42922</v>
      </c>
    </row>
    <row r="266" spans="1:6" x14ac:dyDescent="0.3">
      <c r="A266" s="36" t="s">
        <v>2615</v>
      </c>
      <c r="B266" s="33">
        <v>10.076513</v>
      </c>
      <c r="C266" s="33">
        <v>-9.3189332339999993</v>
      </c>
      <c r="E266" s="34">
        <f t="shared" si="4"/>
        <v>19.395446233999998</v>
      </c>
      <c r="F266" s="35">
        <v>42923</v>
      </c>
    </row>
    <row r="267" spans="1:6" x14ac:dyDescent="0.3">
      <c r="A267" s="36" t="s">
        <v>2616</v>
      </c>
      <c r="B267" s="33">
        <v>10.18407</v>
      </c>
      <c r="C267" s="33">
        <v>-9.1361743650000005</v>
      </c>
      <c r="E267" s="34">
        <f t="shared" si="4"/>
        <v>19.320244365000001</v>
      </c>
      <c r="F267" s="35">
        <v>42924</v>
      </c>
    </row>
    <row r="268" spans="1:6" x14ac:dyDescent="0.3">
      <c r="A268" s="36" t="s">
        <v>2617</v>
      </c>
      <c r="B268" s="33">
        <v>9.1431780000000007</v>
      </c>
      <c r="C268" s="33">
        <v>-9.7506209409999993</v>
      </c>
      <c r="E268" s="34">
        <f t="shared" si="4"/>
        <v>18.893798941</v>
      </c>
      <c r="F268" s="35">
        <v>42925</v>
      </c>
    </row>
    <row r="269" spans="1:6" x14ac:dyDescent="0.3">
      <c r="A269" s="36" t="s">
        <v>2618</v>
      </c>
      <c r="B269" s="33">
        <v>9.5649230000000003</v>
      </c>
      <c r="C269" s="33">
        <v>-8.2904876999999999</v>
      </c>
      <c r="E269" s="34">
        <f t="shared" si="4"/>
        <v>17.8554107</v>
      </c>
      <c r="F269" s="35">
        <v>42926</v>
      </c>
    </row>
    <row r="270" spans="1:6" x14ac:dyDescent="0.3">
      <c r="A270" s="36" t="s">
        <v>2619</v>
      </c>
      <c r="B270" s="33">
        <v>9.5878650000000007</v>
      </c>
      <c r="C270" s="33">
        <v>-7.5199968049999999</v>
      </c>
      <c r="E270" s="34">
        <f t="shared" si="4"/>
        <v>17.107861804999999</v>
      </c>
      <c r="F270" s="35">
        <v>42927</v>
      </c>
    </row>
    <row r="271" spans="1:6" x14ac:dyDescent="0.3">
      <c r="A271" s="36" t="s">
        <v>2620</v>
      </c>
      <c r="B271" s="33">
        <v>11.279464000000001</v>
      </c>
      <c r="C271" s="33">
        <v>-6.497205095</v>
      </c>
      <c r="E271" s="34">
        <f t="shared" si="4"/>
        <v>17.776669095000003</v>
      </c>
      <c r="F271" s="35">
        <v>42928</v>
      </c>
    </row>
    <row r="272" spans="1:6" x14ac:dyDescent="0.3">
      <c r="A272" s="36" t="s">
        <v>2621</v>
      </c>
      <c r="B272" s="33">
        <v>12.226701</v>
      </c>
      <c r="C272" s="33">
        <v>-6.4298225589999998</v>
      </c>
      <c r="E272" s="34">
        <f t="shared" si="4"/>
        <v>18.656523559</v>
      </c>
      <c r="F272" s="35">
        <v>42929</v>
      </c>
    </row>
    <row r="273" spans="1:6" x14ac:dyDescent="0.3">
      <c r="A273" s="36" t="s">
        <v>2622</v>
      </c>
      <c r="B273" s="33">
        <v>12.805699000000001</v>
      </c>
      <c r="C273" s="33">
        <v>-8.1998532340000008</v>
      </c>
      <c r="E273" s="34">
        <f t="shared" si="4"/>
        <v>21.005552234</v>
      </c>
      <c r="F273" s="35">
        <v>42930</v>
      </c>
    </row>
    <row r="274" spans="1:6" x14ac:dyDescent="0.3">
      <c r="A274" s="36" t="s">
        <v>2623</v>
      </c>
      <c r="B274" s="33">
        <v>12.349728000000001</v>
      </c>
      <c r="C274" s="33">
        <v>-8.3814195090000005</v>
      </c>
      <c r="E274" s="34">
        <f t="shared" si="4"/>
        <v>20.731147509000003</v>
      </c>
      <c r="F274" s="35">
        <v>42931</v>
      </c>
    </row>
    <row r="275" spans="1:6" x14ac:dyDescent="0.3">
      <c r="A275" s="36" t="s">
        <v>2624</v>
      </c>
      <c r="B275" s="33">
        <v>10.395004</v>
      </c>
      <c r="C275" s="33">
        <v>-8.6388844870000003</v>
      </c>
      <c r="E275" s="34">
        <f t="shared" si="4"/>
        <v>19.033888486999999</v>
      </c>
      <c r="F275" s="35">
        <v>42932</v>
      </c>
    </row>
    <row r="276" spans="1:6" x14ac:dyDescent="0.3">
      <c r="A276" s="36" t="s">
        <v>2625</v>
      </c>
      <c r="B276" s="33">
        <v>10.647076999999999</v>
      </c>
      <c r="C276" s="33">
        <v>-7.5416360359999999</v>
      </c>
      <c r="E276" s="34">
        <f t="shared" si="4"/>
        <v>18.188713035999999</v>
      </c>
      <c r="F276" s="35">
        <v>42933</v>
      </c>
    </row>
    <row r="277" spans="1:6" x14ac:dyDescent="0.3">
      <c r="A277" s="36" t="s">
        <v>2626</v>
      </c>
      <c r="B277" s="33">
        <v>11.585843000000001</v>
      </c>
      <c r="C277" s="33">
        <v>-7.7954322100000004</v>
      </c>
      <c r="E277" s="34">
        <f t="shared" si="4"/>
        <v>19.381275210000002</v>
      </c>
      <c r="F277" s="35">
        <v>42934</v>
      </c>
    </row>
    <row r="278" spans="1:6" x14ac:dyDescent="0.3">
      <c r="A278" s="36" t="s">
        <v>2627</v>
      </c>
      <c r="B278" s="33">
        <v>11.901992999999999</v>
      </c>
      <c r="C278" s="33">
        <v>-5.6027232260000002</v>
      </c>
      <c r="E278" s="34">
        <f t="shared" si="4"/>
        <v>17.504716225999999</v>
      </c>
      <c r="F278" s="35">
        <v>42935</v>
      </c>
    </row>
    <row r="279" spans="1:6" x14ac:dyDescent="0.3">
      <c r="A279" s="36" t="s">
        <v>2628</v>
      </c>
      <c r="B279" s="33">
        <v>12.712972000000001</v>
      </c>
      <c r="C279" s="33">
        <v>-4.9643503740000003</v>
      </c>
      <c r="E279" s="34">
        <f t="shared" si="4"/>
        <v>17.677322373999999</v>
      </c>
      <c r="F279" s="35">
        <v>42936</v>
      </c>
    </row>
    <row r="280" spans="1:6" x14ac:dyDescent="0.3">
      <c r="A280" s="36" t="s">
        <v>2629</v>
      </c>
      <c r="B280" s="33">
        <v>13.227043</v>
      </c>
      <c r="C280" s="33">
        <v>-4.2810982199999996</v>
      </c>
      <c r="E280" s="34">
        <f t="shared" si="4"/>
        <v>17.508141219999999</v>
      </c>
      <c r="F280" s="35">
        <v>42937</v>
      </c>
    </row>
    <row r="281" spans="1:6" x14ac:dyDescent="0.3">
      <c r="A281" s="36" t="s">
        <v>2630</v>
      </c>
      <c r="B281" s="33">
        <v>13.551147</v>
      </c>
      <c r="C281" s="33">
        <v>-4.5820297060000001</v>
      </c>
      <c r="E281" s="34">
        <f t="shared" si="4"/>
        <v>18.133176706</v>
      </c>
      <c r="F281" s="35">
        <v>42938</v>
      </c>
    </row>
    <row r="282" spans="1:6" x14ac:dyDescent="0.3">
      <c r="A282" s="36" t="s">
        <v>2631</v>
      </c>
      <c r="B282" s="33">
        <v>14.070565</v>
      </c>
      <c r="C282" s="33">
        <v>-2.6710674509999999</v>
      </c>
      <c r="E282" s="34">
        <f t="shared" si="4"/>
        <v>16.741632451000001</v>
      </c>
      <c r="F282" s="35">
        <v>42939</v>
      </c>
    </row>
    <row r="283" spans="1:6" x14ac:dyDescent="0.3">
      <c r="A283" s="36" t="s">
        <v>2632</v>
      </c>
      <c r="B283" s="33">
        <v>13.612781</v>
      </c>
      <c r="C283" s="33">
        <v>-3.4875789500000001</v>
      </c>
      <c r="E283" s="34">
        <f t="shared" si="4"/>
        <v>17.100359950000001</v>
      </c>
      <c r="F283" s="35">
        <v>42940</v>
      </c>
    </row>
    <row r="284" spans="1:6" x14ac:dyDescent="0.3">
      <c r="A284" s="36" t="s">
        <v>2633</v>
      </c>
      <c r="B284" s="33">
        <v>13.279313</v>
      </c>
      <c r="C284" s="33">
        <v>-3.7610021630000001</v>
      </c>
      <c r="E284" s="34">
        <f t="shared" si="4"/>
        <v>17.040315162999999</v>
      </c>
      <c r="F284" s="35">
        <v>42941</v>
      </c>
    </row>
    <row r="285" spans="1:6" x14ac:dyDescent="0.3">
      <c r="A285" s="36" t="s">
        <v>2634</v>
      </c>
      <c r="B285" s="33">
        <v>13.000807999999999</v>
      </c>
      <c r="C285" s="33">
        <v>-2.7618384009999999</v>
      </c>
      <c r="E285" s="34">
        <f t="shared" si="4"/>
        <v>15.762646401</v>
      </c>
      <c r="F285" s="35">
        <v>42942</v>
      </c>
    </row>
    <row r="286" spans="1:6" x14ac:dyDescent="0.3">
      <c r="A286" s="36" t="s">
        <v>2635</v>
      </c>
      <c r="B286" s="33">
        <v>11.915448</v>
      </c>
      <c r="C286" s="33">
        <v>-3.443968581</v>
      </c>
      <c r="E286" s="34">
        <f t="shared" si="4"/>
        <v>15.359416581</v>
      </c>
      <c r="F286" s="35">
        <v>42943</v>
      </c>
    </row>
    <row r="287" spans="1:6" x14ac:dyDescent="0.3">
      <c r="A287" s="36" t="s">
        <v>2636</v>
      </c>
      <c r="B287" s="33">
        <v>11.926482999999999</v>
      </c>
      <c r="C287" s="33">
        <v>-5.1409609329999997</v>
      </c>
      <c r="E287" s="34">
        <f t="shared" si="4"/>
        <v>17.067443933</v>
      </c>
      <c r="F287" s="35">
        <v>42944</v>
      </c>
    </row>
    <row r="288" spans="1:6" x14ac:dyDescent="0.3">
      <c r="A288" s="36" t="s">
        <v>2637</v>
      </c>
      <c r="B288" s="33">
        <v>12.595758</v>
      </c>
      <c r="C288" s="33">
        <v>-5.2552939849999998</v>
      </c>
      <c r="E288" s="34">
        <f t="shared" si="4"/>
        <v>17.851051984999998</v>
      </c>
      <c r="F288" s="35">
        <v>42945</v>
      </c>
    </row>
    <row r="289" spans="1:6" x14ac:dyDescent="0.3">
      <c r="A289" s="36" t="s">
        <v>2638</v>
      </c>
      <c r="B289" s="33">
        <v>11.622674999999999</v>
      </c>
      <c r="C289" s="33">
        <v>-5.6450771959999999</v>
      </c>
      <c r="E289" s="34">
        <f t="shared" si="4"/>
        <v>17.267752196</v>
      </c>
      <c r="F289" s="35">
        <v>42946</v>
      </c>
    </row>
    <row r="290" spans="1:6" x14ac:dyDescent="0.3">
      <c r="A290" s="36" t="s">
        <v>2639</v>
      </c>
      <c r="B290" s="33">
        <v>10.006221</v>
      </c>
      <c r="C290" s="33">
        <v>-5.6588287089999998</v>
      </c>
      <c r="E290" s="34">
        <f t="shared" si="4"/>
        <v>15.665049709</v>
      </c>
      <c r="F290" s="35">
        <v>42947</v>
      </c>
    </row>
    <row r="291" spans="1:6" x14ac:dyDescent="0.3">
      <c r="A291" s="36" t="s">
        <v>2640</v>
      </c>
      <c r="B291" s="33">
        <v>10.55021</v>
      </c>
      <c r="C291" s="33">
        <v>-6.1233588550000002</v>
      </c>
      <c r="E291" s="34">
        <f t="shared" si="4"/>
        <v>16.673568854999999</v>
      </c>
      <c r="F291" s="35">
        <v>42948</v>
      </c>
    </row>
    <row r="292" spans="1:6" x14ac:dyDescent="0.3">
      <c r="A292" s="36" t="s">
        <v>2641</v>
      </c>
      <c r="B292" s="33">
        <v>11.034131</v>
      </c>
      <c r="C292" s="33">
        <v>-6.1708404039999998</v>
      </c>
      <c r="E292" s="34">
        <f t="shared" si="4"/>
        <v>17.204971403999998</v>
      </c>
      <c r="F292" s="35">
        <v>42949</v>
      </c>
    </row>
    <row r="293" spans="1:6" x14ac:dyDescent="0.3">
      <c r="A293" s="36" t="s">
        <v>2642</v>
      </c>
      <c r="B293" s="33">
        <v>10.755215</v>
      </c>
      <c r="C293" s="33">
        <v>-5.8489067539999997</v>
      </c>
      <c r="E293" s="34">
        <f t="shared" si="4"/>
        <v>16.604121753999998</v>
      </c>
      <c r="F293" s="35">
        <v>42950</v>
      </c>
    </row>
    <row r="294" spans="1:6" x14ac:dyDescent="0.3">
      <c r="A294" s="36" t="s">
        <v>2643</v>
      </c>
      <c r="B294" s="33">
        <v>9.8141730000000003</v>
      </c>
      <c r="C294" s="33">
        <v>-6.0518128600000001</v>
      </c>
      <c r="E294" s="34">
        <f t="shared" si="4"/>
        <v>15.86598586</v>
      </c>
      <c r="F294" s="35">
        <v>42951</v>
      </c>
    </row>
    <row r="295" spans="1:6" x14ac:dyDescent="0.3">
      <c r="A295" s="36" t="s">
        <v>2644</v>
      </c>
      <c r="B295" s="33">
        <v>10.802054999999999</v>
      </c>
      <c r="C295" s="33">
        <v>-6.8882261629999997</v>
      </c>
      <c r="E295" s="34">
        <f t="shared" si="4"/>
        <v>17.690281162999998</v>
      </c>
      <c r="F295" s="35">
        <v>42952</v>
      </c>
    </row>
    <row r="296" spans="1:6" x14ac:dyDescent="0.3">
      <c r="A296" s="36" t="s">
        <v>2645</v>
      </c>
      <c r="B296" s="33">
        <v>11.511939</v>
      </c>
      <c r="C296" s="33">
        <v>-6.7090762870000002</v>
      </c>
      <c r="E296" s="34">
        <f t="shared" si="4"/>
        <v>18.221015287</v>
      </c>
      <c r="F296" s="35">
        <v>42953</v>
      </c>
    </row>
    <row r="297" spans="1:6" x14ac:dyDescent="0.3">
      <c r="A297" s="36" t="s">
        <v>2646</v>
      </c>
      <c r="B297" s="33">
        <v>12.797874999999999</v>
      </c>
      <c r="C297" s="33">
        <v>-6.0259747189999997</v>
      </c>
      <c r="E297" s="34">
        <f t="shared" si="4"/>
        <v>18.823849718999998</v>
      </c>
      <c r="F297" s="35">
        <v>42954</v>
      </c>
    </row>
    <row r="298" spans="1:6" x14ac:dyDescent="0.3">
      <c r="A298" s="36" t="s">
        <v>2647</v>
      </c>
      <c r="B298" s="33">
        <v>12.836793</v>
      </c>
      <c r="C298" s="33">
        <v>-6.525631186</v>
      </c>
      <c r="E298" s="34">
        <f t="shared" si="4"/>
        <v>19.362424185999998</v>
      </c>
      <c r="F298" s="35">
        <v>42955</v>
      </c>
    </row>
    <row r="299" spans="1:6" x14ac:dyDescent="0.3">
      <c r="A299" s="36" t="s">
        <v>2648</v>
      </c>
      <c r="B299" s="33">
        <v>12.616485000000001</v>
      </c>
      <c r="C299" s="33">
        <v>-6.4655670570000003</v>
      </c>
      <c r="E299" s="34">
        <f t="shared" si="4"/>
        <v>19.082052057000002</v>
      </c>
      <c r="F299" s="35">
        <v>42956</v>
      </c>
    </row>
    <row r="300" spans="1:6" x14ac:dyDescent="0.3">
      <c r="A300" s="36" t="s">
        <v>2649</v>
      </c>
      <c r="B300" s="33">
        <v>12.396482000000001</v>
      </c>
      <c r="C300" s="33">
        <v>-5.8414853740000003</v>
      </c>
      <c r="E300" s="34">
        <f t="shared" si="4"/>
        <v>18.237967374</v>
      </c>
      <c r="F300" s="35">
        <v>42957</v>
      </c>
    </row>
    <row r="301" spans="1:6" x14ac:dyDescent="0.3">
      <c r="A301" s="36" t="s">
        <v>2650</v>
      </c>
      <c r="B301" s="33">
        <v>11.289832000000001</v>
      </c>
      <c r="C301" s="33">
        <v>-5.1238900530000002</v>
      </c>
      <c r="E301" s="34">
        <f t="shared" si="4"/>
        <v>16.413722053000001</v>
      </c>
      <c r="F301" s="35">
        <v>42958</v>
      </c>
    </row>
    <row r="302" spans="1:6" x14ac:dyDescent="0.3">
      <c r="A302" s="36" t="s">
        <v>2651</v>
      </c>
      <c r="B302" s="33">
        <v>12.218481000000001</v>
      </c>
      <c r="C302" s="33">
        <v>-5.8260804610000001</v>
      </c>
      <c r="E302" s="34">
        <f t="shared" si="4"/>
        <v>18.044561461000001</v>
      </c>
      <c r="F302" s="35">
        <v>42959</v>
      </c>
    </row>
    <row r="303" spans="1:6" x14ac:dyDescent="0.3">
      <c r="A303" s="36" t="s">
        <v>2652</v>
      </c>
      <c r="B303" s="33">
        <v>12.193519</v>
      </c>
      <c r="C303" s="33">
        <v>-4.8492018850000003</v>
      </c>
      <c r="E303" s="34">
        <f t="shared" si="4"/>
        <v>17.042720885000001</v>
      </c>
      <c r="F303" s="35">
        <v>42960</v>
      </c>
    </row>
    <row r="304" spans="1:6" x14ac:dyDescent="0.3">
      <c r="A304" s="36" t="s">
        <v>2653</v>
      </c>
      <c r="B304" s="33">
        <v>11.911041000000001</v>
      </c>
      <c r="C304" s="33">
        <v>-3.9060349599999999</v>
      </c>
      <c r="E304" s="34">
        <f t="shared" si="4"/>
        <v>15.81707596</v>
      </c>
      <c r="F304" s="35">
        <v>42961</v>
      </c>
    </row>
    <row r="305" spans="1:6" x14ac:dyDescent="0.3">
      <c r="A305" s="36" t="s">
        <v>2654</v>
      </c>
      <c r="B305" s="33">
        <v>11.890561</v>
      </c>
      <c r="C305" s="33">
        <v>-4.2738724110000001</v>
      </c>
      <c r="E305" s="34">
        <f t="shared" si="4"/>
        <v>16.164433411000001</v>
      </c>
      <c r="F305" s="35">
        <v>42962</v>
      </c>
    </row>
    <row r="306" spans="1:6" x14ac:dyDescent="0.3">
      <c r="A306" s="36" t="s">
        <v>2655</v>
      </c>
      <c r="B306" s="33">
        <v>11.227307</v>
      </c>
      <c r="C306" s="33">
        <v>-4.2987254200000002</v>
      </c>
      <c r="E306" s="34">
        <f t="shared" si="4"/>
        <v>15.52603242</v>
      </c>
      <c r="F306" s="35">
        <v>42963</v>
      </c>
    </row>
    <row r="307" spans="1:6" x14ac:dyDescent="0.3">
      <c r="A307" s="36" t="s">
        <v>2656</v>
      </c>
      <c r="B307" s="33">
        <v>10.727392</v>
      </c>
      <c r="C307" s="33">
        <v>-5.6241363279999996</v>
      </c>
      <c r="E307" s="34">
        <f t="shared" si="4"/>
        <v>16.351528328000001</v>
      </c>
      <c r="F307" s="35">
        <v>42964</v>
      </c>
    </row>
    <row r="308" spans="1:6" x14ac:dyDescent="0.3">
      <c r="A308" s="36" t="s">
        <v>2657</v>
      </c>
      <c r="B308" s="33">
        <v>8.541131</v>
      </c>
      <c r="C308" s="33">
        <v>-5.863931408</v>
      </c>
      <c r="E308" s="34">
        <f t="shared" si="4"/>
        <v>14.405062407999999</v>
      </c>
      <c r="F308" s="35">
        <v>42965</v>
      </c>
    </row>
    <row r="309" spans="1:6" x14ac:dyDescent="0.3">
      <c r="A309" s="36" t="s">
        <v>2658</v>
      </c>
      <c r="B309" s="33">
        <v>7.8809589999999998</v>
      </c>
      <c r="C309" s="33">
        <v>-5.1570090139999998</v>
      </c>
      <c r="E309" s="34">
        <f t="shared" si="4"/>
        <v>13.037968014</v>
      </c>
      <c r="F309" s="35">
        <v>42966</v>
      </c>
    </row>
    <row r="310" spans="1:6" x14ac:dyDescent="0.3">
      <c r="A310" s="36" t="s">
        <v>2659</v>
      </c>
      <c r="B310" s="33">
        <v>7.9528660000000002</v>
      </c>
      <c r="C310" s="33">
        <v>-7.5780526860000004</v>
      </c>
      <c r="E310" s="34">
        <f t="shared" si="4"/>
        <v>15.530918686</v>
      </c>
      <c r="F310" s="35">
        <v>42967</v>
      </c>
    </row>
    <row r="311" spans="1:6" x14ac:dyDescent="0.3">
      <c r="A311" s="36" t="s">
        <v>2660</v>
      </c>
      <c r="B311" s="33">
        <v>7.7902880000000003</v>
      </c>
      <c r="C311" s="33">
        <v>-7.3108440119999996</v>
      </c>
      <c r="E311" s="34">
        <f t="shared" si="4"/>
        <v>15.101132012000001</v>
      </c>
      <c r="F311" s="35">
        <v>42968</v>
      </c>
    </row>
    <row r="312" spans="1:6" x14ac:dyDescent="0.3">
      <c r="A312" s="36" t="s">
        <v>2661</v>
      </c>
      <c r="B312" s="33">
        <v>8.5559630000000002</v>
      </c>
      <c r="C312" s="33">
        <v>-5.716294295</v>
      </c>
      <c r="E312" s="34">
        <f t="shared" si="4"/>
        <v>14.272257294999999</v>
      </c>
      <c r="F312" s="35">
        <v>42969</v>
      </c>
    </row>
    <row r="313" spans="1:6" x14ac:dyDescent="0.3">
      <c r="A313" s="36" t="s">
        <v>2662</v>
      </c>
      <c r="B313" s="33">
        <v>9.0105529999999998</v>
      </c>
      <c r="C313" s="33">
        <v>-5.0361802630000003</v>
      </c>
      <c r="E313" s="34">
        <f t="shared" si="4"/>
        <v>14.046733263</v>
      </c>
      <c r="F313" s="35">
        <v>42970</v>
      </c>
    </row>
    <row r="314" spans="1:6" x14ac:dyDescent="0.3">
      <c r="A314" s="36" t="s">
        <v>2663</v>
      </c>
      <c r="B314" s="33">
        <v>9.6318239999999999</v>
      </c>
      <c r="C314" s="33">
        <v>-5.9028093630000003</v>
      </c>
      <c r="E314" s="34">
        <f t="shared" si="4"/>
        <v>15.534633363000001</v>
      </c>
      <c r="F314" s="35">
        <v>42971</v>
      </c>
    </row>
    <row r="315" spans="1:6" x14ac:dyDescent="0.3">
      <c r="A315" s="36" t="s">
        <v>2664</v>
      </c>
      <c r="B315" s="33">
        <v>9.4781320000000004</v>
      </c>
      <c r="C315" s="33">
        <v>-6.228439893</v>
      </c>
      <c r="E315" s="34">
        <f t="shared" si="4"/>
        <v>15.706571893</v>
      </c>
      <c r="F315" s="35">
        <v>42972</v>
      </c>
    </row>
    <row r="316" spans="1:6" x14ac:dyDescent="0.3">
      <c r="A316" s="36" t="s">
        <v>2665</v>
      </c>
      <c r="B316" s="33">
        <v>9.6881210000000006</v>
      </c>
      <c r="C316" s="33">
        <v>-5.5790173120000004</v>
      </c>
      <c r="E316" s="34">
        <f t="shared" si="4"/>
        <v>15.267138312</v>
      </c>
      <c r="F316" s="35">
        <v>42973</v>
      </c>
    </row>
    <row r="317" spans="1:6" x14ac:dyDescent="0.3">
      <c r="A317" s="36" t="s">
        <v>2666</v>
      </c>
      <c r="B317" s="33">
        <v>10.069947000000001</v>
      </c>
      <c r="C317" s="33">
        <v>-6.4993363190000002</v>
      </c>
      <c r="E317" s="34">
        <f t="shared" si="4"/>
        <v>16.569283319</v>
      </c>
      <c r="F317" s="35">
        <v>42974</v>
      </c>
    </row>
    <row r="318" spans="1:6" x14ac:dyDescent="0.3">
      <c r="A318" s="36" t="s">
        <v>2667</v>
      </c>
      <c r="B318" s="33">
        <v>9.9829190000000008</v>
      </c>
      <c r="C318" s="33">
        <v>-5.7316426189999996</v>
      </c>
      <c r="E318" s="34">
        <f t="shared" si="4"/>
        <v>15.714561619000001</v>
      </c>
      <c r="F318" s="35">
        <v>42975</v>
      </c>
    </row>
    <row r="319" spans="1:6" x14ac:dyDescent="0.3">
      <c r="A319" s="36" t="s">
        <v>2668</v>
      </c>
      <c r="B319" s="33">
        <v>9.3749350000000007</v>
      </c>
      <c r="C319" s="33">
        <v>-4.7368839810000001</v>
      </c>
      <c r="E319" s="34">
        <f t="shared" si="4"/>
        <v>14.111818981000001</v>
      </c>
      <c r="F319" s="35">
        <v>42976</v>
      </c>
    </row>
    <row r="320" spans="1:6" x14ac:dyDescent="0.3">
      <c r="A320" s="36" t="s">
        <v>2669</v>
      </c>
      <c r="B320" s="33">
        <v>10.03036</v>
      </c>
      <c r="C320" s="33">
        <v>-3.2861778429999999</v>
      </c>
      <c r="E320" s="34">
        <f t="shared" si="4"/>
        <v>13.316537842999999</v>
      </c>
      <c r="F320" s="35">
        <v>42977</v>
      </c>
    </row>
    <row r="321" spans="1:6" x14ac:dyDescent="0.3">
      <c r="A321" s="36" t="s">
        <v>2670</v>
      </c>
      <c r="B321" s="33">
        <v>8.9056379999999997</v>
      </c>
      <c r="C321" s="33">
        <v>-4.9071272849999996</v>
      </c>
      <c r="E321" s="34">
        <f t="shared" si="4"/>
        <v>13.812765284999999</v>
      </c>
      <c r="F321" s="35">
        <v>42978</v>
      </c>
    </row>
    <row r="322" spans="1:6" x14ac:dyDescent="0.3">
      <c r="A322" s="36" t="s">
        <v>2671</v>
      </c>
      <c r="B322" s="33">
        <v>10.690238000000001</v>
      </c>
      <c r="C322" s="33">
        <v>-5.6855445339999999</v>
      </c>
      <c r="E322" s="34">
        <f t="shared" ref="E322:E328" si="5">B322-C322</f>
        <v>16.375782534000002</v>
      </c>
      <c r="F322" s="35">
        <v>42979</v>
      </c>
    </row>
    <row r="323" spans="1:6" x14ac:dyDescent="0.3">
      <c r="A323" s="36" t="s">
        <v>2672</v>
      </c>
      <c r="B323" s="33">
        <v>11.923624999999999</v>
      </c>
      <c r="C323" s="33">
        <v>-5.753640313</v>
      </c>
      <c r="E323" s="34">
        <f t="shared" si="5"/>
        <v>17.677265312999999</v>
      </c>
      <c r="F323" s="35">
        <v>42980</v>
      </c>
    </row>
    <row r="324" spans="1:6" x14ac:dyDescent="0.3">
      <c r="A324" s="36" t="s">
        <v>2673</v>
      </c>
      <c r="B324" s="33">
        <v>12.152946</v>
      </c>
      <c r="C324" s="33">
        <v>-5.9675570560000004</v>
      </c>
      <c r="E324" s="34">
        <f t="shared" si="5"/>
        <v>18.120503056</v>
      </c>
      <c r="F324" s="35">
        <v>42981</v>
      </c>
    </row>
    <row r="325" spans="1:6" x14ac:dyDescent="0.3">
      <c r="A325" s="36" t="s">
        <v>2674</v>
      </c>
      <c r="B325" s="33">
        <v>11.106282999999999</v>
      </c>
      <c r="C325" s="33">
        <v>-4.3680567149999998</v>
      </c>
      <c r="E325" s="34">
        <f t="shared" si="5"/>
        <v>15.474339714999999</v>
      </c>
      <c r="F325" s="35">
        <v>42982</v>
      </c>
    </row>
    <row r="326" spans="1:6" x14ac:dyDescent="0.3">
      <c r="A326" s="36" t="s">
        <v>2675</v>
      </c>
      <c r="B326" s="33">
        <v>10.415481</v>
      </c>
      <c r="C326" s="33">
        <v>-5.2500633429999999</v>
      </c>
      <c r="E326" s="34">
        <f t="shared" si="5"/>
        <v>15.665544343000001</v>
      </c>
      <c r="F326" s="35">
        <v>42983</v>
      </c>
    </row>
    <row r="327" spans="1:6" x14ac:dyDescent="0.3">
      <c r="A327" s="36" t="s">
        <v>2676</v>
      </c>
      <c r="B327" s="33">
        <v>11.277475000000001</v>
      </c>
      <c r="C327" s="33">
        <v>-6.370614872</v>
      </c>
      <c r="E327" s="34">
        <f t="shared" si="5"/>
        <v>17.648089872</v>
      </c>
      <c r="F327" s="35">
        <v>42984</v>
      </c>
    </row>
    <row r="328" spans="1:6" x14ac:dyDescent="0.3">
      <c r="A328" s="36" t="s">
        <v>2677</v>
      </c>
      <c r="B328" s="33">
        <v>11.746657000000001</v>
      </c>
      <c r="C328" s="33">
        <v>-6.1422122339999996</v>
      </c>
      <c r="E328" s="34">
        <f t="shared" si="5"/>
        <v>17.888869234000001</v>
      </c>
      <c r="F328" s="35">
        <v>42985</v>
      </c>
    </row>
    <row r="329" spans="1:6" x14ac:dyDescent="0.3">
      <c r="A329" s="36"/>
      <c r="F329" s="35"/>
    </row>
    <row r="330" spans="1:6" x14ac:dyDescent="0.3">
      <c r="A330" s="36"/>
      <c r="F330" s="35"/>
    </row>
    <row r="331" spans="1:6" x14ac:dyDescent="0.3">
      <c r="A331" s="36"/>
      <c r="F331" s="35"/>
    </row>
    <row r="332" spans="1:6" x14ac:dyDescent="0.3">
      <c r="A332" s="36"/>
      <c r="F332" s="35"/>
    </row>
    <row r="333" spans="1:6" x14ac:dyDescent="0.3">
      <c r="A333" s="36"/>
      <c r="F333" s="35"/>
    </row>
    <row r="334" spans="1:6" x14ac:dyDescent="0.3">
      <c r="A334" s="36"/>
      <c r="F334" s="35"/>
    </row>
    <row r="335" spans="1:6" x14ac:dyDescent="0.3">
      <c r="A335" s="36"/>
      <c r="F335" s="35"/>
    </row>
    <row r="336" spans="1:6" x14ac:dyDescent="0.3">
      <c r="A336" s="36"/>
      <c r="F336" s="35"/>
    </row>
    <row r="337" spans="1:6" x14ac:dyDescent="0.3">
      <c r="A337" s="36"/>
      <c r="F337" s="35"/>
    </row>
    <row r="338" spans="1:6" x14ac:dyDescent="0.3">
      <c r="A338" s="36"/>
      <c r="F338" s="35"/>
    </row>
    <row r="339" spans="1:6" x14ac:dyDescent="0.3">
      <c r="A339" s="36"/>
      <c r="F339" s="35"/>
    </row>
    <row r="340" spans="1:6" x14ac:dyDescent="0.3">
      <c r="A340" s="36"/>
      <c r="F340" s="35"/>
    </row>
    <row r="341" spans="1:6" x14ac:dyDescent="0.3">
      <c r="A341" s="36"/>
      <c r="F341" s="35"/>
    </row>
    <row r="342" spans="1:6" x14ac:dyDescent="0.3">
      <c r="F342" s="35"/>
    </row>
    <row r="343" spans="1:6" x14ac:dyDescent="0.3">
      <c r="F343" s="35"/>
    </row>
    <row r="344" spans="1:6" x14ac:dyDescent="0.3">
      <c r="F344" s="35"/>
    </row>
    <row r="345" spans="1:6" x14ac:dyDescent="0.3">
      <c r="A345" s="34" t="s">
        <v>763</v>
      </c>
      <c r="F345" s="35"/>
    </row>
    <row r="346" spans="1:6" x14ac:dyDescent="0.3">
      <c r="A346" s="34" t="s">
        <v>764</v>
      </c>
      <c r="F346" s="35"/>
    </row>
    <row r="347" spans="1:6" x14ac:dyDescent="0.3">
      <c r="A347" s="34" t="s">
        <v>765</v>
      </c>
      <c r="F347" s="35"/>
    </row>
    <row r="348" spans="1:6" x14ac:dyDescent="0.3">
      <c r="A348" s="34" t="s">
        <v>766</v>
      </c>
      <c r="F348" s="35"/>
    </row>
    <row r="349" spans="1:6" x14ac:dyDescent="0.3">
      <c r="A349" s="34" t="s">
        <v>767</v>
      </c>
      <c r="F349" s="35"/>
    </row>
    <row r="350" spans="1:6" x14ac:dyDescent="0.3">
      <c r="A350" s="34" t="s">
        <v>768</v>
      </c>
      <c r="F350" s="35"/>
    </row>
    <row r="351" spans="1:6" x14ac:dyDescent="0.3">
      <c r="A351" s="34" t="s">
        <v>769</v>
      </c>
      <c r="F351" s="35"/>
    </row>
    <row r="352" spans="1:6" x14ac:dyDescent="0.3">
      <c r="A352" s="34" t="s">
        <v>770</v>
      </c>
      <c r="F352" s="35"/>
    </row>
    <row r="353" spans="1:6" x14ac:dyDescent="0.3">
      <c r="A353" s="34" t="s">
        <v>771</v>
      </c>
      <c r="F353" s="35"/>
    </row>
    <row r="354" spans="1:6" x14ac:dyDescent="0.3">
      <c r="A354" s="34" t="s">
        <v>772</v>
      </c>
      <c r="F354" s="35"/>
    </row>
    <row r="355" spans="1:6" x14ac:dyDescent="0.3">
      <c r="A355" s="34" t="s">
        <v>773</v>
      </c>
      <c r="F355" s="35"/>
    </row>
    <row r="356" spans="1:6" x14ac:dyDescent="0.3">
      <c r="A356" s="34" t="s">
        <v>774</v>
      </c>
      <c r="F356" s="35"/>
    </row>
  </sheetData>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3798E3-7174-49F8-B00A-5C5D4A6FDD28}">
  <sheetPr codeName="Sheet11"/>
  <dimension ref="A1:F356"/>
  <sheetViews>
    <sheetView topLeftCell="A312" workbookViewId="0">
      <selection activeCell="F319" sqref="F319"/>
    </sheetView>
  </sheetViews>
  <sheetFormatPr defaultRowHeight="14.4" x14ac:dyDescent="0.3"/>
  <cols>
    <col min="1" max="1" width="37.21875" style="29" bestFit="1" customWidth="1"/>
    <col min="4" max="5" width="8.88671875" style="29"/>
    <col min="6" max="6" width="9.88671875" style="29" bestFit="1" customWidth="1"/>
    <col min="7" max="16384" width="8.88671875" style="29"/>
  </cols>
  <sheetData>
    <row r="1" spans="1:6" x14ac:dyDescent="0.3">
      <c r="A1" s="32"/>
      <c r="E1" s="29" t="s">
        <v>776</v>
      </c>
      <c r="F1" s="29" t="s">
        <v>775</v>
      </c>
    </row>
    <row r="2" spans="1:6" x14ac:dyDescent="0.3">
      <c r="A2" s="32" t="s">
        <v>1628</v>
      </c>
      <c r="B2">
        <v>-2.0302918999999999</v>
      </c>
      <c r="C2">
        <v>4.8058913900000002</v>
      </c>
      <c r="E2" s="29">
        <f>B2-C2</f>
        <v>-6.8361832900000001</v>
      </c>
      <c r="F2" s="30">
        <v>42659</v>
      </c>
    </row>
    <row r="3" spans="1:6" x14ac:dyDescent="0.3">
      <c r="A3" s="32" t="s">
        <v>1629</v>
      </c>
      <c r="B3">
        <v>-3.4618593</v>
      </c>
      <c r="C3">
        <v>3.85386059</v>
      </c>
      <c r="E3" s="29">
        <f t="shared" ref="E3:E66" si="0">B3-C3</f>
        <v>-7.3157198900000004</v>
      </c>
      <c r="F3" s="30">
        <v>42660</v>
      </c>
    </row>
    <row r="4" spans="1:6" x14ac:dyDescent="0.3">
      <c r="A4" s="32" t="s">
        <v>1630</v>
      </c>
      <c r="B4">
        <v>-2.8167787999999998</v>
      </c>
      <c r="C4">
        <v>4.98451428</v>
      </c>
      <c r="E4" s="29">
        <f t="shared" si="0"/>
        <v>-7.8012930799999998</v>
      </c>
      <c r="F4" s="30">
        <v>42661</v>
      </c>
    </row>
    <row r="5" spans="1:6" x14ac:dyDescent="0.3">
      <c r="A5" s="32" t="s">
        <v>1631</v>
      </c>
      <c r="B5">
        <v>-3.2892784000000002</v>
      </c>
      <c r="C5">
        <v>4.5987747199999998</v>
      </c>
      <c r="E5" s="29">
        <f t="shared" si="0"/>
        <v>-7.8880531200000004</v>
      </c>
      <c r="F5" s="30">
        <v>42662</v>
      </c>
    </row>
    <row r="6" spans="1:6" x14ac:dyDescent="0.3">
      <c r="A6" s="32" t="s">
        <v>1632</v>
      </c>
      <c r="B6">
        <v>-2.3510046999999998</v>
      </c>
      <c r="C6">
        <v>4.5280361200000003</v>
      </c>
      <c r="E6" s="29">
        <f t="shared" si="0"/>
        <v>-6.8790408200000002</v>
      </c>
      <c r="F6" s="30">
        <v>42663</v>
      </c>
    </row>
    <row r="7" spans="1:6" x14ac:dyDescent="0.3">
      <c r="A7" s="32" t="s">
        <v>1633</v>
      </c>
      <c r="B7">
        <v>-1.7378416000000001</v>
      </c>
      <c r="C7">
        <v>4.9293385599999997</v>
      </c>
      <c r="E7" s="29">
        <f t="shared" si="0"/>
        <v>-6.66718016</v>
      </c>
      <c r="F7" s="30">
        <v>42664</v>
      </c>
    </row>
    <row r="8" spans="1:6" x14ac:dyDescent="0.3">
      <c r="A8" s="32" t="s">
        <v>1634</v>
      </c>
      <c r="B8">
        <v>-0.73826639999999999</v>
      </c>
      <c r="C8">
        <v>4.83182665</v>
      </c>
      <c r="E8" s="29">
        <f t="shared" si="0"/>
        <v>-5.5700930499999997</v>
      </c>
      <c r="F8" s="30">
        <v>42665</v>
      </c>
    </row>
    <row r="9" spans="1:6" x14ac:dyDescent="0.3">
      <c r="A9" s="32" t="s">
        <v>1635</v>
      </c>
      <c r="B9">
        <v>1.1379372000000001</v>
      </c>
      <c r="C9">
        <v>5.4600881799999996</v>
      </c>
      <c r="E9" s="29">
        <f t="shared" si="0"/>
        <v>-4.32215098</v>
      </c>
      <c r="F9" s="30">
        <v>42666</v>
      </c>
    </row>
    <row r="10" spans="1:6" x14ac:dyDescent="0.3">
      <c r="A10" s="32" t="s">
        <v>1636</v>
      </c>
      <c r="B10">
        <v>0.94305530000000004</v>
      </c>
      <c r="C10">
        <v>6.6964583600000003</v>
      </c>
      <c r="E10" s="29">
        <f t="shared" si="0"/>
        <v>-5.7534030600000001</v>
      </c>
      <c r="F10" s="30">
        <v>42667</v>
      </c>
    </row>
    <row r="11" spans="1:6" x14ac:dyDescent="0.3">
      <c r="A11" s="32" t="s">
        <v>1637</v>
      </c>
      <c r="B11">
        <v>1.7794422000000001</v>
      </c>
      <c r="C11">
        <v>7.8881132699999998</v>
      </c>
      <c r="E11" s="29">
        <f t="shared" si="0"/>
        <v>-6.1086710699999998</v>
      </c>
      <c r="F11" s="30">
        <v>42668</v>
      </c>
    </row>
    <row r="12" spans="1:6" x14ac:dyDescent="0.3">
      <c r="A12" s="32" t="s">
        <v>1638</v>
      </c>
      <c r="B12">
        <v>1.3327751000000001</v>
      </c>
      <c r="C12">
        <v>9.2915065400000003</v>
      </c>
      <c r="E12" s="29">
        <f t="shared" si="0"/>
        <v>-7.9587314400000002</v>
      </c>
      <c r="F12" s="30">
        <v>42669</v>
      </c>
    </row>
    <row r="13" spans="1:6" x14ac:dyDescent="0.3">
      <c r="A13" s="32" t="s">
        <v>1639</v>
      </c>
      <c r="B13">
        <v>2.5137049</v>
      </c>
      <c r="C13">
        <v>9.7502144699999995</v>
      </c>
      <c r="E13" s="29">
        <f t="shared" si="0"/>
        <v>-7.2365095699999991</v>
      </c>
      <c r="F13" s="30">
        <v>42670</v>
      </c>
    </row>
    <row r="14" spans="1:6" x14ac:dyDescent="0.3">
      <c r="A14" s="32" t="s">
        <v>1640</v>
      </c>
      <c r="B14">
        <v>1.4653632999999999</v>
      </c>
      <c r="C14">
        <v>8.8043309900000004</v>
      </c>
      <c r="E14" s="29">
        <f t="shared" si="0"/>
        <v>-7.3389676900000005</v>
      </c>
      <c r="F14" s="30">
        <v>42671</v>
      </c>
    </row>
    <row r="15" spans="1:6" x14ac:dyDescent="0.3">
      <c r="A15" s="32" t="s">
        <v>1641</v>
      </c>
      <c r="B15">
        <v>2.0141119000000001</v>
      </c>
      <c r="C15">
        <v>8.6245381000000005</v>
      </c>
      <c r="E15" s="29">
        <f t="shared" si="0"/>
        <v>-6.6104262000000009</v>
      </c>
      <c r="F15" s="30">
        <v>42672</v>
      </c>
    </row>
    <row r="16" spans="1:6" x14ac:dyDescent="0.3">
      <c r="A16" s="32" t="s">
        <v>1642</v>
      </c>
      <c r="B16">
        <v>2.6434432999999999</v>
      </c>
      <c r="C16">
        <v>7.3509128199999996</v>
      </c>
      <c r="E16" s="29">
        <f t="shared" si="0"/>
        <v>-4.7074695200000001</v>
      </c>
      <c r="F16" s="30">
        <v>42673</v>
      </c>
    </row>
    <row r="17" spans="1:6" x14ac:dyDescent="0.3">
      <c r="A17" s="32" t="s">
        <v>1643</v>
      </c>
      <c r="B17">
        <v>3.2596348000000002</v>
      </c>
      <c r="C17">
        <v>7.86944921</v>
      </c>
      <c r="E17" s="29">
        <f t="shared" si="0"/>
        <v>-4.6098144100000003</v>
      </c>
      <c r="F17" s="30">
        <v>42674</v>
      </c>
    </row>
    <row r="18" spans="1:6" x14ac:dyDescent="0.3">
      <c r="A18" s="32" t="s">
        <v>1644</v>
      </c>
      <c r="B18">
        <v>3.5820490999999999</v>
      </c>
      <c r="C18">
        <v>8.5650472099999995</v>
      </c>
      <c r="E18" s="29">
        <f t="shared" si="0"/>
        <v>-4.9829981099999996</v>
      </c>
      <c r="F18" s="30">
        <v>42675</v>
      </c>
    </row>
    <row r="19" spans="1:6" x14ac:dyDescent="0.3">
      <c r="A19" s="32" t="s">
        <v>1645</v>
      </c>
      <c r="B19">
        <v>3.3104054000000001</v>
      </c>
      <c r="C19">
        <v>9.8250767900000007</v>
      </c>
      <c r="E19" s="29">
        <f t="shared" si="0"/>
        <v>-6.5146713900000002</v>
      </c>
      <c r="F19" s="30">
        <v>42676</v>
      </c>
    </row>
    <row r="20" spans="1:6" x14ac:dyDescent="0.3">
      <c r="A20" s="32" t="s">
        <v>1646</v>
      </c>
      <c r="B20">
        <v>4.2092695999999998</v>
      </c>
      <c r="C20">
        <v>0.79624236999999998</v>
      </c>
      <c r="E20" s="29">
        <f t="shared" si="0"/>
        <v>3.41302723</v>
      </c>
      <c r="F20" s="30">
        <v>42677</v>
      </c>
    </row>
    <row r="21" spans="1:6" x14ac:dyDescent="0.3">
      <c r="A21" s="32" t="s">
        <v>1647</v>
      </c>
      <c r="B21">
        <v>3.9398179</v>
      </c>
      <c r="C21">
        <v>0.47877781000000003</v>
      </c>
      <c r="E21" s="29">
        <f t="shared" si="0"/>
        <v>3.46104009</v>
      </c>
      <c r="F21" s="30">
        <v>42678</v>
      </c>
    </row>
    <row r="22" spans="1:6" x14ac:dyDescent="0.3">
      <c r="A22" s="32" t="s">
        <v>1648</v>
      </c>
      <c r="B22">
        <v>4.9729628000000003</v>
      </c>
      <c r="C22">
        <v>0.17891454000000001</v>
      </c>
      <c r="E22" s="29">
        <f t="shared" si="0"/>
        <v>4.7940482600000003</v>
      </c>
      <c r="F22" s="30">
        <v>42679</v>
      </c>
    </row>
    <row r="23" spans="1:6" x14ac:dyDescent="0.3">
      <c r="A23" s="32" t="s">
        <v>1649</v>
      </c>
      <c r="B23">
        <v>4.8678451999999997</v>
      </c>
      <c r="C23">
        <v>1.25174367</v>
      </c>
      <c r="E23" s="29">
        <f t="shared" si="0"/>
        <v>3.6161015299999999</v>
      </c>
      <c r="F23" s="30">
        <v>42680</v>
      </c>
    </row>
    <row r="24" spans="1:6" x14ac:dyDescent="0.3">
      <c r="A24" s="32" t="s">
        <v>1650</v>
      </c>
      <c r="B24">
        <v>4.7474172000000001</v>
      </c>
      <c r="C24">
        <v>1.8326157700000001</v>
      </c>
      <c r="E24" s="29">
        <f t="shared" si="0"/>
        <v>2.9148014299999998</v>
      </c>
      <c r="F24" s="30">
        <v>42681</v>
      </c>
    </row>
    <row r="25" spans="1:6" x14ac:dyDescent="0.3">
      <c r="A25" s="32" t="s">
        <v>1651</v>
      </c>
      <c r="B25">
        <v>5.8185335</v>
      </c>
      <c r="C25">
        <v>1.6962592999999999</v>
      </c>
      <c r="E25" s="29">
        <f t="shared" si="0"/>
        <v>4.1222741999999997</v>
      </c>
      <c r="F25" s="30">
        <v>42682</v>
      </c>
    </row>
    <row r="26" spans="1:6" x14ac:dyDescent="0.3">
      <c r="A26" s="32" t="s">
        <v>1652</v>
      </c>
      <c r="B26">
        <v>6.7824445999999998</v>
      </c>
      <c r="C26">
        <v>1.1013333999999999</v>
      </c>
      <c r="E26" s="29">
        <f t="shared" si="0"/>
        <v>5.6811112000000001</v>
      </c>
      <c r="F26" s="30">
        <v>42683</v>
      </c>
    </row>
    <row r="27" spans="1:6" x14ac:dyDescent="0.3">
      <c r="A27" s="32" t="s">
        <v>1653</v>
      </c>
      <c r="B27">
        <v>7.4889185999999999</v>
      </c>
      <c r="C27">
        <v>0.29667606000000002</v>
      </c>
      <c r="E27" s="29">
        <f t="shared" si="0"/>
        <v>7.1922425399999996</v>
      </c>
      <c r="F27" s="30">
        <v>42684</v>
      </c>
    </row>
    <row r="28" spans="1:6" x14ac:dyDescent="0.3">
      <c r="A28" s="32" t="s">
        <v>1654</v>
      </c>
      <c r="B28">
        <v>8.2247670999999993</v>
      </c>
      <c r="C28">
        <v>9.0784037699999995</v>
      </c>
      <c r="E28" s="29">
        <f t="shared" si="0"/>
        <v>-0.85363667000000021</v>
      </c>
      <c r="F28" s="30">
        <v>42685</v>
      </c>
    </row>
    <row r="29" spans="1:6" x14ac:dyDescent="0.3">
      <c r="A29" s="32" t="s">
        <v>1655</v>
      </c>
      <c r="B29">
        <v>9.7062545999999994</v>
      </c>
      <c r="C29">
        <v>8.8535345299999992</v>
      </c>
      <c r="E29" s="29">
        <f t="shared" si="0"/>
        <v>0.85272007000000016</v>
      </c>
      <c r="F29" s="30">
        <v>42686</v>
      </c>
    </row>
    <row r="30" spans="1:6" x14ac:dyDescent="0.3">
      <c r="A30" s="32" t="s">
        <v>1656</v>
      </c>
      <c r="B30">
        <v>9.2153106999999999</v>
      </c>
      <c r="C30">
        <v>9.7875554099999995</v>
      </c>
      <c r="E30" s="29">
        <f t="shared" si="0"/>
        <v>-0.57224470999999966</v>
      </c>
      <c r="F30" s="30">
        <v>42687</v>
      </c>
    </row>
    <row r="31" spans="1:6" x14ac:dyDescent="0.3">
      <c r="A31" s="32" t="s">
        <v>1657</v>
      </c>
      <c r="B31">
        <v>10.3371241</v>
      </c>
      <c r="C31">
        <v>1.2973238300000001</v>
      </c>
      <c r="E31" s="29">
        <f t="shared" si="0"/>
        <v>9.0398002700000006</v>
      </c>
      <c r="F31" s="30">
        <v>42688</v>
      </c>
    </row>
    <row r="32" spans="1:6" x14ac:dyDescent="0.3">
      <c r="A32" s="32" t="s">
        <v>1658</v>
      </c>
      <c r="B32">
        <v>13.2023306</v>
      </c>
      <c r="C32">
        <v>1.73155525</v>
      </c>
      <c r="E32" s="29">
        <f t="shared" si="0"/>
        <v>11.47077535</v>
      </c>
      <c r="F32" s="30">
        <v>42689</v>
      </c>
    </row>
    <row r="33" spans="1:6" x14ac:dyDescent="0.3">
      <c r="A33" s="32" t="s">
        <v>1659</v>
      </c>
      <c r="B33">
        <v>11.8504801</v>
      </c>
      <c r="C33">
        <v>6.8983149999999993E-2</v>
      </c>
      <c r="E33" s="29">
        <f t="shared" si="0"/>
        <v>11.781496950000001</v>
      </c>
      <c r="F33" s="30">
        <v>42690</v>
      </c>
    </row>
    <row r="34" spans="1:6" x14ac:dyDescent="0.3">
      <c r="A34" s="32" t="s">
        <v>1660</v>
      </c>
      <c r="B34">
        <v>11.005764299999999</v>
      </c>
      <c r="C34">
        <v>0.36923984999999998</v>
      </c>
      <c r="E34" s="29">
        <f t="shared" si="0"/>
        <v>10.63652445</v>
      </c>
      <c r="F34" s="30">
        <v>42691</v>
      </c>
    </row>
    <row r="35" spans="1:6" x14ac:dyDescent="0.3">
      <c r="A35" s="32" t="s">
        <v>1661</v>
      </c>
      <c r="B35">
        <v>10.991209700000001</v>
      </c>
      <c r="C35">
        <v>1.05791112</v>
      </c>
      <c r="E35" s="29">
        <f t="shared" si="0"/>
        <v>9.9332985800000007</v>
      </c>
      <c r="F35" s="30">
        <v>42692</v>
      </c>
    </row>
    <row r="36" spans="1:6" x14ac:dyDescent="0.3">
      <c r="A36" s="32" t="s">
        <v>1662</v>
      </c>
      <c r="B36">
        <v>10.720314699999999</v>
      </c>
      <c r="C36">
        <v>1.34605909</v>
      </c>
      <c r="E36" s="29">
        <f t="shared" si="0"/>
        <v>9.3742556099999987</v>
      </c>
      <c r="F36" s="30">
        <v>42693</v>
      </c>
    </row>
    <row r="37" spans="1:6" x14ac:dyDescent="0.3">
      <c r="A37" s="32" t="s">
        <v>1663</v>
      </c>
      <c r="B37">
        <v>10.0256223</v>
      </c>
      <c r="C37">
        <v>0.44626297999999998</v>
      </c>
      <c r="E37" s="29">
        <f t="shared" si="0"/>
        <v>9.57935932</v>
      </c>
      <c r="F37" s="30">
        <v>42694</v>
      </c>
    </row>
    <row r="38" spans="1:6" x14ac:dyDescent="0.3">
      <c r="A38" s="32" t="s">
        <v>1664</v>
      </c>
      <c r="B38">
        <v>9.7999986000000003</v>
      </c>
      <c r="C38">
        <v>8.9658186900000008</v>
      </c>
      <c r="E38" s="29">
        <f t="shared" si="0"/>
        <v>0.83417990999999958</v>
      </c>
      <c r="F38" s="30">
        <v>42695</v>
      </c>
    </row>
    <row r="39" spans="1:6" x14ac:dyDescent="0.3">
      <c r="A39" s="32" t="s">
        <v>1665</v>
      </c>
      <c r="B39">
        <v>10.5569001</v>
      </c>
      <c r="C39">
        <v>8.2938705299999995</v>
      </c>
      <c r="E39" s="29">
        <f t="shared" si="0"/>
        <v>2.2630295700000005</v>
      </c>
      <c r="F39" s="30">
        <v>42696</v>
      </c>
    </row>
    <row r="40" spans="1:6" x14ac:dyDescent="0.3">
      <c r="A40" s="32" t="s">
        <v>1666</v>
      </c>
      <c r="B40">
        <v>10.595679499999999</v>
      </c>
      <c r="C40">
        <v>7.3140992200000001</v>
      </c>
      <c r="E40" s="29">
        <f t="shared" si="0"/>
        <v>3.2815802799999991</v>
      </c>
      <c r="F40" s="30">
        <v>42697</v>
      </c>
    </row>
    <row r="41" spans="1:6" x14ac:dyDescent="0.3">
      <c r="A41" s="32" t="s">
        <v>1667</v>
      </c>
      <c r="B41">
        <v>11.296561000000001</v>
      </c>
      <c r="C41">
        <v>5.6937919399999997</v>
      </c>
      <c r="E41" s="29">
        <f t="shared" si="0"/>
        <v>5.6027690600000009</v>
      </c>
      <c r="F41" s="30">
        <v>42698</v>
      </c>
    </row>
    <row r="42" spans="1:6" x14ac:dyDescent="0.3">
      <c r="A42" s="32" t="s">
        <v>1668</v>
      </c>
      <c r="B42">
        <v>12.1966412</v>
      </c>
      <c r="C42">
        <v>6.3787245600000002</v>
      </c>
      <c r="E42" s="29">
        <f t="shared" si="0"/>
        <v>5.81791664</v>
      </c>
      <c r="F42" s="30">
        <v>42699</v>
      </c>
    </row>
    <row r="43" spans="1:6" x14ac:dyDescent="0.3">
      <c r="A43" s="32" t="s">
        <v>1669</v>
      </c>
      <c r="B43">
        <v>11.507096199999999</v>
      </c>
      <c r="C43">
        <v>8.0333102000000007</v>
      </c>
      <c r="E43" s="29">
        <f t="shared" si="0"/>
        <v>3.4737859999999987</v>
      </c>
      <c r="F43" s="30">
        <v>42700</v>
      </c>
    </row>
    <row r="44" spans="1:6" x14ac:dyDescent="0.3">
      <c r="A44" s="32" t="s">
        <v>1670</v>
      </c>
      <c r="B44">
        <v>11.6013599</v>
      </c>
      <c r="C44">
        <v>7.7904611299999997</v>
      </c>
      <c r="E44" s="29">
        <f t="shared" si="0"/>
        <v>3.8108987700000005</v>
      </c>
      <c r="F44" s="30">
        <v>42701</v>
      </c>
    </row>
    <row r="45" spans="1:6" x14ac:dyDescent="0.3">
      <c r="A45" s="32" t="s">
        <v>1671</v>
      </c>
      <c r="B45">
        <v>10.563029999999999</v>
      </c>
      <c r="C45">
        <v>7.8442161199999996</v>
      </c>
      <c r="E45" s="29">
        <f t="shared" si="0"/>
        <v>2.7188138799999999</v>
      </c>
      <c r="F45" s="30">
        <v>42702</v>
      </c>
    </row>
    <row r="46" spans="1:6" x14ac:dyDescent="0.3">
      <c r="A46" s="32" t="s">
        <v>1672</v>
      </c>
      <c r="B46">
        <v>9.4137558000000006</v>
      </c>
      <c r="C46">
        <v>9.7858529300000008</v>
      </c>
      <c r="E46" s="29">
        <f t="shared" si="0"/>
        <v>-0.37209713000000022</v>
      </c>
      <c r="F46" s="30">
        <v>42703</v>
      </c>
    </row>
    <row r="47" spans="1:6" x14ac:dyDescent="0.3">
      <c r="A47" s="32" t="s">
        <v>1673</v>
      </c>
      <c r="B47">
        <v>9.6401423000000008</v>
      </c>
      <c r="C47">
        <v>0.49347533999999998</v>
      </c>
      <c r="E47" s="29">
        <f t="shared" si="0"/>
        <v>9.146666960000001</v>
      </c>
      <c r="F47" s="30">
        <v>42704</v>
      </c>
    </row>
    <row r="48" spans="1:6" x14ac:dyDescent="0.3">
      <c r="A48" s="32" t="s">
        <v>1674</v>
      </c>
      <c r="B48">
        <v>9.7623765000000002</v>
      </c>
      <c r="C48">
        <v>1.1670507999999999</v>
      </c>
      <c r="E48" s="29">
        <f t="shared" si="0"/>
        <v>8.5953257000000001</v>
      </c>
      <c r="F48" s="30">
        <v>42705</v>
      </c>
    </row>
    <row r="49" spans="1:6" x14ac:dyDescent="0.3">
      <c r="A49" s="32" t="s">
        <v>1675</v>
      </c>
      <c r="B49">
        <v>9.0667413999999997</v>
      </c>
      <c r="C49">
        <v>2.54140823</v>
      </c>
      <c r="E49" s="29">
        <f t="shared" si="0"/>
        <v>6.5253331699999997</v>
      </c>
      <c r="F49" s="30">
        <v>42706</v>
      </c>
    </row>
    <row r="50" spans="1:6" x14ac:dyDescent="0.3">
      <c r="A50" s="32" t="s">
        <v>1676</v>
      </c>
      <c r="B50">
        <v>7.7976792000000001</v>
      </c>
      <c r="C50">
        <v>2.86102919</v>
      </c>
      <c r="E50" s="29">
        <f t="shared" si="0"/>
        <v>4.9366500100000001</v>
      </c>
      <c r="F50" s="30">
        <v>42707</v>
      </c>
    </row>
    <row r="51" spans="1:6" x14ac:dyDescent="0.3">
      <c r="A51" s="32" t="s">
        <v>1677</v>
      </c>
      <c r="B51">
        <v>9.7686303999999993</v>
      </c>
      <c r="C51">
        <v>3.2356065100000002</v>
      </c>
      <c r="E51" s="29">
        <f t="shared" si="0"/>
        <v>6.5330238899999991</v>
      </c>
      <c r="F51" s="30">
        <v>42708</v>
      </c>
    </row>
    <row r="52" spans="1:6" x14ac:dyDescent="0.3">
      <c r="A52" s="32" t="s">
        <v>1678</v>
      </c>
      <c r="B52">
        <v>8.6577680000000008</v>
      </c>
      <c r="C52">
        <v>3.0836680200000002</v>
      </c>
      <c r="E52" s="29">
        <f t="shared" si="0"/>
        <v>5.5740999800000006</v>
      </c>
      <c r="F52" s="30">
        <v>42709</v>
      </c>
    </row>
    <row r="53" spans="1:6" x14ac:dyDescent="0.3">
      <c r="A53" s="32" t="s">
        <v>1679</v>
      </c>
      <c r="B53">
        <v>8.2923372000000004</v>
      </c>
      <c r="C53">
        <v>3.8558378200000001</v>
      </c>
      <c r="E53" s="29">
        <f t="shared" si="0"/>
        <v>4.4364993800000008</v>
      </c>
      <c r="F53" s="30">
        <v>42710</v>
      </c>
    </row>
    <row r="54" spans="1:6" x14ac:dyDescent="0.3">
      <c r="A54" s="32" t="s">
        <v>1680</v>
      </c>
      <c r="B54">
        <v>9.0557692999999997</v>
      </c>
      <c r="C54">
        <v>3.4419671900000002</v>
      </c>
      <c r="E54" s="29">
        <f t="shared" si="0"/>
        <v>5.61380211</v>
      </c>
      <c r="F54" s="30">
        <v>42711</v>
      </c>
    </row>
    <row r="55" spans="1:6" x14ac:dyDescent="0.3">
      <c r="A55" s="32" t="s">
        <v>1681</v>
      </c>
      <c r="B55">
        <v>9.2835643000000001</v>
      </c>
      <c r="C55">
        <v>3.9693963700000001</v>
      </c>
      <c r="E55" s="29">
        <f t="shared" si="0"/>
        <v>5.31416793</v>
      </c>
      <c r="F55" s="30">
        <v>42712</v>
      </c>
    </row>
    <row r="56" spans="1:6" x14ac:dyDescent="0.3">
      <c r="A56" s="32" t="s">
        <v>1682</v>
      </c>
      <c r="B56">
        <v>9.0690279999999994</v>
      </c>
      <c r="C56">
        <v>5.1437293799999999</v>
      </c>
      <c r="E56" s="29">
        <f t="shared" si="0"/>
        <v>3.9252986199999995</v>
      </c>
      <c r="F56" s="30">
        <v>42713</v>
      </c>
    </row>
    <row r="57" spans="1:6" x14ac:dyDescent="0.3">
      <c r="A57" s="32" t="s">
        <v>1683</v>
      </c>
      <c r="B57">
        <v>8.7233567000000001</v>
      </c>
      <c r="C57">
        <v>5.1495673200000001</v>
      </c>
      <c r="E57" s="29">
        <f t="shared" si="0"/>
        <v>3.57378938</v>
      </c>
      <c r="F57" s="30">
        <v>42714</v>
      </c>
    </row>
    <row r="58" spans="1:6" x14ac:dyDescent="0.3">
      <c r="A58" s="32" t="s">
        <v>1684</v>
      </c>
      <c r="B58">
        <v>8.2881456999999994</v>
      </c>
      <c r="C58">
        <v>4.7122520799999998</v>
      </c>
      <c r="E58" s="29">
        <f t="shared" si="0"/>
        <v>3.5758936199999996</v>
      </c>
      <c r="F58" s="30">
        <v>42715</v>
      </c>
    </row>
    <row r="59" spans="1:6" x14ac:dyDescent="0.3">
      <c r="A59" s="32" t="s">
        <v>1685</v>
      </c>
      <c r="B59">
        <v>7.8565285999999999</v>
      </c>
      <c r="C59">
        <v>2.8644040899999998</v>
      </c>
      <c r="E59" s="29">
        <f t="shared" si="0"/>
        <v>4.99212451</v>
      </c>
      <c r="F59" s="30">
        <v>42716</v>
      </c>
    </row>
    <row r="60" spans="1:6" x14ac:dyDescent="0.3">
      <c r="A60" s="32" t="s">
        <v>1686</v>
      </c>
      <c r="B60">
        <v>7.4679004000000004</v>
      </c>
      <c r="C60">
        <v>2.4251125299999998</v>
      </c>
      <c r="E60" s="29">
        <f t="shared" si="0"/>
        <v>5.0427878700000006</v>
      </c>
      <c r="F60" s="30">
        <v>42717</v>
      </c>
    </row>
    <row r="61" spans="1:6" x14ac:dyDescent="0.3">
      <c r="A61" s="32" t="s">
        <v>1687</v>
      </c>
      <c r="B61">
        <v>7.8968233999999997</v>
      </c>
      <c r="C61">
        <v>1.91111841</v>
      </c>
      <c r="E61" s="29">
        <f t="shared" si="0"/>
        <v>5.9857049899999994</v>
      </c>
      <c r="F61" s="30">
        <v>42718</v>
      </c>
    </row>
    <row r="62" spans="1:6" x14ac:dyDescent="0.3">
      <c r="A62" s="32" t="s">
        <v>1688</v>
      </c>
      <c r="B62">
        <v>8.5976689999999998</v>
      </c>
      <c r="C62">
        <v>1.6911043400000001</v>
      </c>
      <c r="E62" s="29">
        <f t="shared" si="0"/>
        <v>6.9065646599999999</v>
      </c>
      <c r="F62" s="30">
        <v>42719</v>
      </c>
    </row>
    <row r="63" spans="1:6" x14ac:dyDescent="0.3">
      <c r="A63" s="32" t="s">
        <v>1689</v>
      </c>
      <c r="B63">
        <v>9.2815148000000001</v>
      </c>
      <c r="C63">
        <v>0.97416100999999999</v>
      </c>
      <c r="E63" s="29">
        <f t="shared" si="0"/>
        <v>8.3073537900000005</v>
      </c>
      <c r="F63" s="30">
        <v>42720</v>
      </c>
    </row>
    <row r="64" spans="1:6" x14ac:dyDescent="0.3">
      <c r="A64" s="32" t="s">
        <v>1690</v>
      </c>
      <c r="B64">
        <v>10.301656299999999</v>
      </c>
      <c r="C64">
        <v>1.04448322</v>
      </c>
      <c r="E64" s="29">
        <f t="shared" si="0"/>
        <v>9.2571730799999994</v>
      </c>
      <c r="F64" s="30">
        <v>42721</v>
      </c>
    </row>
    <row r="65" spans="1:6" x14ac:dyDescent="0.3">
      <c r="A65" s="32" t="s">
        <v>1691</v>
      </c>
      <c r="B65">
        <v>10.3376278</v>
      </c>
      <c r="C65">
        <v>9.1246930000000004E-2</v>
      </c>
      <c r="E65" s="29">
        <f t="shared" si="0"/>
        <v>10.246380869999999</v>
      </c>
      <c r="F65" s="30">
        <v>42722</v>
      </c>
    </row>
    <row r="66" spans="1:6" x14ac:dyDescent="0.3">
      <c r="A66" s="32" t="s">
        <v>1692</v>
      </c>
      <c r="B66">
        <v>10.915514099999999</v>
      </c>
      <c r="C66">
        <v>0.71958612</v>
      </c>
      <c r="E66" s="29">
        <f t="shared" si="0"/>
        <v>10.195927979999999</v>
      </c>
      <c r="F66" s="30">
        <v>42723</v>
      </c>
    </row>
    <row r="67" spans="1:6" x14ac:dyDescent="0.3">
      <c r="A67" s="32" t="s">
        <v>1693</v>
      </c>
      <c r="B67">
        <v>9.7260849</v>
      </c>
      <c r="C67">
        <v>2.07941822</v>
      </c>
      <c r="E67" s="29">
        <f t="shared" ref="E67:E130" si="1">B67-C67</f>
        <v>7.64666668</v>
      </c>
      <c r="F67" s="30">
        <v>42724</v>
      </c>
    </row>
    <row r="68" spans="1:6" x14ac:dyDescent="0.3">
      <c r="A68" s="32" t="s">
        <v>1694</v>
      </c>
      <c r="B68">
        <v>9.5439520000000009</v>
      </c>
      <c r="C68">
        <v>1.6019283799999999</v>
      </c>
      <c r="E68" s="29">
        <f t="shared" si="1"/>
        <v>7.9420236200000005</v>
      </c>
      <c r="F68" s="30">
        <v>42725</v>
      </c>
    </row>
    <row r="69" spans="1:6" x14ac:dyDescent="0.3">
      <c r="A69" s="32" t="s">
        <v>1695</v>
      </c>
      <c r="B69">
        <v>9.8024948999999992</v>
      </c>
      <c r="C69">
        <v>1.19821719</v>
      </c>
      <c r="E69" s="29">
        <f t="shared" si="1"/>
        <v>8.6042777099999999</v>
      </c>
      <c r="F69" s="30">
        <v>42726</v>
      </c>
    </row>
    <row r="70" spans="1:6" x14ac:dyDescent="0.3">
      <c r="A70" s="32" t="s">
        <v>1696</v>
      </c>
      <c r="B70">
        <v>10.7930508</v>
      </c>
      <c r="C70">
        <v>9.5469354699999993</v>
      </c>
      <c r="E70" s="29">
        <f t="shared" si="1"/>
        <v>1.2461153300000003</v>
      </c>
      <c r="F70" s="30">
        <v>42727</v>
      </c>
    </row>
    <row r="71" spans="1:6" x14ac:dyDescent="0.3">
      <c r="A71" s="32" t="s">
        <v>1697</v>
      </c>
      <c r="B71">
        <v>11.5225849</v>
      </c>
      <c r="C71">
        <v>9.7270012900000005</v>
      </c>
      <c r="E71" s="29">
        <f t="shared" si="1"/>
        <v>1.7955836099999996</v>
      </c>
      <c r="F71" s="30">
        <v>42728</v>
      </c>
    </row>
    <row r="72" spans="1:6" x14ac:dyDescent="0.3">
      <c r="A72" s="32" t="s">
        <v>1698</v>
      </c>
      <c r="B72">
        <v>11.2401965</v>
      </c>
      <c r="C72">
        <v>9.2826704299999996</v>
      </c>
      <c r="E72" s="29">
        <f t="shared" si="1"/>
        <v>1.9575260700000001</v>
      </c>
      <c r="F72" s="30">
        <v>42729</v>
      </c>
    </row>
    <row r="73" spans="1:6" x14ac:dyDescent="0.3">
      <c r="A73" s="32" t="s">
        <v>1699</v>
      </c>
      <c r="B73">
        <v>10.460769900000001</v>
      </c>
      <c r="C73">
        <v>9.35385198</v>
      </c>
      <c r="E73" s="29">
        <f t="shared" si="1"/>
        <v>1.1069179200000008</v>
      </c>
      <c r="F73" s="30">
        <v>42730</v>
      </c>
    </row>
    <row r="74" spans="1:6" x14ac:dyDescent="0.3">
      <c r="A74" s="32" t="s">
        <v>1700</v>
      </c>
      <c r="B74">
        <v>10.6785157</v>
      </c>
      <c r="C74">
        <v>9.0522969799999995</v>
      </c>
      <c r="E74" s="29">
        <f t="shared" si="1"/>
        <v>1.6262187200000007</v>
      </c>
      <c r="F74" s="30">
        <v>42731</v>
      </c>
    </row>
    <row r="75" spans="1:6" x14ac:dyDescent="0.3">
      <c r="A75" s="32" t="s">
        <v>1701</v>
      </c>
      <c r="B75">
        <v>9.5599570000000007</v>
      </c>
      <c r="C75">
        <v>0.40333592000000001</v>
      </c>
      <c r="E75" s="29">
        <f t="shared" si="1"/>
        <v>9.1566210800000007</v>
      </c>
      <c r="F75" s="30">
        <v>42732</v>
      </c>
    </row>
    <row r="76" spans="1:6" x14ac:dyDescent="0.3">
      <c r="A76" s="32" t="s">
        <v>1702</v>
      </c>
      <c r="B76">
        <v>9.4891751000000006</v>
      </c>
      <c r="C76">
        <v>0.20603985999999999</v>
      </c>
      <c r="E76" s="29">
        <f t="shared" si="1"/>
        <v>9.28313524</v>
      </c>
      <c r="F76" s="30">
        <v>42733</v>
      </c>
    </row>
    <row r="77" spans="1:6" x14ac:dyDescent="0.3">
      <c r="A77" s="32" t="s">
        <v>1703</v>
      </c>
      <c r="B77">
        <v>9.8968577</v>
      </c>
      <c r="C77">
        <v>9.8384863899999999</v>
      </c>
      <c r="E77" s="29">
        <f t="shared" si="1"/>
        <v>5.8371310000000065E-2</v>
      </c>
      <c r="F77" s="30">
        <v>42734</v>
      </c>
    </row>
    <row r="78" spans="1:6" x14ac:dyDescent="0.3">
      <c r="A78" s="32" t="s">
        <v>1704</v>
      </c>
      <c r="B78">
        <v>10.8593411</v>
      </c>
      <c r="C78">
        <v>9.7732835199999997</v>
      </c>
      <c r="E78" s="29">
        <f t="shared" si="1"/>
        <v>1.0860575800000003</v>
      </c>
      <c r="F78" s="30">
        <v>42735</v>
      </c>
    </row>
    <row r="79" spans="1:6" x14ac:dyDescent="0.3">
      <c r="A79" s="32" t="s">
        <v>1705</v>
      </c>
      <c r="B79">
        <v>11.369216099999999</v>
      </c>
      <c r="C79">
        <v>1.3014264099999999</v>
      </c>
      <c r="E79" s="29">
        <f t="shared" si="1"/>
        <v>10.06778969</v>
      </c>
      <c r="F79" s="30">
        <v>42736</v>
      </c>
    </row>
    <row r="80" spans="1:6" x14ac:dyDescent="0.3">
      <c r="A80" s="32" t="s">
        <v>1706</v>
      </c>
      <c r="B80">
        <v>11.7141663</v>
      </c>
      <c r="C80">
        <v>0.43923835</v>
      </c>
      <c r="E80" s="29">
        <f t="shared" si="1"/>
        <v>11.27492795</v>
      </c>
      <c r="F80" s="30">
        <v>42737</v>
      </c>
    </row>
    <row r="81" spans="1:6" x14ac:dyDescent="0.3">
      <c r="A81" s="32" t="s">
        <v>1707</v>
      </c>
      <c r="B81">
        <v>11.568554799999999</v>
      </c>
      <c r="C81">
        <v>0.55750964999999997</v>
      </c>
      <c r="E81" s="29">
        <f t="shared" si="1"/>
        <v>11.011045149999999</v>
      </c>
      <c r="F81" s="30">
        <v>42738</v>
      </c>
    </row>
    <row r="82" spans="1:6" x14ac:dyDescent="0.3">
      <c r="A82" s="32" t="s">
        <v>1708</v>
      </c>
      <c r="B82">
        <v>10.5286119</v>
      </c>
      <c r="C82">
        <v>0.41173048000000001</v>
      </c>
      <c r="E82" s="29">
        <f t="shared" si="1"/>
        <v>10.11688142</v>
      </c>
      <c r="F82" s="30">
        <v>42739</v>
      </c>
    </row>
    <row r="83" spans="1:6" x14ac:dyDescent="0.3">
      <c r="A83" s="32" t="s">
        <v>1709</v>
      </c>
      <c r="B83">
        <v>11.752942900000001</v>
      </c>
      <c r="C83">
        <v>9.8462111100000005</v>
      </c>
      <c r="E83" s="29">
        <f t="shared" si="1"/>
        <v>1.9067317900000003</v>
      </c>
      <c r="F83" s="30">
        <v>42740</v>
      </c>
    </row>
    <row r="84" spans="1:6" x14ac:dyDescent="0.3">
      <c r="A84" s="32" t="s">
        <v>1710</v>
      </c>
      <c r="B84">
        <v>12.9016342</v>
      </c>
      <c r="C84">
        <v>8.97607511</v>
      </c>
      <c r="E84" s="29">
        <f t="shared" si="1"/>
        <v>3.9255590900000001</v>
      </c>
      <c r="F84" s="30">
        <v>42741</v>
      </c>
    </row>
    <row r="85" spans="1:6" x14ac:dyDescent="0.3">
      <c r="A85" s="32" t="s">
        <v>1711</v>
      </c>
      <c r="B85">
        <v>12.230570200000001</v>
      </c>
      <c r="C85">
        <v>0.43871988000000001</v>
      </c>
      <c r="E85" s="29">
        <f t="shared" si="1"/>
        <v>11.79185032</v>
      </c>
      <c r="F85" s="30">
        <v>42742</v>
      </c>
    </row>
    <row r="86" spans="1:6" x14ac:dyDescent="0.3">
      <c r="A86" s="32" t="s">
        <v>1712</v>
      </c>
      <c r="B86">
        <v>12.494462</v>
      </c>
      <c r="C86">
        <v>9.8378052300000007</v>
      </c>
      <c r="E86" s="29">
        <f t="shared" si="1"/>
        <v>2.6566567699999997</v>
      </c>
      <c r="F86" s="30">
        <v>42743</v>
      </c>
    </row>
    <row r="87" spans="1:6" x14ac:dyDescent="0.3">
      <c r="A87" s="32" t="s">
        <v>1713</v>
      </c>
      <c r="B87">
        <v>13.0306861</v>
      </c>
      <c r="C87">
        <v>0.56373644000000001</v>
      </c>
      <c r="E87" s="29">
        <f t="shared" si="1"/>
        <v>12.466949660000001</v>
      </c>
      <c r="F87" s="30">
        <v>42744</v>
      </c>
    </row>
    <row r="88" spans="1:6" x14ac:dyDescent="0.3">
      <c r="A88" s="32" t="s">
        <v>1714</v>
      </c>
      <c r="B88">
        <v>12.5579927</v>
      </c>
      <c r="C88">
        <v>3.38561617</v>
      </c>
      <c r="E88" s="29">
        <f t="shared" si="1"/>
        <v>9.1723765299999993</v>
      </c>
      <c r="F88" s="30">
        <v>42745</v>
      </c>
    </row>
    <row r="89" spans="1:6" x14ac:dyDescent="0.3">
      <c r="A89" s="32" t="s">
        <v>1715</v>
      </c>
      <c r="B89">
        <v>12.9384604</v>
      </c>
      <c r="C89">
        <v>1.9792344799999999</v>
      </c>
      <c r="E89" s="29">
        <f t="shared" si="1"/>
        <v>10.95922592</v>
      </c>
      <c r="F89" s="30">
        <v>42746</v>
      </c>
    </row>
    <row r="90" spans="1:6" x14ac:dyDescent="0.3">
      <c r="A90" s="32" t="s">
        <v>1716</v>
      </c>
      <c r="B90">
        <v>12.4402165</v>
      </c>
      <c r="C90">
        <v>3.1477374600000001</v>
      </c>
      <c r="E90" s="29">
        <f t="shared" si="1"/>
        <v>9.2924790399999999</v>
      </c>
      <c r="F90" s="30">
        <v>42747</v>
      </c>
    </row>
    <row r="91" spans="1:6" x14ac:dyDescent="0.3">
      <c r="A91" s="32" t="s">
        <v>1717</v>
      </c>
      <c r="B91">
        <v>11.878802200000001</v>
      </c>
      <c r="C91">
        <v>4.5520873100000001</v>
      </c>
      <c r="E91" s="29">
        <f t="shared" si="1"/>
        <v>7.3267148900000008</v>
      </c>
      <c r="F91" s="30">
        <v>42748</v>
      </c>
    </row>
    <row r="92" spans="1:6" x14ac:dyDescent="0.3">
      <c r="A92" s="32" t="s">
        <v>1718</v>
      </c>
      <c r="B92">
        <v>13.844316900000001</v>
      </c>
      <c r="C92">
        <v>5.8740045700000003</v>
      </c>
      <c r="E92" s="29">
        <f t="shared" si="1"/>
        <v>7.9703123300000005</v>
      </c>
      <c r="F92" s="30">
        <v>42749</v>
      </c>
    </row>
    <row r="93" spans="1:6" x14ac:dyDescent="0.3">
      <c r="A93" s="32" t="s">
        <v>1719</v>
      </c>
      <c r="B93">
        <v>13.8830115</v>
      </c>
      <c r="C93">
        <v>6.6000469400000004</v>
      </c>
      <c r="E93" s="29">
        <f t="shared" si="1"/>
        <v>7.2829645599999999</v>
      </c>
      <c r="F93" s="30">
        <v>42750</v>
      </c>
    </row>
    <row r="94" spans="1:6" x14ac:dyDescent="0.3">
      <c r="A94" s="32" t="s">
        <v>1720</v>
      </c>
      <c r="B94">
        <v>13.0617786</v>
      </c>
      <c r="C94">
        <v>7.05564415</v>
      </c>
      <c r="E94" s="29">
        <f t="shared" si="1"/>
        <v>6.0061344500000002</v>
      </c>
      <c r="F94" s="30">
        <v>42751</v>
      </c>
    </row>
    <row r="95" spans="1:6" x14ac:dyDescent="0.3">
      <c r="A95" s="32" t="s">
        <v>1721</v>
      </c>
      <c r="B95">
        <v>12.7976101</v>
      </c>
      <c r="C95">
        <v>5.8691027499999997</v>
      </c>
      <c r="E95" s="29">
        <f t="shared" si="1"/>
        <v>6.9285073500000003</v>
      </c>
      <c r="F95" s="30">
        <v>42752</v>
      </c>
    </row>
    <row r="96" spans="1:6" x14ac:dyDescent="0.3">
      <c r="A96" s="32" t="s">
        <v>1722</v>
      </c>
      <c r="B96">
        <v>13.369145400000001</v>
      </c>
      <c r="C96">
        <v>5.3542637300000004</v>
      </c>
      <c r="E96" s="29">
        <f t="shared" si="1"/>
        <v>8.0148816700000012</v>
      </c>
      <c r="F96" s="30">
        <v>42753</v>
      </c>
    </row>
    <row r="97" spans="1:6" x14ac:dyDescent="0.3">
      <c r="A97" s="32" t="s">
        <v>1723</v>
      </c>
      <c r="B97">
        <v>12.283559199999999</v>
      </c>
      <c r="C97">
        <v>5.6716467799999997</v>
      </c>
      <c r="E97" s="29">
        <f t="shared" si="1"/>
        <v>6.6119124199999995</v>
      </c>
      <c r="F97" s="30">
        <v>42754</v>
      </c>
    </row>
    <row r="98" spans="1:6" x14ac:dyDescent="0.3">
      <c r="A98" s="32" t="s">
        <v>1724</v>
      </c>
      <c r="B98">
        <v>13.921278900000001</v>
      </c>
      <c r="C98">
        <v>6.2383918100000004</v>
      </c>
      <c r="E98" s="29">
        <f t="shared" si="1"/>
        <v>7.6828870900000004</v>
      </c>
      <c r="F98" s="30">
        <v>42755</v>
      </c>
    </row>
    <row r="99" spans="1:6" x14ac:dyDescent="0.3">
      <c r="A99" s="32" t="s">
        <v>1725</v>
      </c>
      <c r="B99">
        <v>14.8265425</v>
      </c>
      <c r="C99">
        <v>5.5720765700000001</v>
      </c>
      <c r="E99" s="29">
        <f t="shared" si="1"/>
        <v>9.2544659300000003</v>
      </c>
      <c r="F99" s="30">
        <v>42756</v>
      </c>
    </row>
    <row r="100" spans="1:6" x14ac:dyDescent="0.3">
      <c r="A100" s="32" t="s">
        <v>1726</v>
      </c>
      <c r="B100">
        <v>14.435700499999999</v>
      </c>
      <c r="C100">
        <v>7.50265205</v>
      </c>
      <c r="E100" s="29">
        <f t="shared" si="1"/>
        <v>6.9330484499999994</v>
      </c>
      <c r="F100" s="30">
        <v>42757</v>
      </c>
    </row>
    <row r="101" spans="1:6" x14ac:dyDescent="0.3">
      <c r="A101" s="32" t="s">
        <v>1727</v>
      </c>
      <c r="B101">
        <v>15.2511399</v>
      </c>
      <c r="C101">
        <v>8.1611364799999997</v>
      </c>
      <c r="E101" s="29">
        <f t="shared" si="1"/>
        <v>7.0900034200000004</v>
      </c>
      <c r="F101" s="30">
        <v>42758</v>
      </c>
    </row>
    <row r="102" spans="1:6" x14ac:dyDescent="0.3">
      <c r="A102" s="32" t="s">
        <v>1728</v>
      </c>
      <c r="B102">
        <v>15.7394734</v>
      </c>
      <c r="C102">
        <v>7.98547897</v>
      </c>
      <c r="E102" s="29">
        <f t="shared" si="1"/>
        <v>7.7539944299999997</v>
      </c>
      <c r="F102" s="30">
        <v>42759</v>
      </c>
    </row>
    <row r="103" spans="1:6" x14ac:dyDescent="0.3">
      <c r="A103" s="32" t="s">
        <v>1729</v>
      </c>
      <c r="B103">
        <v>16.828942099999999</v>
      </c>
      <c r="C103">
        <v>8.4800903699999992</v>
      </c>
      <c r="E103" s="29">
        <f t="shared" si="1"/>
        <v>8.3488517299999998</v>
      </c>
      <c r="F103" s="30">
        <v>42760</v>
      </c>
    </row>
    <row r="104" spans="1:6" x14ac:dyDescent="0.3">
      <c r="A104" s="32" t="s">
        <v>1730</v>
      </c>
      <c r="B104">
        <v>17.228912699999999</v>
      </c>
      <c r="C104">
        <v>9.2568205599999995</v>
      </c>
      <c r="E104" s="29">
        <f t="shared" si="1"/>
        <v>7.9720921399999991</v>
      </c>
      <c r="F104" s="30">
        <v>42761</v>
      </c>
    </row>
    <row r="105" spans="1:6" x14ac:dyDescent="0.3">
      <c r="A105" s="32" t="s">
        <v>1731</v>
      </c>
      <c r="B105">
        <v>16.119051899999999</v>
      </c>
      <c r="C105">
        <v>9.9832166600000001</v>
      </c>
      <c r="E105" s="29">
        <f t="shared" si="1"/>
        <v>6.1358352399999987</v>
      </c>
      <c r="F105" s="30">
        <v>42762</v>
      </c>
    </row>
    <row r="106" spans="1:6" x14ac:dyDescent="0.3">
      <c r="A106" s="32" t="s">
        <v>1732</v>
      </c>
      <c r="B106">
        <v>15.595534799999999</v>
      </c>
      <c r="C106">
        <v>1.1069557699999999</v>
      </c>
      <c r="E106" s="29">
        <f t="shared" si="1"/>
        <v>14.48857903</v>
      </c>
      <c r="F106" s="30">
        <v>42763</v>
      </c>
    </row>
    <row r="107" spans="1:6" x14ac:dyDescent="0.3">
      <c r="A107" s="32" t="s">
        <v>1733</v>
      </c>
      <c r="B107">
        <v>15.3811698</v>
      </c>
      <c r="C107">
        <v>2.9206355500000001</v>
      </c>
      <c r="E107" s="29">
        <f t="shared" si="1"/>
        <v>12.46053425</v>
      </c>
      <c r="F107" s="30">
        <v>42764</v>
      </c>
    </row>
    <row r="108" spans="1:6" x14ac:dyDescent="0.3">
      <c r="A108" s="32" t="s">
        <v>1734</v>
      </c>
      <c r="B108">
        <v>16.971731800000001</v>
      </c>
      <c r="C108">
        <v>3.2450940199999998</v>
      </c>
      <c r="E108" s="29">
        <f t="shared" si="1"/>
        <v>13.726637780000001</v>
      </c>
      <c r="F108" s="30">
        <v>42765</v>
      </c>
    </row>
    <row r="109" spans="1:6" x14ac:dyDescent="0.3">
      <c r="A109" s="32" t="s">
        <v>1735</v>
      </c>
      <c r="B109">
        <v>15.987626300000001</v>
      </c>
      <c r="C109">
        <v>4.2165568999999996</v>
      </c>
      <c r="E109" s="29">
        <f t="shared" si="1"/>
        <v>11.771069400000002</v>
      </c>
      <c r="F109" s="30">
        <v>42766</v>
      </c>
    </row>
    <row r="110" spans="1:6" x14ac:dyDescent="0.3">
      <c r="A110" s="32" t="s">
        <v>1736</v>
      </c>
      <c r="B110">
        <v>14.5757733</v>
      </c>
      <c r="C110">
        <v>3.9178305500000001</v>
      </c>
      <c r="E110" s="29">
        <f t="shared" si="1"/>
        <v>10.65794275</v>
      </c>
      <c r="F110" s="30">
        <v>42767</v>
      </c>
    </row>
    <row r="111" spans="1:6" x14ac:dyDescent="0.3">
      <c r="A111" s="32" t="s">
        <v>1737</v>
      </c>
      <c r="B111">
        <v>15.605779800000001</v>
      </c>
      <c r="C111">
        <v>4.5041744799999996</v>
      </c>
      <c r="E111" s="29">
        <f t="shared" si="1"/>
        <v>11.101605320000001</v>
      </c>
      <c r="F111" s="30">
        <v>42768</v>
      </c>
    </row>
    <row r="112" spans="1:6" x14ac:dyDescent="0.3">
      <c r="A112" s="32" t="s">
        <v>1738</v>
      </c>
      <c r="B112">
        <v>13.353471600000001</v>
      </c>
      <c r="C112">
        <v>4.6192761000000004</v>
      </c>
      <c r="E112" s="29">
        <f t="shared" si="1"/>
        <v>8.7341955000000002</v>
      </c>
      <c r="F112" s="30">
        <v>42769</v>
      </c>
    </row>
    <row r="113" spans="1:6" x14ac:dyDescent="0.3">
      <c r="A113" s="32" t="s">
        <v>1739</v>
      </c>
      <c r="B113">
        <v>14.131323800000001</v>
      </c>
      <c r="C113">
        <v>3.6571155200000001</v>
      </c>
      <c r="E113" s="29">
        <f t="shared" si="1"/>
        <v>10.474208280000001</v>
      </c>
      <c r="F113" s="30">
        <v>42770</v>
      </c>
    </row>
    <row r="114" spans="1:6" x14ac:dyDescent="0.3">
      <c r="A114" s="32" t="s">
        <v>1740</v>
      </c>
      <c r="B114">
        <v>13.4313719</v>
      </c>
      <c r="C114">
        <v>3.4762488299999998</v>
      </c>
      <c r="E114" s="29">
        <f t="shared" si="1"/>
        <v>9.9551230700000009</v>
      </c>
      <c r="F114" s="30">
        <v>42771</v>
      </c>
    </row>
    <row r="115" spans="1:6" x14ac:dyDescent="0.3">
      <c r="A115" s="32" t="s">
        <v>1741</v>
      </c>
      <c r="B115">
        <v>14.0673516</v>
      </c>
      <c r="C115">
        <v>3.50366073</v>
      </c>
      <c r="E115" s="29">
        <f t="shared" si="1"/>
        <v>10.56369087</v>
      </c>
      <c r="F115" s="30">
        <v>42772</v>
      </c>
    </row>
    <row r="116" spans="1:6" x14ac:dyDescent="0.3">
      <c r="A116" s="32" t="s">
        <v>1742</v>
      </c>
      <c r="B116">
        <v>14.469225099999999</v>
      </c>
      <c r="C116">
        <v>2.12398753</v>
      </c>
      <c r="E116" s="29">
        <f t="shared" si="1"/>
        <v>12.345237569999998</v>
      </c>
      <c r="F116" s="30">
        <v>42773</v>
      </c>
    </row>
    <row r="117" spans="1:6" x14ac:dyDescent="0.3">
      <c r="A117" s="32" t="s">
        <v>1743</v>
      </c>
      <c r="B117">
        <v>13.4014159</v>
      </c>
      <c r="C117">
        <v>2.7179394600000002</v>
      </c>
      <c r="E117" s="29">
        <f t="shared" si="1"/>
        <v>10.68347644</v>
      </c>
      <c r="F117" s="30">
        <v>42774</v>
      </c>
    </row>
    <row r="118" spans="1:6" x14ac:dyDescent="0.3">
      <c r="A118" s="32" t="s">
        <v>1744</v>
      </c>
      <c r="B118">
        <v>13.420887199999999</v>
      </c>
      <c r="C118">
        <v>1.8909097699999999</v>
      </c>
      <c r="E118" s="29">
        <f t="shared" si="1"/>
        <v>11.529977429999999</v>
      </c>
      <c r="F118" s="30">
        <v>42775</v>
      </c>
    </row>
    <row r="119" spans="1:6" x14ac:dyDescent="0.3">
      <c r="A119" s="32" t="s">
        <v>1745</v>
      </c>
      <c r="B119">
        <v>13.9593595</v>
      </c>
      <c r="C119">
        <v>2.4781866199999998</v>
      </c>
      <c r="E119" s="29">
        <f t="shared" si="1"/>
        <v>11.481172879999999</v>
      </c>
      <c r="F119" s="30">
        <v>42776</v>
      </c>
    </row>
    <row r="120" spans="1:6" x14ac:dyDescent="0.3">
      <c r="A120" s="32" t="s">
        <v>1746</v>
      </c>
      <c r="B120">
        <v>13.8735926</v>
      </c>
      <c r="C120">
        <v>1.54872487</v>
      </c>
      <c r="E120" s="29">
        <f t="shared" si="1"/>
        <v>12.324867730000001</v>
      </c>
      <c r="F120" s="30">
        <v>42777</v>
      </c>
    </row>
    <row r="121" spans="1:6" x14ac:dyDescent="0.3">
      <c r="A121" s="32" t="s">
        <v>1747</v>
      </c>
      <c r="B121">
        <v>15.494797699999999</v>
      </c>
      <c r="C121">
        <v>1.13904827</v>
      </c>
      <c r="E121" s="29">
        <f t="shared" si="1"/>
        <v>14.355749429999999</v>
      </c>
      <c r="F121" s="30">
        <v>42778</v>
      </c>
    </row>
    <row r="122" spans="1:6" x14ac:dyDescent="0.3">
      <c r="A122" s="32" t="s">
        <v>1748</v>
      </c>
      <c r="B122">
        <v>16.968912799999998</v>
      </c>
      <c r="C122">
        <v>1.8582411299999999</v>
      </c>
      <c r="E122" s="29">
        <f t="shared" si="1"/>
        <v>15.110671669999999</v>
      </c>
      <c r="F122" s="30">
        <v>42779</v>
      </c>
    </row>
    <row r="123" spans="1:6" x14ac:dyDescent="0.3">
      <c r="A123" s="32" t="s">
        <v>1749</v>
      </c>
      <c r="B123">
        <v>16.8892211</v>
      </c>
      <c r="C123">
        <v>3.0965418300000001</v>
      </c>
      <c r="E123" s="29">
        <f t="shared" si="1"/>
        <v>13.792679270000001</v>
      </c>
      <c r="F123" s="30">
        <v>42780</v>
      </c>
    </row>
    <row r="124" spans="1:6" x14ac:dyDescent="0.3">
      <c r="A124" s="32" t="s">
        <v>1750</v>
      </c>
      <c r="B124">
        <v>17.729537499999999</v>
      </c>
      <c r="C124">
        <v>3.52932851</v>
      </c>
      <c r="E124" s="29">
        <f t="shared" si="1"/>
        <v>14.20020899</v>
      </c>
      <c r="F124" s="30">
        <v>42781</v>
      </c>
    </row>
    <row r="125" spans="1:6" x14ac:dyDescent="0.3">
      <c r="A125" s="32" t="s">
        <v>1751</v>
      </c>
      <c r="B125">
        <v>17.642156499999999</v>
      </c>
      <c r="C125">
        <v>2.2183764500000001</v>
      </c>
      <c r="E125" s="29">
        <f t="shared" si="1"/>
        <v>15.423780049999998</v>
      </c>
      <c r="F125" s="30">
        <v>42782</v>
      </c>
    </row>
    <row r="126" spans="1:6" x14ac:dyDescent="0.3">
      <c r="A126" s="32" t="s">
        <v>1752</v>
      </c>
      <c r="B126">
        <v>18.5501054</v>
      </c>
      <c r="C126">
        <v>2.04044552</v>
      </c>
      <c r="E126" s="29">
        <f t="shared" si="1"/>
        <v>16.509659880000001</v>
      </c>
      <c r="F126" s="30">
        <v>42783</v>
      </c>
    </row>
    <row r="127" spans="1:6" x14ac:dyDescent="0.3">
      <c r="A127" s="32" t="s">
        <v>1753</v>
      </c>
      <c r="B127">
        <v>18.114116800000001</v>
      </c>
      <c r="C127">
        <v>1.1668109</v>
      </c>
      <c r="E127" s="29">
        <f t="shared" si="1"/>
        <v>16.9473059</v>
      </c>
      <c r="F127" s="30">
        <v>42784</v>
      </c>
    </row>
    <row r="128" spans="1:6" x14ac:dyDescent="0.3">
      <c r="A128" s="32" t="s">
        <v>1754</v>
      </c>
      <c r="B128">
        <v>16.569391700000001</v>
      </c>
      <c r="C128">
        <v>2.7201674200000001</v>
      </c>
      <c r="E128" s="29">
        <f t="shared" si="1"/>
        <v>13.849224280000001</v>
      </c>
      <c r="F128" s="30">
        <v>42785</v>
      </c>
    </row>
    <row r="129" spans="1:6" x14ac:dyDescent="0.3">
      <c r="A129" s="32" t="s">
        <v>1755</v>
      </c>
      <c r="B129">
        <v>16.813405100000001</v>
      </c>
      <c r="C129">
        <v>4.73112887</v>
      </c>
      <c r="E129" s="29">
        <f t="shared" si="1"/>
        <v>12.082276230000002</v>
      </c>
      <c r="F129" s="30">
        <v>42786</v>
      </c>
    </row>
    <row r="130" spans="1:6" x14ac:dyDescent="0.3">
      <c r="A130" s="32" t="s">
        <v>1756</v>
      </c>
      <c r="B130">
        <v>16.644984000000001</v>
      </c>
      <c r="C130">
        <v>5.2397071500000001</v>
      </c>
      <c r="E130" s="29">
        <f t="shared" si="1"/>
        <v>11.40527685</v>
      </c>
      <c r="F130" s="30">
        <v>42787</v>
      </c>
    </row>
    <row r="131" spans="1:6" x14ac:dyDescent="0.3">
      <c r="A131" s="32" t="s">
        <v>1757</v>
      </c>
      <c r="B131">
        <v>15.816724199999999</v>
      </c>
      <c r="C131">
        <v>5.5681198600000004</v>
      </c>
      <c r="E131" s="29">
        <f t="shared" ref="E131:E194" si="2">B131-C131</f>
        <v>10.24860434</v>
      </c>
      <c r="F131" s="30">
        <v>42788</v>
      </c>
    </row>
    <row r="132" spans="1:6" x14ac:dyDescent="0.3">
      <c r="A132" s="32" t="s">
        <v>1758</v>
      </c>
      <c r="B132">
        <v>16.291182200000002</v>
      </c>
      <c r="C132">
        <v>6.4174205300000002</v>
      </c>
      <c r="E132" s="29">
        <f t="shared" si="2"/>
        <v>9.8737616700000004</v>
      </c>
      <c r="F132" s="30">
        <v>42789</v>
      </c>
    </row>
    <row r="133" spans="1:6" x14ac:dyDescent="0.3">
      <c r="A133" s="32" t="s">
        <v>1759</v>
      </c>
      <c r="B133">
        <v>15.8258756</v>
      </c>
      <c r="C133">
        <v>7.4053925999999999</v>
      </c>
      <c r="E133" s="29">
        <f t="shared" si="2"/>
        <v>8.4204830000000008</v>
      </c>
      <c r="F133" s="30">
        <v>42790</v>
      </c>
    </row>
    <row r="134" spans="1:6" x14ac:dyDescent="0.3">
      <c r="A134" s="32" t="s">
        <v>1760</v>
      </c>
      <c r="B134">
        <v>17.262698100000001</v>
      </c>
      <c r="C134">
        <v>7.4327244400000003</v>
      </c>
      <c r="E134" s="29">
        <f t="shared" si="2"/>
        <v>9.8299736600000003</v>
      </c>
      <c r="F134" s="30">
        <v>42791</v>
      </c>
    </row>
    <row r="135" spans="1:6" x14ac:dyDescent="0.3">
      <c r="A135" s="32" t="s">
        <v>1761</v>
      </c>
      <c r="B135">
        <v>16.390979999999999</v>
      </c>
      <c r="C135">
        <v>6.2550348800000002</v>
      </c>
      <c r="E135" s="29">
        <f t="shared" si="2"/>
        <v>10.135945119999999</v>
      </c>
      <c r="F135" s="30">
        <v>42792</v>
      </c>
    </row>
    <row r="136" spans="1:6" x14ac:dyDescent="0.3">
      <c r="A136" s="32" t="s">
        <v>1762</v>
      </c>
      <c r="B136">
        <v>16.1764209</v>
      </c>
      <c r="C136">
        <v>6.8555220700000001</v>
      </c>
      <c r="E136" s="29">
        <f t="shared" si="2"/>
        <v>9.3208988300000009</v>
      </c>
      <c r="F136" s="30">
        <v>42793</v>
      </c>
    </row>
    <row r="137" spans="1:6" x14ac:dyDescent="0.3">
      <c r="A137" s="32" t="s">
        <v>1763</v>
      </c>
      <c r="B137">
        <v>13.4520854</v>
      </c>
      <c r="C137">
        <v>5.6731263500000004</v>
      </c>
      <c r="E137" s="29">
        <f t="shared" si="2"/>
        <v>7.7789590499999992</v>
      </c>
      <c r="F137" s="30">
        <v>42794</v>
      </c>
    </row>
    <row r="138" spans="1:6" x14ac:dyDescent="0.3">
      <c r="A138" s="32" t="s">
        <v>1764</v>
      </c>
      <c r="B138">
        <v>12.2542829</v>
      </c>
      <c r="C138">
        <v>6.9705504999999999</v>
      </c>
      <c r="E138" s="29">
        <f t="shared" si="2"/>
        <v>5.2837323999999999</v>
      </c>
      <c r="F138" s="30">
        <v>42795</v>
      </c>
    </row>
    <row r="139" spans="1:6" x14ac:dyDescent="0.3">
      <c r="A139" s="32" t="s">
        <v>1765</v>
      </c>
      <c r="B139">
        <v>14.1408357</v>
      </c>
      <c r="C139">
        <v>7.2411835699999996</v>
      </c>
      <c r="E139" s="29">
        <f t="shared" si="2"/>
        <v>6.8996521300000007</v>
      </c>
      <c r="F139" s="30">
        <v>42796</v>
      </c>
    </row>
    <row r="140" spans="1:6" x14ac:dyDescent="0.3">
      <c r="A140" s="32" t="s">
        <v>1766</v>
      </c>
      <c r="B140">
        <v>14.9816877</v>
      </c>
      <c r="C140">
        <v>8.1496315300000006</v>
      </c>
      <c r="E140" s="29">
        <f t="shared" si="2"/>
        <v>6.8320561699999995</v>
      </c>
      <c r="F140" s="30">
        <v>42797</v>
      </c>
    </row>
    <row r="141" spans="1:6" x14ac:dyDescent="0.3">
      <c r="A141" s="32" t="s">
        <v>1767</v>
      </c>
      <c r="B141">
        <v>14.9739176</v>
      </c>
      <c r="C141">
        <v>6.4173408700000003</v>
      </c>
      <c r="E141" s="29">
        <f t="shared" si="2"/>
        <v>8.5565767299999997</v>
      </c>
      <c r="F141" s="30">
        <v>42798</v>
      </c>
    </row>
    <row r="142" spans="1:6" x14ac:dyDescent="0.3">
      <c r="A142" s="32" t="s">
        <v>1768</v>
      </c>
      <c r="B142">
        <v>15.377583100000001</v>
      </c>
      <c r="C142">
        <v>7.4685359099999999</v>
      </c>
      <c r="E142" s="29">
        <f t="shared" si="2"/>
        <v>7.9090471900000008</v>
      </c>
      <c r="F142" s="30">
        <v>42799</v>
      </c>
    </row>
    <row r="143" spans="1:6" x14ac:dyDescent="0.3">
      <c r="A143" s="32" t="s">
        <v>1769</v>
      </c>
      <c r="B143">
        <v>17.8125815</v>
      </c>
      <c r="C143">
        <v>6.6697230300000001</v>
      </c>
      <c r="E143" s="29">
        <f t="shared" si="2"/>
        <v>11.14285847</v>
      </c>
      <c r="F143" s="30">
        <v>42800</v>
      </c>
    </row>
    <row r="144" spans="1:6" x14ac:dyDescent="0.3">
      <c r="A144" s="32" t="s">
        <v>1770</v>
      </c>
      <c r="B144">
        <v>18.1334616</v>
      </c>
      <c r="C144">
        <v>7.39572684</v>
      </c>
      <c r="E144" s="29">
        <f t="shared" si="2"/>
        <v>10.73773476</v>
      </c>
      <c r="F144" s="30">
        <v>42801</v>
      </c>
    </row>
    <row r="145" spans="1:6" x14ac:dyDescent="0.3">
      <c r="A145" s="32" t="s">
        <v>1771</v>
      </c>
      <c r="B145">
        <v>19.6193578</v>
      </c>
      <c r="C145">
        <v>8.6241342299999992</v>
      </c>
      <c r="E145" s="29">
        <f t="shared" si="2"/>
        <v>10.99522357</v>
      </c>
      <c r="F145" s="30">
        <v>42802</v>
      </c>
    </row>
    <row r="146" spans="1:6" x14ac:dyDescent="0.3">
      <c r="A146" s="32" t="s">
        <v>1772</v>
      </c>
      <c r="B146">
        <v>19.2502113</v>
      </c>
      <c r="C146">
        <v>8.0635520300000003</v>
      </c>
      <c r="E146" s="29">
        <f t="shared" si="2"/>
        <v>11.18665927</v>
      </c>
      <c r="F146" s="30">
        <v>42803</v>
      </c>
    </row>
    <row r="147" spans="1:6" x14ac:dyDescent="0.3">
      <c r="A147" s="32" t="s">
        <v>1773</v>
      </c>
      <c r="B147">
        <v>21.684400199999999</v>
      </c>
      <c r="C147">
        <v>8.2236813699999995</v>
      </c>
      <c r="E147" s="29">
        <f t="shared" si="2"/>
        <v>13.460718829999999</v>
      </c>
      <c r="F147" s="30">
        <v>42804</v>
      </c>
    </row>
    <row r="148" spans="1:6" x14ac:dyDescent="0.3">
      <c r="A148" s="32" t="s">
        <v>1774</v>
      </c>
      <c r="B148">
        <v>20.598132100000001</v>
      </c>
      <c r="C148">
        <v>7.5990699399999997</v>
      </c>
      <c r="E148" s="29">
        <f t="shared" si="2"/>
        <v>12.999062160000001</v>
      </c>
      <c r="F148" s="30">
        <v>42805</v>
      </c>
    </row>
    <row r="149" spans="1:6" x14ac:dyDescent="0.3">
      <c r="A149" s="32" t="s">
        <v>1775</v>
      </c>
      <c r="B149">
        <v>22.040492799999999</v>
      </c>
      <c r="C149">
        <v>8.3828387000000006</v>
      </c>
      <c r="E149" s="29">
        <f t="shared" si="2"/>
        <v>13.657654099999998</v>
      </c>
      <c r="F149" s="30">
        <v>42806</v>
      </c>
    </row>
    <row r="150" spans="1:6" x14ac:dyDescent="0.3">
      <c r="A150" s="32" t="s">
        <v>1776</v>
      </c>
      <c r="B150">
        <v>22.3899352</v>
      </c>
      <c r="C150">
        <v>8.6459590599999991</v>
      </c>
      <c r="E150" s="29">
        <f t="shared" si="2"/>
        <v>13.743976140000001</v>
      </c>
      <c r="F150" s="30">
        <v>42807</v>
      </c>
    </row>
    <row r="151" spans="1:6" x14ac:dyDescent="0.3">
      <c r="A151" s="32" t="s">
        <v>1777</v>
      </c>
      <c r="B151">
        <v>22.226082999999999</v>
      </c>
      <c r="C151">
        <v>6.9264707799999998</v>
      </c>
      <c r="E151" s="29">
        <f t="shared" si="2"/>
        <v>15.29961222</v>
      </c>
      <c r="F151" s="30">
        <v>42808</v>
      </c>
    </row>
    <row r="152" spans="1:6" x14ac:dyDescent="0.3">
      <c r="A152" s="32" t="s">
        <v>1778</v>
      </c>
      <c r="B152">
        <v>23.4558803</v>
      </c>
      <c r="C152">
        <v>6.9034049700000004</v>
      </c>
      <c r="E152" s="29">
        <f t="shared" si="2"/>
        <v>16.55247533</v>
      </c>
      <c r="F152" s="30">
        <v>42809</v>
      </c>
    </row>
    <row r="153" spans="1:6" x14ac:dyDescent="0.3">
      <c r="A153" s="32" t="s">
        <v>1779</v>
      </c>
      <c r="B153">
        <v>23.380325899999999</v>
      </c>
      <c r="C153">
        <v>4.88921531</v>
      </c>
      <c r="E153" s="29">
        <f t="shared" si="2"/>
        <v>18.491110589999998</v>
      </c>
      <c r="F153" s="30">
        <v>42810</v>
      </c>
    </row>
    <row r="154" spans="1:6" x14ac:dyDescent="0.3">
      <c r="A154" s="32" t="s">
        <v>1780</v>
      </c>
      <c r="B154">
        <v>23.038376</v>
      </c>
      <c r="C154">
        <v>3.1721342899999998</v>
      </c>
      <c r="E154" s="29">
        <f t="shared" si="2"/>
        <v>19.866241710000001</v>
      </c>
      <c r="F154" s="30">
        <v>42811</v>
      </c>
    </row>
    <row r="155" spans="1:6" x14ac:dyDescent="0.3">
      <c r="A155" s="32" t="s">
        <v>1781</v>
      </c>
      <c r="B155">
        <v>22.574429500000001</v>
      </c>
      <c r="C155">
        <v>4.4597076199999997</v>
      </c>
      <c r="E155" s="29">
        <f t="shared" si="2"/>
        <v>18.114721880000001</v>
      </c>
      <c r="F155" s="30">
        <v>42812</v>
      </c>
    </row>
    <row r="156" spans="1:6" x14ac:dyDescent="0.3">
      <c r="A156" s="32" t="s">
        <v>1782</v>
      </c>
      <c r="B156">
        <v>22.348626500000002</v>
      </c>
      <c r="C156">
        <v>4.5463521199999999</v>
      </c>
      <c r="E156" s="29">
        <f t="shared" si="2"/>
        <v>17.80227438</v>
      </c>
      <c r="F156" s="30">
        <v>42813</v>
      </c>
    </row>
    <row r="157" spans="1:6" x14ac:dyDescent="0.3">
      <c r="A157" s="32" t="s">
        <v>1783</v>
      </c>
      <c r="B157">
        <v>22.781527799999999</v>
      </c>
      <c r="C157">
        <v>4.5604986199999997</v>
      </c>
      <c r="E157" s="29">
        <f t="shared" si="2"/>
        <v>18.221029179999999</v>
      </c>
      <c r="F157" s="30">
        <v>42814</v>
      </c>
    </row>
    <row r="158" spans="1:6" x14ac:dyDescent="0.3">
      <c r="A158" s="32" t="s">
        <v>1784</v>
      </c>
      <c r="B158">
        <v>22.6163116</v>
      </c>
      <c r="C158">
        <v>3.2386836799999998</v>
      </c>
      <c r="E158" s="29">
        <f t="shared" si="2"/>
        <v>19.377627919999998</v>
      </c>
      <c r="F158" s="30">
        <v>42815</v>
      </c>
    </row>
    <row r="159" spans="1:6" x14ac:dyDescent="0.3">
      <c r="A159" s="32" t="s">
        <v>1785</v>
      </c>
      <c r="B159">
        <v>21.126618499999999</v>
      </c>
      <c r="C159">
        <v>2.48866919</v>
      </c>
      <c r="E159" s="29">
        <f t="shared" si="2"/>
        <v>18.63794931</v>
      </c>
      <c r="F159" s="30">
        <v>42816</v>
      </c>
    </row>
    <row r="160" spans="1:6" x14ac:dyDescent="0.3">
      <c r="A160" s="32" t="s">
        <v>1786</v>
      </c>
      <c r="B160">
        <v>20.9044268</v>
      </c>
      <c r="C160">
        <v>0.95405669000000004</v>
      </c>
      <c r="E160" s="29">
        <f t="shared" si="2"/>
        <v>19.950370109999998</v>
      </c>
      <c r="F160" s="30">
        <v>42817</v>
      </c>
    </row>
    <row r="161" spans="1:6" x14ac:dyDescent="0.3">
      <c r="A161" s="32" t="s">
        <v>1787</v>
      </c>
      <c r="B161">
        <v>22.031896199999998</v>
      </c>
      <c r="C161">
        <v>0.78714861999999997</v>
      </c>
      <c r="E161" s="29">
        <f t="shared" si="2"/>
        <v>21.244747579999999</v>
      </c>
      <c r="F161" s="30">
        <v>42818</v>
      </c>
    </row>
    <row r="162" spans="1:6" x14ac:dyDescent="0.3">
      <c r="A162" s="32" t="s">
        <v>1788</v>
      </c>
      <c r="B162">
        <v>22.171704999999999</v>
      </c>
      <c r="C162">
        <v>0.82197211000000003</v>
      </c>
      <c r="E162" s="29">
        <f t="shared" si="2"/>
        <v>21.349732889999999</v>
      </c>
      <c r="F162" s="30">
        <v>42819</v>
      </c>
    </row>
    <row r="163" spans="1:6" x14ac:dyDescent="0.3">
      <c r="A163" s="32" t="s">
        <v>1789</v>
      </c>
      <c r="B163">
        <v>20.148571700000002</v>
      </c>
      <c r="C163">
        <v>0.69870259000000001</v>
      </c>
      <c r="E163" s="29">
        <f t="shared" si="2"/>
        <v>19.449869110000002</v>
      </c>
      <c r="F163" s="30">
        <v>42820</v>
      </c>
    </row>
    <row r="164" spans="1:6" x14ac:dyDescent="0.3">
      <c r="A164" s="32" t="s">
        <v>1790</v>
      </c>
      <c r="B164">
        <v>20.196247799999998</v>
      </c>
      <c r="C164">
        <v>0.64204823</v>
      </c>
      <c r="E164" s="29">
        <f t="shared" si="2"/>
        <v>19.554199569999998</v>
      </c>
      <c r="F164" s="30">
        <v>42821</v>
      </c>
    </row>
    <row r="165" spans="1:6" x14ac:dyDescent="0.3">
      <c r="A165" s="32" t="s">
        <v>1791</v>
      </c>
      <c r="B165">
        <v>19.419806600000001</v>
      </c>
      <c r="C165">
        <v>9.0555910900000001</v>
      </c>
      <c r="E165" s="29">
        <f t="shared" si="2"/>
        <v>10.364215510000001</v>
      </c>
      <c r="F165" s="30">
        <v>42822</v>
      </c>
    </row>
    <row r="166" spans="1:6" x14ac:dyDescent="0.3">
      <c r="A166" s="32" t="s">
        <v>1792</v>
      </c>
      <c r="B166">
        <v>17.570754099999998</v>
      </c>
      <c r="C166">
        <v>9.1502768700000008</v>
      </c>
      <c r="E166" s="29">
        <f t="shared" si="2"/>
        <v>8.4204772299999977</v>
      </c>
      <c r="F166" s="30">
        <v>42823</v>
      </c>
    </row>
    <row r="167" spans="1:6" x14ac:dyDescent="0.3">
      <c r="A167" s="32" t="s">
        <v>1793</v>
      </c>
      <c r="B167">
        <v>18.176874600000001</v>
      </c>
      <c r="C167">
        <v>9.3539201700000003</v>
      </c>
      <c r="E167" s="29">
        <f t="shared" si="2"/>
        <v>8.8229544300000011</v>
      </c>
      <c r="F167" s="30">
        <v>42824</v>
      </c>
    </row>
    <row r="168" spans="1:6" x14ac:dyDescent="0.3">
      <c r="A168" s="32" t="s">
        <v>1794</v>
      </c>
      <c r="B168">
        <v>18.7139338</v>
      </c>
      <c r="C168">
        <v>9.0052840799999991</v>
      </c>
      <c r="E168" s="29">
        <f t="shared" si="2"/>
        <v>9.7086497200000004</v>
      </c>
      <c r="F168" s="30">
        <v>42825</v>
      </c>
    </row>
    <row r="169" spans="1:6" x14ac:dyDescent="0.3">
      <c r="A169" s="32" t="s">
        <v>1795</v>
      </c>
      <c r="B169">
        <v>19.520507299999998</v>
      </c>
      <c r="C169">
        <v>9.1797879699999996</v>
      </c>
      <c r="E169" s="29">
        <f t="shared" si="2"/>
        <v>10.340719329999999</v>
      </c>
      <c r="F169" s="30">
        <v>42826</v>
      </c>
    </row>
    <row r="170" spans="1:6" x14ac:dyDescent="0.3">
      <c r="A170" s="32" t="s">
        <v>1796</v>
      </c>
      <c r="B170">
        <v>19.324196300000001</v>
      </c>
      <c r="C170">
        <v>8.2028199500000003</v>
      </c>
      <c r="E170" s="29">
        <f t="shared" si="2"/>
        <v>11.12137635</v>
      </c>
      <c r="F170" s="30">
        <v>42827</v>
      </c>
    </row>
    <row r="171" spans="1:6" x14ac:dyDescent="0.3">
      <c r="A171" s="32" t="s">
        <v>1797</v>
      </c>
      <c r="B171">
        <v>19.511530100000002</v>
      </c>
      <c r="C171">
        <v>9.0335015900000002</v>
      </c>
      <c r="E171" s="29">
        <f t="shared" si="2"/>
        <v>10.478028510000001</v>
      </c>
      <c r="F171" s="30">
        <v>42828</v>
      </c>
    </row>
    <row r="172" spans="1:6" x14ac:dyDescent="0.3">
      <c r="A172" s="32" t="s">
        <v>1798</v>
      </c>
      <c r="B172">
        <v>20.858788199999999</v>
      </c>
      <c r="C172">
        <v>8.6691080199999995</v>
      </c>
      <c r="E172" s="29">
        <f t="shared" si="2"/>
        <v>12.18968018</v>
      </c>
      <c r="F172" s="30">
        <v>42829</v>
      </c>
    </row>
    <row r="173" spans="1:6" x14ac:dyDescent="0.3">
      <c r="A173" s="32" t="s">
        <v>1799</v>
      </c>
      <c r="B173">
        <v>20.318457299999999</v>
      </c>
      <c r="C173">
        <v>9.5150748499999995</v>
      </c>
      <c r="E173" s="29">
        <f t="shared" si="2"/>
        <v>10.803382449999999</v>
      </c>
      <c r="F173" s="30">
        <v>42830</v>
      </c>
    </row>
    <row r="174" spans="1:6" x14ac:dyDescent="0.3">
      <c r="A174" s="32" t="s">
        <v>1800</v>
      </c>
      <c r="B174">
        <v>22.589311500000001</v>
      </c>
      <c r="C174">
        <v>0.16523866000000001</v>
      </c>
      <c r="E174" s="29">
        <f t="shared" si="2"/>
        <v>22.424072840000001</v>
      </c>
      <c r="F174" s="30">
        <v>42831</v>
      </c>
    </row>
    <row r="175" spans="1:6" x14ac:dyDescent="0.3">
      <c r="A175" s="32" t="s">
        <v>1801</v>
      </c>
      <c r="B175">
        <v>23.875113500000001</v>
      </c>
      <c r="C175">
        <v>8.4450082000000002</v>
      </c>
      <c r="E175" s="29">
        <f t="shared" si="2"/>
        <v>15.430105300000001</v>
      </c>
      <c r="F175" s="30">
        <v>42832</v>
      </c>
    </row>
    <row r="176" spans="1:6" x14ac:dyDescent="0.3">
      <c r="A176" s="32" t="s">
        <v>1802</v>
      </c>
      <c r="B176">
        <v>24.297646100000001</v>
      </c>
      <c r="C176">
        <v>8.0310112799999995</v>
      </c>
      <c r="E176" s="29">
        <f t="shared" si="2"/>
        <v>16.26663482</v>
      </c>
      <c r="F176" s="30">
        <v>42833</v>
      </c>
    </row>
    <row r="177" spans="1:6" x14ac:dyDescent="0.3">
      <c r="A177" s="32" t="s">
        <v>1803</v>
      </c>
      <c r="B177">
        <v>24.698445100000001</v>
      </c>
      <c r="C177">
        <v>7.6576936699999996</v>
      </c>
      <c r="E177" s="29">
        <f t="shared" si="2"/>
        <v>17.04075143</v>
      </c>
      <c r="F177" s="30">
        <v>42834</v>
      </c>
    </row>
    <row r="178" spans="1:6" x14ac:dyDescent="0.3">
      <c r="A178" s="32" t="s">
        <v>1804</v>
      </c>
      <c r="B178">
        <v>24.996436800000001</v>
      </c>
      <c r="C178">
        <v>8.1463093900000008</v>
      </c>
      <c r="E178" s="29">
        <f t="shared" si="2"/>
        <v>16.850127409999999</v>
      </c>
      <c r="F178" s="30">
        <v>42835</v>
      </c>
    </row>
    <row r="179" spans="1:6" x14ac:dyDescent="0.3">
      <c r="A179" s="32" t="s">
        <v>1805</v>
      </c>
      <c r="B179">
        <v>25.066401299999999</v>
      </c>
      <c r="C179">
        <v>8.9347415100000003</v>
      </c>
      <c r="E179" s="29">
        <f t="shared" si="2"/>
        <v>16.13165979</v>
      </c>
      <c r="F179" s="30">
        <v>42836</v>
      </c>
    </row>
    <row r="180" spans="1:6" x14ac:dyDescent="0.3">
      <c r="A180" s="32" t="s">
        <v>1806</v>
      </c>
      <c r="B180">
        <v>26.961769100000001</v>
      </c>
      <c r="C180">
        <v>0.17306494</v>
      </c>
      <c r="E180" s="29">
        <f t="shared" si="2"/>
        <v>26.788704160000002</v>
      </c>
      <c r="F180" s="30">
        <v>42837</v>
      </c>
    </row>
    <row r="181" spans="1:6" x14ac:dyDescent="0.3">
      <c r="A181" s="32" t="s">
        <v>1807</v>
      </c>
      <c r="B181">
        <v>26.530645799999999</v>
      </c>
      <c r="C181">
        <v>1.5520626500000001</v>
      </c>
      <c r="E181" s="29">
        <f t="shared" si="2"/>
        <v>24.978583149999999</v>
      </c>
      <c r="F181" s="30">
        <v>42838</v>
      </c>
    </row>
    <row r="182" spans="1:6" x14ac:dyDescent="0.3">
      <c r="A182" s="32" t="s">
        <v>1808</v>
      </c>
      <c r="B182">
        <v>26.309047700000001</v>
      </c>
      <c r="C182">
        <v>2.7605999099999998</v>
      </c>
      <c r="E182" s="29">
        <f t="shared" si="2"/>
        <v>23.548447790000001</v>
      </c>
      <c r="F182" s="30">
        <v>42839</v>
      </c>
    </row>
    <row r="183" spans="1:6" x14ac:dyDescent="0.3">
      <c r="A183" s="32" t="s">
        <v>1809</v>
      </c>
      <c r="B183">
        <v>25.838070800000001</v>
      </c>
      <c r="C183">
        <v>1.3036797499999999</v>
      </c>
      <c r="E183" s="29">
        <f t="shared" si="2"/>
        <v>24.53439105</v>
      </c>
      <c r="F183" s="30">
        <v>42840</v>
      </c>
    </row>
    <row r="184" spans="1:6" x14ac:dyDescent="0.3">
      <c r="A184" s="32" t="s">
        <v>1810</v>
      </c>
      <c r="B184">
        <v>26.887430200000001</v>
      </c>
      <c r="C184">
        <v>1.6003253399999999</v>
      </c>
      <c r="E184" s="29">
        <f t="shared" si="2"/>
        <v>25.287104859999999</v>
      </c>
      <c r="F184" s="30">
        <v>42841</v>
      </c>
    </row>
    <row r="185" spans="1:6" x14ac:dyDescent="0.3">
      <c r="A185" s="32" t="s">
        <v>1811</v>
      </c>
      <c r="B185">
        <v>27.3369815</v>
      </c>
      <c r="C185">
        <v>0.97784709000000003</v>
      </c>
      <c r="E185" s="29">
        <f t="shared" si="2"/>
        <v>26.359134409999999</v>
      </c>
      <c r="F185" s="30">
        <v>42842</v>
      </c>
    </row>
    <row r="186" spans="1:6" x14ac:dyDescent="0.3">
      <c r="A186" s="32" t="s">
        <v>1812</v>
      </c>
      <c r="B186">
        <v>28.3337392</v>
      </c>
      <c r="C186">
        <v>9.9425044800000002</v>
      </c>
      <c r="E186" s="29">
        <f t="shared" si="2"/>
        <v>18.39123472</v>
      </c>
      <c r="F186" s="30">
        <v>42843</v>
      </c>
    </row>
    <row r="187" spans="1:6" x14ac:dyDescent="0.3">
      <c r="A187" s="32" t="s">
        <v>1813</v>
      </c>
      <c r="B187">
        <v>27.644624199999999</v>
      </c>
      <c r="C187">
        <v>0.61007568999999995</v>
      </c>
      <c r="E187" s="29">
        <f t="shared" si="2"/>
        <v>27.03454851</v>
      </c>
      <c r="F187" s="30">
        <v>42844</v>
      </c>
    </row>
    <row r="188" spans="1:6" x14ac:dyDescent="0.3">
      <c r="A188" s="32" t="s">
        <v>1814</v>
      </c>
      <c r="B188">
        <v>26.542518600000001</v>
      </c>
      <c r="C188">
        <v>2.3228520399999999</v>
      </c>
      <c r="E188" s="29">
        <f t="shared" si="2"/>
        <v>24.21966656</v>
      </c>
      <c r="F188" s="30">
        <v>42845</v>
      </c>
    </row>
    <row r="189" spans="1:6" x14ac:dyDescent="0.3">
      <c r="A189" s="32" t="s">
        <v>1815</v>
      </c>
      <c r="B189">
        <v>28.375755600000002</v>
      </c>
      <c r="C189">
        <v>1.42672343</v>
      </c>
      <c r="E189" s="29">
        <f t="shared" si="2"/>
        <v>26.949032170000002</v>
      </c>
      <c r="F189" s="30">
        <v>42846</v>
      </c>
    </row>
    <row r="190" spans="1:6" x14ac:dyDescent="0.3">
      <c r="A190" s="32" t="s">
        <v>1816</v>
      </c>
      <c r="B190">
        <v>29.9191693</v>
      </c>
      <c r="C190">
        <v>1.42174829</v>
      </c>
      <c r="E190" s="29">
        <f t="shared" si="2"/>
        <v>28.49742101</v>
      </c>
      <c r="F190" s="30">
        <v>42847</v>
      </c>
    </row>
    <row r="191" spans="1:6" x14ac:dyDescent="0.3">
      <c r="A191" s="32" t="s">
        <v>1817</v>
      </c>
      <c r="B191">
        <v>28.5356363</v>
      </c>
      <c r="C191">
        <v>0.93199465000000004</v>
      </c>
      <c r="E191" s="29">
        <f t="shared" si="2"/>
        <v>27.60364165</v>
      </c>
      <c r="F191" s="30">
        <v>42848</v>
      </c>
    </row>
    <row r="192" spans="1:6" x14ac:dyDescent="0.3">
      <c r="A192" s="32" t="s">
        <v>1818</v>
      </c>
      <c r="B192">
        <v>29.619019900000001</v>
      </c>
      <c r="C192">
        <v>0.69292586</v>
      </c>
      <c r="E192" s="29">
        <f t="shared" si="2"/>
        <v>28.926094040000002</v>
      </c>
      <c r="F192" s="30">
        <v>42849</v>
      </c>
    </row>
    <row r="193" spans="1:6" x14ac:dyDescent="0.3">
      <c r="A193" s="32" t="s">
        <v>1819</v>
      </c>
      <c r="B193">
        <v>27.773219300000001</v>
      </c>
      <c r="C193">
        <v>0.50789514999999996</v>
      </c>
      <c r="E193" s="29">
        <f t="shared" si="2"/>
        <v>27.265324150000001</v>
      </c>
      <c r="F193" s="30">
        <v>42850</v>
      </c>
    </row>
    <row r="194" spans="1:6" x14ac:dyDescent="0.3">
      <c r="A194" s="32" t="s">
        <v>1820</v>
      </c>
      <c r="B194">
        <v>28.289776100000001</v>
      </c>
      <c r="C194">
        <v>0.18095288000000001</v>
      </c>
      <c r="E194" s="29">
        <f t="shared" si="2"/>
        <v>28.108823220000001</v>
      </c>
      <c r="F194" s="30">
        <v>42851</v>
      </c>
    </row>
    <row r="195" spans="1:6" x14ac:dyDescent="0.3">
      <c r="A195" s="32" t="s">
        <v>1821</v>
      </c>
      <c r="B195">
        <v>29.543651400000002</v>
      </c>
      <c r="C195">
        <v>0.72587911999999999</v>
      </c>
      <c r="E195" s="29">
        <f t="shared" ref="E195:E258" si="3">B195-C195</f>
        <v>28.817772280000003</v>
      </c>
      <c r="F195" s="30">
        <v>42852</v>
      </c>
    </row>
    <row r="196" spans="1:6" x14ac:dyDescent="0.3">
      <c r="A196" s="32" t="s">
        <v>1822</v>
      </c>
      <c r="B196">
        <v>29.770083400000001</v>
      </c>
      <c r="C196">
        <v>1.5677289400000001</v>
      </c>
      <c r="E196" s="29">
        <f t="shared" si="3"/>
        <v>28.202354460000002</v>
      </c>
      <c r="F196" s="30">
        <v>42853</v>
      </c>
    </row>
    <row r="197" spans="1:6" x14ac:dyDescent="0.3">
      <c r="A197" s="32" t="s">
        <v>1823</v>
      </c>
      <c r="B197">
        <v>28.954752500000001</v>
      </c>
      <c r="C197">
        <v>1.8609058599999999</v>
      </c>
      <c r="E197" s="29">
        <f t="shared" si="3"/>
        <v>27.093846640000002</v>
      </c>
      <c r="F197" s="30">
        <v>42854</v>
      </c>
    </row>
    <row r="198" spans="1:6" x14ac:dyDescent="0.3">
      <c r="A198" s="32" t="s">
        <v>1824</v>
      </c>
      <c r="B198">
        <v>27.486270099999999</v>
      </c>
      <c r="C198">
        <v>1.8077053300000001</v>
      </c>
      <c r="E198" s="29">
        <f t="shared" si="3"/>
        <v>25.678564769999998</v>
      </c>
      <c r="F198" s="30">
        <v>42855</v>
      </c>
    </row>
    <row r="199" spans="1:6" x14ac:dyDescent="0.3">
      <c r="A199" s="32" t="s">
        <v>1825</v>
      </c>
      <c r="B199">
        <v>27.2260001</v>
      </c>
      <c r="C199">
        <v>1.24578005</v>
      </c>
      <c r="E199" s="29">
        <f t="shared" si="3"/>
        <v>25.98022005</v>
      </c>
      <c r="F199" s="30">
        <v>42856</v>
      </c>
    </row>
    <row r="200" spans="1:6" x14ac:dyDescent="0.3">
      <c r="A200" s="32" t="s">
        <v>1826</v>
      </c>
      <c r="B200">
        <v>27.1357556</v>
      </c>
      <c r="C200">
        <v>0.62471102000000001</v>
      </c>
      <c r="E200" s="29">
        <f t="shared" si="3"/>
        <v>26.51104458</v>
      </c>
      <c r="F200" s="30">
        <v>42857</v>
      </c>
    </row>
    <row r="201" spans="1:6" x14ac:dyDescent="0.3">
      <c r="A201" s="32" t="s">
        <v>1827</v>
      </c>
      <c r="B201">
        <v>27.040357</v>
      </c>
      <c r="C201">
        <v>1.13319368</v>
      </c>
      <c r="E201" s="29">
        <f t="shared" si="3"/>
        <v>25.907163319999999</v>
      </c>
      <c r="F201" s="30">
        <v>42858</v>
      </c>
    </row>
    <row r="202" spans="1:6" x14ac:dyDescent="0.3">
      <c r="A202" s="32" t="s">
        <v>1828</v>
      </c>
      <c r="B202">
        <v>25.8324663</v>
      </c>
      <c r="C202">
        <v>9.9495772700000007</v>
      </c>
      <c r="E202" s="29">
        <f t="shared" si="3"/>
        <v>15.882889029999999</v>
      </c>
      <c r="F202" s="30">
        <v>42859</v>
      </c>
    </row>
    <row r="203" spans="1:6" x14ac:dyDescent="0.3">
      <c r="A203" s="32" t="s">
        <v>1829</v>
      </c>
      <c r="B203">
        <v>25.6705629</v>
      </c>
      <c r="C203">
        <v>8.5398922099999997</v>
      </c>
      <c r="E203" s="29">
        <f t="shared" si="3"/>
        <v>17.130670690000002</v>
      </c>
      <c r="F203" s="30">
        <v>42860</v>
      </c>
    </row>
    <row r="204" spans="1:6" x14ac:dyDescent="0.3">
      <c r="A204" s="32" t="s">
        <v>1830</v>
      </c>
      <c r="B204">
        <v>25.038845299999998</v>
      </c>
      <c r="C204">
        <v>9.8193152000000001</v>
      </c>
      <c r="E204" s="29">
        <f t="shared" si="3"/>
        <v>15.219530099999998</v>
      </c>
      <c r="F204" s="30">
        <v>42861</v>
      </c>
    </row>
    <row r="205" spans="1:6" x14ac:dyDescent="0.3">
      <c r="A205" s="32" t="s">
        <v>1831</v>
      </c>
      <c r="B205">
        <v>25.069531900000001</v>
      </c>
      <c r="C205">
        <v>9.3423265799999999</v>
      </c>
      <c r="E205" s="29">
        <f t="shared" si="3"/>
        <v>15.727205320000001</v>
      </c>
      <c r="F205" s="30">
        <v>42862</v>
      </c>
    </row>
    <row r="206" spans="1:6" x14ac:dyDescent="0.3">
      <c r="A206" s="32" t="s">
        <v>1832</v>
      </c>
      <c r="B206">
        <v>26.0454984</v>
      </c>
      <c r="C206">
        <v>8.4900247899999997</v>
      </c>
      <c r="E206" s="29">
        <f t="shared" si="3"/>
        <v>17.55547361</v>
      </c>
      <c r="F206" s="30">
        <v>42863</v>
      </c>
    </row>
    <row r="207" spans="1:6" x14ac:dyDescent="0.3">
      <c r="A207" s="32" t="s">
        <v>1833</v>
      </c>
      <c r="B207">
        <v>26.2388206</v>
      </c>
      <c r="C207">
        <v>7.5939527</v>
      </c>
      <c r="E207" s="29">
        <f t="shared" si="3"/>
        <v>18.644867900000001</v>
      </c>
      <c r="F207" s="30">
        <v>42864</v>
      </c>
    </row>
    <row r="208" spans="1:6" x14ac:dyDescent="0.3">
      <c r="A208" s="32" t="s">
        <v>1834</v>
      </c>
      <c r="B208">
        <v>27.196602500000001</v>
      </c>
      <c r="C208">
        <v>6.7319651299999999</v>
      </c>
      <c r="E208" s="29">
        <f t="shared" si="3"/>
        <v>20.464637370000002</v>
      </c>
      <c r="F208" s="30">
        <v>42865</v>
      </c>
    </row>
    <row r="209" spans="1:6" x14ac:dyDescent="0.3">
      <c r="A209" s="32" t="s">
        <v>1835</v>
      </c>
      <c r="B209">
        <v>26.6804636</v>
      </c>
      <c r="C209">
        <v>8.7723724999999995</v>
      </c>
      <c r="E209" s="29">
        <f t="shared" si="3"/>
        <v>17.9080911</v>
      </c>
      <c r="F209" s="30">
        <v>42866</v>
      </c>
    </row>
    <row r="210" spans="1:6" x14ac:dyDescent="0.3">
      <c r="A210" s="32" t="s">
        <v>1836</v>
      </c>
      <c r="B210">
        <v>25.987328000000002</v>
      </c>
      <c r="C210">
        <v>8.8741595499999999</v>
      </c>
      <c r="E210" s="29">
        <f t="shared" si="3"/>
        <v>17.113168450000003</v>
      </c>
      <c r="F210" s="30">
        <v>42867</v>
      </c>
    </row>
    <row r="211" spans="1:6" x14ac:dyDescent="0.3">
      <c r="A211" s="32" t="s">
        <v>1837</v>
      </c>
      <c r="B211">
        <v>25.911287099999999</v>
      </c>
      <c r="C211">
        <v>9.2075769399999992</v>
      </c>
      <c r="E211" s="29">
        <f t="shared" si="3"/>
        <v>16.70371016</v>
      </c>
      <c r="F211" s="30">
        <v>42868</v>
      </c>
    </row>
    <row r="212" spans="1:6" x14ac:dyDescent="0.3">
      <c r="A212" s="32" t="s">
        <v>1838</v>
      </c>
      <c r="B212">
        <v>25.519597300000001</v>
      </c>
      <c r="C212">
        <v>8.9661044899999993</v>
      </c>
      <c r="E212" s="29">
        <f t="shared" si="3"/>
        <v>16.553492810000002</v>
      </c>
      <c r="F212" s="30">
        <v>42869</v>
      </c>
    </row>
    <row r="213" spans="1:6" x14ac:dyDescent="0.3">
      <c r="A213" s="32" t="s">
        <v>1839</v>
      </c>
      <c r="B213">
        <v>25.114464300000002</v>
      </c>
      <c r="C213">
        <v>0.45246237</v>
      </c>
      <c r="E213" s="29">
        <f t="shared" si="3"/>
        <v>24.662001930000002</v>
      </c>
      <c r="F213" s="30">
        <v>42870</v>
      </c>
    </row>
    <row r="214" spans="1:6" x14ac:dyDescent="0.3">
      <c r="A214" s="32" t="s">
        <v>1840</v>
      </c>
      <c r="B214">
        <v>24.2856722</v>
      </c>
      <c r="C214">
        <v>0.90374392000000003</v>
      </c>
      <c r="E214" s="29">
        <f t="shared" si="3"/>
        <v>23.38192828</v>
      </c>
      <c r="F214" s="30">
        <v>42871</v>
      </c>
    </row>
    <row r="215" spans="1:6" x14ac:dyDescent="0.3">
      <c r="A215" s="32" t="s">
        <v>1841</v>
      </c>
      <c r="B215">
        <v>25.944804000000001</v>
      </c>
      <c r="C215">
        <v>3.1721460299999999</v>
      </c>
      <c r="E215" s="29">
        <f t="shared" si="3"/>
        <v>22.772657970000001</v>
      </c>
      <c r="F215" s="30">
        <v>42872</v>
      </c>
    </row>
    <row r="216" spans="1:6" x14ac:dyDescent="0.3">
      <c r="A216" s="32" t="s">
        <v>1842</v>
      </c>
      <c r="B216">
        <v>27.251529600000001</v>
      </c>
      <c r="C216">
        <v>3.8640223200000001</v>
      </c>
      <c r="E216" s="29">
        <f t="shared" si="3"/>
        <v>23.387507280000001</v>
      </c>
      <c r="F216" s="30">
        <v>42873</v>
      </c>
    </row>
    <row r="217" spans="1:6" x14ac:dyDescent="0.3">
      <c r="A217" s="32" t="s">
        <v>1843</v>
      </c>
      <c r="B217">
        <v>28.210018699999999</v>
      </c>
      <c r="C217">
        <v>3.04352271</v>
      </c>
      <c r="E217" s="29">
        <f t="shared" si="3"/>
        <v>25.166495989999998</v>
      </c>
      <c r="F217" s="30">
        <v>42874</v>
      </c>
    </row>
    <row r="218" spans="1:6" x14ac:dyDescent="0.3">
      <c r="A218" s="32" t="s">
        <v>1844</v>
      </c>
      <c r="B218">
        <v>27.553342300000001</v>
      </c>
      <c r="C218">
        <v>1.7574800900000001</v>
      </c>
      <c r="E218" s="29">
        <f t="shared" si="3"/>
        <v>25.795862209999999</v>
      </c>
      <c r="F218" s="30">
        <v>42875</v>
      </c>
    </row>
    <row r="219" spans="1:6" x14ac:dyDescent="0.3">
      <c r="A219" s="32" t="s">
        <v>1845</v>
      </c>
      <c r="B219">
        <v>29.180947499999998</v>
      </c>
      <c r="C219">
        <v>2.8910086599999998</v>
      </c>
      <c r="E219" s="29">
        <f t="shared" si="3"/>
        <v>26.289938839999998</v>
      </c>
      <c r="F219" s="30">
        <v>42876</v>
      </c>
    </row>
    <row r="220" spans="1:6" x14ac:dyDescent="0.3">
      <c r="A220" s="32" t="s">
        <v>1846</v>
      </c>
      <c r="B220">
        <v>28.362981900000001</v>
      </c>
      <c r="C220">
        <v>1.20261839</v>
      </c>
      <c r="E220" s="29">
        <f t="shared" si="3"/>
        <v>27.16036351</v>
      </c>
      <c r="F220" s="30">
        <v>42877</v>
      </c>
    </row>
    <row r="221" spans="1:6" x14ac:dyDescent="0.3">
      <c r="A221" s="32" t="s">
        <v>1847</v>
      </c>
      <c r="B221">
        <v>29.402328700000002</v>
      </c>
      <c r="C221">
        <v>1.23990624</v>
      </c>
      <c r="E221" s="29">
        <f t="shared" si="3"/>
        <v>28.162422460000002</v>
      </c>
      <c r="F221" s="30">
        <v>42878</v>
      </c>
    </row>
    <row r="222" spans="1:6" x14ac:dyDescent="0.3">
      <c r="A222" s="32" t="s">
        <v>1848</v>
      </c>
      <c r="B222">
        <v>29.7096506</v>
      </c>
      <c r="C222">
        <v>0.15313303</v>
      </c>
      <c r="E222" s="29">
        <f t="shared" si="3"/>
        <v>29.55651757</v>
      </c>
      <c r="F222" s="30">
        <v>42879</v>
      </c>
    </row>
    <row r="223" spans="1:6" x14ac:dyDescent="0.3">
      <c r="A223" s="32" t="s">
        <v>1849</v>
      </c>
      <c r="B223">
        <v>30.801849000000001</v>
      </c>
      <c r="C223">
        <v>0.45992746000000001</v>
      </c>
      <c r="E223" s="29">
        <f t="shared" si="3"/>
        <v>30.341921540000001</v>
      </c>
      <c r="F223" s="30">
        <v>42880</v>
      </c>
    </row>
    <row r="224" spans="1:6" x14ac:dyDescent="0.3">
      <c r="A224" s="32" t="s">
        <v>1850</v>
      </c>
      <c r="B224">
        <v>30.3249545</v>
      </c>
      <c r="C224">
        <v>0.75475468000000001</v>
      </c>
      <c r="E224" s="29">
        <f t="shared" si="3"/>
        <v>29.570199819999999</v>
      </c>
      <c r="F224" s="30">
        <v>42881</v>
      </c>
    </row>
    <row r="225" spans="1:6" x14ac:dyDescent="0.3">
      <c r="A225" s="32" t="s">
        <v>1851</v>
      </c>
      <c r="B225">
        <v>30.901454699999999</v>
      </c>
      <c r="C225">
        <v>2.2670154899999999</v>
      </c>
      <c r="E225" s="29">
        <f t="shared" si="3"/>
        <v>28.63443921</v>
      </c>
      <c r="F225" s="30">
        <v>42882</v>
      </c>
    </row>
    <row r="226" spans="1:6" x14ac:dyDescent="0.3">
      <c r="A226" s="32" t="s">
        <v>1852</v>
      </c>
      <c r="B226">
        <v>30.207940000000001</v>
      </c>
      <c r="C226">
        <v>3.3220592899999999</v>
      </c>
      <c r="E226" s="29">
        <f t="shared" si="3"/>
        <v>26.885880710000002</v>
      </c>
      <c r="F226" s="30">
        <v>42883</v>
      </c>
    </row>
    <row r="227" spans="1:6" x14ac:dyDescent="0.3">
      <c r="A227" s="32" t="s">
        <v>1853</v>
      </c>
      <c r="B227">
        <v>28.6252092</v>
      </c>
      <c r="C227">
        <v>3.9926502199999998</v>
      </c>
      <c r="E227" s="29">
        <f t="shared" si="3"/>
        <v>24.632558979999999</v>
      </c>
      <c r="F227" s="30">
        <v>42884</v>
      </c>
    </row>
    <row r="228" spans="1:6" x14ac:dyDescent="0.3">
      <c r="A228" s="32" t="s">
        <v>1854</v>
      </c>
      <c r="B228">
        <v>27.810197500000001</v>
      </c>
      <c r="C228">
        <v>3.2922491699999998</v>
      </c>
      <c r="E228" s="29">
        <f t="shared" si="3"/>
        <v>24.517948330000003</v>
      </c>
      <c r="F228" s="30">
        <v>42885</v>
      </c>
    </row>
    <row r="229" spans="1:6" x14ac:dyDescent="0.3">
      <c r="A229" s="32" t="s">
        <v>1855</v>
      </c>
      <c r="B229">
        <v>28.286111699999999</v>
      </c>
      <c r="C229">
        <v>3.1845855599999999</v>
      </c>
      <c r="E229" s="29">
        <f t="shared" si="3"/>
        <v>25.101526140000001</v>
      </c>
      <c r="F229" s="30">
        <v>42886</v>
      </c>
    </row>
    <row r="230" spans="1:6" x14ac:dyDescent="0.3">
      <c r="A230" s="32" t="s">
        <v>1856</v>
      </c>
      <c r="B230">
        <v>29.459043300000001</v>
      </c>
      <c r="C230">
        <v>4.1358888299999998</v>
      </c>
      <c r="E230" s="29">
        <f t="shared" si="3"/>
        <v>25.323154470000002</v>
      </c>
      <c r="F230" s="30">
        <v>42887</v>
      </c>
    </row>
    <row r="231" spans="1:6" x14ac:dyDescent="0.3">
      <c r="A231" s="32" t="s">
        <v>1857</v>
      </c>
      <c r="B231">
        <v>30.0413435</v>
      </c>
      <c r="C231">
        <v>4.6898633500000004</v>
      </c>
      <c r="E231" s="29">
        <f t="shared" si="3"/>
        <v>25.35148015</v>
      </c>
      <c r="F231" s="30">
        <v>42888</v>
      </c>
    </row>
    <row r="232" spans="1:6" x14ac:dyDescent="0.3">
      <c r="A232" s="32" t="s">
        <v>1858</v>
      </c>
      <c r="B232">
        <v>30.184522099999999</v>
      </c>
      <c r="C232">
        <v>3.25106837</v>
      </c>
      <c r="E232" s="29">
        <f t="shared" si="3"/>
        <v>26.93345373</v>
      </c>
      <c r="F232" s="30">
        <v>42889</v>
      </c>
    </row>
    <row r="233" spans="1:6" x14ac:dyDescent="0.3">
      <c r="A233" s="32" t="s">
        <v>1859</v>
      </c>
      <c r="B233">
        <v>29.579682500000001</v>
      </c>
      <c r="C233">
        <v>2.5463118200000001</v>
      </c>
      <c r="E233" s="29">
        <f t="shared" si="3"/>
        <v>27.033370680000001</v>
      </c>
      <c r="F233" s="30">
        <v>42890</v>
      </c>
    </row>
    <row r="234" spans="1:6" x14ac:dyDescent="0.3">
      <c r="A234" s="32" t="s">
        <v>1860</v>
      </c>
      <c r="B234">
        <v>28.526500200000001</v>
      </c>
      <c r="C234">
        <v>3.52561905</v>
      </c>
      <c r="E234" s="29">
        <f t="shared" si="3"/>
        <v>25.000881150000001</v>
      </c>
      <c r="F234" s="30">
        <v>42891</v>
      </c>
    </row>
    <row r="235" spans="1:6" x14ac:dyDescent="0.3">
      <c r="A235" s="32" t="s">
        <v>1861</v>
      </c>
      <c r="B235">
        <v>27.415939099999999</v>
      </c>
      <c r="C235">
        <v>2.24348685</v>
      </c>
      <c r="E235" s="29">
        <f t="shared" si="3"/>
        <v>25.172452249999999</v>
      </c>
      <c r="F235" s="30">
        <v>42892</v>
      </c>
    </row>
    <row r="236" spans="1:6" x14ac:dyDescent="0.3">
      <c r="A236" s="32" t="s">
        <v>1862</v>
      </c>
      <c r="B236">
        <v>25.794145100000001</v>
      </c>
      <c r="C236">
        <v>2.8862405999999998</v>
      </c>
      <c r="E236" s="29">
        <f t="shared" si="3"/>
        <v>22.907904500000001</v>
      </c>
      <c r="F236" s="30">
        <v>42893</v>
      </c>
    </row>
    <row r="237" spans="1:6" x14ac:dyDescent="0.3">
      <c r="A237" s="32" t="s">
        <v>1863</v>
      </c>
      <c r="B237">
        <v>26.546649500000001</v>
      </c>
      <c r="C237">
        <v>4.2255645099999999</v>
      </c>
      <c r="E237" s="29">
        <f t="shared" si="3"/>
        <v>22.321084990000003</v>
      </c>
      <c r="F237" s="30">
        <v>42894</v>
      </c>
    </row>
    <row r="238" spans="1:6" x14ac:dyDescent="0.3">
      <c r="A238" s="32" t="s">
        <v>1864</v>
      </c>
      <c r="B238">
        <v>26.917214999999999</v>
      </c>
      <c r="C238">
        <v>3.7802095699999998</v>
      </c>
      <c r="E238" s="29">
        <f t="shared" si="3"/>
        <v>23.137005429999999</v>
      </c>
      <c r="F238" s="30">
        <v>42895</v>
      </c>
    </row>
    <row r="239" spans="1:6" x14ac:dyDescent="0.3">
      <c r="A239" s="32" t="s">
        <v>1865</v>
      </c>
      <c r="B239">
        <v>27.278406199999999</v>
      </c>
      <c r="C239">
        <v>2.42645993</v>
      </c>
      <c r="E239" s="29">
        <f t="shared" si="3"/>
        <v>24.851946269999999</v>
      </c>
      <c r="F239" s="30">
        <v>42896</v>
      </c>
    </row>
    <row r="240" spans="1:6" x14ac:dyDescent="0.3">
      <c r="A240" s="32" t="s">
        <v>1866</v>
      </c>
      <c r="B240">
        <v>28.143827300000002</v>
      </c>
      <c r="C240">
        <v>1.6828980099999999</v>
      </c>
      <c r="E240" s="29">
        <f t="shared" si="3"/>
        <v>26.460929290000003</v>
      </c>
      <c r="F240" s="30">
        <v>42897</v>
      </c>
    </row>
    <row r="241" spans="1:6" x14ac:dyDescent="0.3">
      <c r="A241" s="32" t="s">
        <v>1867</v>
      </c>
      <c r="B241">
        <v>29.524763</v>
      </c>
      <c r="C241">
        <v>0.95493070999999996</v>
      </c>
      <c r="E241" s="29">
        <f t="shared" si="3"/>
        <v>28.569832290000001</v>
      </c>
      <c r="F241" s="30">
        <v>42898</v>
      </c>
    </row>
    <row r="242" spans="1:6" x14ac:dyDescent="0.3">
      <c r="A242" s="32" t="s">
        <v>1868</v>
      </c>
      <c r="B242">
        <v>29.071210799999999</v>
      </c>
      <c r="C242">
        <v>1.8280862499999999</v>
      </c>
      <c r="E242" s="29">
        <f t="shared" si="3"/>
        <v>27.243124550000001</v>
      </c>
      <c r="F242" s="30">
        <v>42899</v>
      </c>
    </row>
    <row r="243" spans="1:6" x14ac:dyDescent="0.3">
      <c r="A243" s="32" t="s">
        <v>1869</v>
      </c>
      <c r="B243">
        <v>28.192927300000001</v>
      </c>
      <c r="C243">
        <v>9.7885290000000005</v>
      </c>
      <c r="E243" s="29">
        <f t="shared" si="3"/>
        <v>18.4043983</v>
      </c>
      <c r="F243" s="30">
        <v>42900</v>
      </c>
    </row>
    <row r="244" spans="1:6" x14ac:dyDescent="0.3">
      <c r="A244" s="32" t="s">
        <v>1870</v>
      </c>
      <c r="B244">
        <v>28.482099900000001</v>
      </c>
      <c r="C244">
        <v>8.4935556499999993</v>
      </c>
      <c r="E244" s="29">
        <f t="shared" si="3"/>
        <v>19.988544250000004</v>
      </c>
      <c r="F244" s="30">
        <v>42901</v>
      </c>
    </row>
    <row r="245" spans="1:6" x14ac:dyDescent="0.3">
      <c r="A245" s="32" t="s">
        <v>1871</v>
      </c>
      <c r="B245">
        <v>26.439978700000001</v>
      </c>
      <c r="C245">
        <v>7.9546497299999999</v>
      </c>
      <c r="E245" s="29">
        <f t="shared" si="3"/>
        <v>18.485328970000001</v>
      </c>
      <c r="F245" s="30">
        <v>42902</v>
      </c>
    </row>
    <row r="246" spans="1:6" x14ac:dyDescent="0.3">
      <c r="A246" s="32" t="s">
        <v>1872</v>
      </c>
      <c r="B246">
        <v>27.554142299999999</v>
      </c>
      <c r="C246">
        <v>8.6112175999999998</v>
      </c>
      <c r="E246" s="29">
        <f t="shared" si="3"/>
        <v>18.942924699999999</v>
      </c>
      <c r="F246" s="30">
        <v>42903</v>
      </c>
    </row>
    <row r="247" spans="1:6" x14ac:dyDescent="0.3">
      <c r="A247" s="32" t="s">
        <v>1873</v>
      </c>
      <c r="B247">
        <v>27.655063999999999</v>
      </c>
      <c r="C247">
        <v>7.6863134200000003</v>
      </c>
      <c r="E247" s="29">
        <f t="shared" si="3"/>
        <v>19.968750579999998</v>
      </c>
      <c r="F247" s="30">
        <v>42904</v>
      </c>
    </row>
    <row r="248" spans="1:6" x14ac:dyDescent="0.3">
      <c r="A248" s="32" t="s">
        <v>1874</v>
      </c>
      <c r="B248">
        <v>27.964759699999998</v>
      </c>
      <c r="C248">
        <v>6.7652649499999997</v>
      </c>
      <c r="E248" s="29">
        <f t="shared" si="3"/>
        <v>21.199494749999999</v>
      </c>
      <c r="F248" s="30">
        <v>42905</v>
      </c>
    </row>
    <row r="249" spans="1:6" x14ac:dyDescent="0.3">
      <c r="A249" s="32" t="s">
        <v>1875</v>
      </c>
      <c r="B249">
        <v>26.853986299999999</v>
      </c>
      <c r="C249">
        <v>7.2380007800000001</v>
      </c>
      <c r="E249" s="29">
        <f t="shared" si="3"/>
        <v>19.615985519999999</v>
      </c>
      <c r="F249" s="30">
        <v>42906</v>
      </c>
    </row>
    <row r="250" spans="1:6" x14ac:dyDescent="0.3">
      <c r="A250" s="32" t="s">
        <v>1876</v>
      </c>
      <c r="B250">
        <v>27.072403999999999</v>
      </c>
      <c r="C250">
        <v>7.0742809800000002</v>
      </c>
      <c r="E250" s="29">
        <f t="shared" si="3"/>
        <v>19.998123019999998</v>
      </c>
      <c r="F250" s="30">
        <v>42907</v>
      </c>
    </row>
    <row r="251" spans="1:6" x14ac:dyDescent="0.3">
      <c r="A251" s="32" t="s">
        <v>1877</v>
      </c>
      <c r="B251">
        <v>26.4840926</v>
      </c>
      <c r="C251">
        <v>7.5702277499999999</v>
      </c>
      <c r="E251" s="29">
        <f t="shared" si="3"/>
        <v>18.91386485</v>
      </c>
      <c r="F251" s="30">
        <v>42908</v>
      </c>
    </row>
    <row r="252" spans="1:6" x14ac:dyDescent="0.3">
      <c r="A252" s="32" t="s">
        <v>1878</v>
      </c>
      <c r="B252">
        <v>26.086849600000001</v>
      </c>
      <c r="C252">
        <v>6.3782070199999996</v>
      </c>
      <c r="E252" s="29">
        <f t="shared" si="3"/>
        <v>19.708642580000003</v>
      </c>
      <c r="F252" s="30">
        <v>42909</v>
      </c>
    </row>
    <row r="253" spans="1:6" x14ac:dyDescent="0.3">
      <c r="A253" s="32" t="s">
        <v>1879</v>
      </c>
      <c r="B253">
        <v>23.833666699999998</v>
      </c>
      <c r="C253">
        <v>5.90072639</v>
      </c>
      <c r="E253" s="29">
        <f t="shared" si="3"/>
        <v>17.932940309999999</v>
      </c>
      <c r="F253" s="30">
        <v>42910</v>
      </c>
    </row>
    <row r="254" spans="1:6" x14ac:dyDescent="0.3">
      <c r="A254" s="32" t="s">
        <v>1880</v>
      </c>
      <c r="B254">
        <v>22.7387215</v>
      </c>
      <c r="C254">
        <v>3.29816354</v>
      </c>
      <c r="E254" s="29">
        <f t="shared" si="3"/>
        <v>19.44055796</v>
      </c>
      <c r="F254" s="30">
        <v>42911</v>
      </c>
    </row>
    <row r="255" spans="1:6" x14ac:dyDescent="0.3">
      <c r="A255" s="32" t="s">
        <v>1881</v>
      </c>
      <c r="B255">
        <v>22.668777299999999</v>
      </c>
      <c r="C255">
        <v>4.0262881000000004</v>
      </c>
      <c r="E255" s="29">
        <f t="shared" si="3"/>
        <v>18.6424892</v>
      </c>
      <c r="F255" s="30">
        <v>42912</v>
      </c>
    </row>
    <row r="256" spans="1:6" x14ac:dyDescent="0.3">
      <c r="A256" s="32" t="s">
        <v>1882</v>
      </c>
      <c r="B256">
        <v>20.997438200000001</v>
      </c>
      <c r="C256">
        <v>4.2112895200000002</v>
      </c>
      <c r="E256" s="29">
        <f t="shared" si="3"/>
        <v>16.78614868</v>
      </c>
      <c r="F256" s="30">
        <v>42913</v>
      </c>
    </row>
    <row r="257" spans="1:6" x14ac:dyDescent="0.3">
      <c r="A257" s="32" t="s">
        <v>1883</v>
      </c>
      <c r="B257">
        <v>19.977335799999999</v>
      </c>
      <c r="C257">
        <v>3.3966927099999999</v>
      </c>
      <c r="E257" s="29">
        <f t="shared" si="3"/>
        <v>16.580643089999999</v>
      </c>
      <c r="F257" s="30">
        <v>42914</v>
      </c>
    </row>
    <row r="258" spans="1:6" x14ac:dyDescent="0.3">
      <c r="A258" s="32" t="s">
        <v>1884</v>
      </c>
      <c r="B258">
        <v>21.0527753</v>
      </c>
      <c r="C258">
        <v>2.8032144400000001</v>
      </c>
      <c r="E258" s="29">
        <f t="shared" si="3"/>
        <v>18.249560859999999</v>
      </c>
      <c r="F258" s="30">
        <v>42915</v>
      </c>
    </row>
    <row r="259" spans="1:6" x14ac:dyDescent="0.3">
      <c r="A259" s="32" t="s">
        <v>1885</v>
      </c>
      <c r="B259">
        <v>20.6581689</v>
      </c>
      <c r="C259">
        <v>2.1945024599999998</v>
      </c>
      <c r="E259" s="29">
        <f t="shared" ref="E259:E322" si="4">B259-C259</f>
        <v>18.463666440000001</v>
      </c>
      <c r="F259" s="30">
        <v>42916</v>
      </c>
    </row>
    <row r="260" spans="1:6" x14ac:dyDescent="0.3">
      <c r="A260" s="32" t="s">
        <v>1886</v>
      </c>
      <c r="B260">
        <v>20.023945600000001</v>
      </c>
      <c r="C260">
        <v>9.8981150699999993</v>
      </c>
      <c r="E260" s="29">
        <f t="shared" si="4"/>
        <v>10.125830530000002</v>
      </c>
      <c r="F260" s="30">
        <v>42917</v>
      </c>
    </row>
    <row r="261" spans="1:6" x14ac:dyDescent="0.3">
      <c r="A261" s="32" t="s">
        <v>1887</v>
      </c>
      <c r="B261">
        <v>20.984780000000001</v>
      </c>
      <c r="C261">
        <v>0.11163938</v>
      </c>
      <c r="E261" s="29">
        <f t="shared" si="4"/>
        <v>20.873140620000001</v>
      </c>
      <c r="F261" s="30">
        <v>42918</v>
      </c>
    </row>
    <row r="262" spans="1:6" x14ac:dyDescent="0.3">
      <c r="A262" s="32" t="s">
        <v>1888</v>
      </c>
      <c r="B262">
        <v>21.276897699999999</v>
      </c>
      <c r="C262">
        <v>8.4225841999999993</v>
      </c>
      <c r="E262" s="29">
        <f t="shared" si="4"/>
        <v>12.8543135</v>
      </c>
      <c r="F262" s="30">
        <v>42919</v>
      </c>
    </row>
    <row r="263" spans="1:6" x14ac:dyDescent="0.3">
      <c r="A263" s="32" t="s">
        <v>1889</v>
      </c>
      <c r="B263">
        <v>21.738869600000001</v>
      </c>
      <c r="C263">
        <v>9.1216343099999992</v>
      </c>
      <c r="E263" s="29">
        <f t="shared" si="4"/>
        <v>12.617235290000002</v>
      </c>
      <c r="F263" s="30">
        <v>42920</v>
      </c>
    </row>
    <row r="264" spans="1:6" x14ac:dyDescent="0.3">
      <c r="A264" s="32" t="s">
        <v>1890</v>
      </c>
      <c r="B264">
        <v>22.141920800000001</v>
      </c>
      <c r="C264">
        <v>8.5390756099999994</v>
      </c>
      <c r="E264" s="29">
        <f t="shared" si="4"/>
        <v>13.602845190000002</v>
      </c>
      <c r="F264" s="30">
        <v>42921</v>
      </c>
    </row>
    <row r="265" spans="1:6" x14ac:dyDescent="0.3">
      <c r="A265" s="32" t="s">
        <v>1891</v>
      </c>
      <c r="B265">
        <v>22.105531299999999</v>
      </c>
      <c r="C265">
        <v>7.2388266899999998</v>
      </c>
      <c r="E265" s="29">
        <f t="shared" si="4"/>
        <v>14.866704609999999</v>
      </c>
      <c r="F265" s="30">
        <v>42922</v>
      </c>
    </row>
    <row r="266" spans="1:6" x14ac:dyDescent="0.3">
      <c r="A266" s="32" t="s">
        <v>1892</v>
      </c>
      <c r="B266">
        <v>22.5644645</v>
      </c>
      <c r="C266">
        <v>7.0692993800000004</v>
      </c>
      <c r="E266" s="29">
        <f t="shared" si="4"/>
        <v>15.495165119999999</v>
      </c>
      <c r="F266" s="30">
        <v>42923</v>
      </c>
    </row>
    <row r="267" spans="1:6" x14ac:dyDescent="0.3">
      <c r="A267" s="32" t="s">
        <v>1893</v>
      </c>
      <c r="B267">
        <v>24.024144199999999</v>
      </c>
      <c r="C267">
        <v>7.0260239000000002</v>
      </c>
      <c r="E267" s="29">
        <f t="shared" si="4"/>
        <v>16.998120299999997</v>
      </c>
      <c r="F267" s="30">
        <v>42924</v>
      </c>
    </row>
    <row r="268" spans="1:6" x14ac:dyDescent="0.3">
      <c r="A268" s="32" t="s">
        <v>1894</v>
      </c>
      <c r="B268">
        <v>25.170676499999999</v>
      </c>
      <c r="C268">
        <v>6.3501764200000004</v>
      </c>
      <c r="E268" s="29">
        <f t="shared" si="4"/>
        <v>18.820500079999999</v>
      </c>
      <c r="F268" s="30">
        <v>42925</v>
      </c>
    </row>
    <row r="269" spans="1:6" x14ac:dyDescent="0.3">
      <c r="A269" s="32" t="s">
        <v>1895</v>
      </c>
      <c r="B269">
        <v>26.2499568</v>
      </c>
      <c r="C269">
        <v>6.5255630800000004</v>
      </c>
      <c r="E269" s="29">
        <f t="shared" si="4"/>
        <v>19.724393719999998</v>
      </c>
      <c r="F269" s="30">
        <v>42926</v>
      </c>
    </row>
    <row r="270" spans="1:6" x14ac:dyDescent="0.3">
      <c r="A270" s="32" t="s">
        <v>1896</v>
      </c>
      <c r="B270">
        <v>25.000531599999999</v>
      </c>
      <c r="C270">
        <v>7.3787559700000003</v>
      </c>
      <c r="E270" s="29">
        <f t="shared" si="4"/>
        <v>17.621775629999998</v>
      </c>
      <c r="F270" s="30">
        <v>42927</v>
      </c>
    </row>
    <row r="271" spans="1:6" x14ac:dyDescent="0.3">
      <c r="A271" s="32" t="s">
        <v>1897</v>
      </c>
      <c r="B271">
        <v>25.1064857</v>
      </c>
      <c r="C271">
        <v>7.5219562900000003</v>
      </c>
      <c r="E271" s="29">
        <f t="shared" si="4"/>
        <v>17.584529410000002</v>
      </c>
      <c r="F271" s="30">
        <v>42928</v>
      </c>
    </row>
    <row r="272" spans="1:6" x14ac:dyDescent="0.3">
      <c r="A272" s="32" t="s">
        <v>1898</v>
      </c>
      <c r="B272">
        <v>24.349384100000002</v>
      </c>
      <c r="C272">
        <v>7.4912602000000001</v>
      </c>
      <c r="E272" s="29">
        <f t="shared" si="4"/>
        <v>16.858123900000002</v>
      </c>
      <c r="F272" s="30">
        <v>42929</v>
      </c>
    </row>
    <row r="273" spans="1:6" x14ac:dyDescent="0.3">
      <c r="A273" s="32" t="s">
        <v>1899</v>
      </c>
      <c r="B273">
        <v>25.2302401</v>
      </c>
      <c r="C273">
        <v>7.5545143799999996</v>
      </c>
      <c r="E273" s="29">
        <f t="shared" si="4"/>
        <v>17.675725719999999</v>
      </c>
      <c r="F273" s="30">
        <v>42930</v>
      </c>
    </row>
    <row r="274" spans="1:6" x14ac:dyDescent="0.3">
      <c r="A274" s="32" t="s">
        <v>1900</v>
      </c>
      <c r="B274">
        <v>25.039330400000001</v>
      </c>
      <c r="C274">
        <v>8.4628165000000006</v>
      </c>
      <c r="E274" s="29">
        <f t="shared" si="4"/>
        <v>16.576513900000002</v>
      </c>
      <c r="F274" s="30">
        <v>42931</v>
      </c>
    </row>
    <row r="275" spans="1:6" x14ac:dyDescent="0.3">
      <c r="A275" s="32" t="s">
        <v>1901</v>
      </c>
      <c r="B275">
        <v>25.533660099999999</v>
      </c>
      <c r="C275">
        <v>7.3993427000000001</v>
      </c>
      <c r="E275" s="29">
        <f t="shared" si="4"/>
        <v>18.1343174</v>
      </c>
      <c r="F275" s="30">
        <v>42932</v>
      </c>
    </row>
    <row r="276" spans="1:6" x14ac:dyDescent="0.3">
      <c r="A276" s="32" t="s">
        <v>1902</v>
      </c>
      <c r="B276">
        <v>25.138166999999999</v>
      </c>
      <c r="C276">
        <v>7.7093607999999998</v>
      </c>
      <c r="E276" s="29">
        <f t="shared" si="4"/>
        <v>17.4288062</v>
      </c>
      <c r="F276" s="30">
        <v>42933</v>
      </c>
    </row>
    <row r="277" spans="1:6" x14ac:dyDescent="0.3">
      <c r="A277" s="32" t="s">
        <v>1903</v>
      </c>
      <c r="B277">
        <v>25.075146100000001</v>
      </c>
      <c r="C277">
        <v>6.1880562699999997</v>
      </c>
      <c r="E277" s="29">
        <f t="shared" si="4"/>
        <v>18.887089830000001</v>
      </c>
      <c r="F277" s="30">
        <v>42934</v>
      </c>
    </row>
    <row r="278" spans="1:6" x14ac:dyDescent="0.3">
      <c r="A278" s="32" t="s">
        <v>1904</v>
      </c>
      <c r="B278">
        <v>24.776344600000002</v>
      </c>
      <c r="C278">
        <v>6.4039180800000004</v>
      </c>
      <c r="E278" s="29">
        <f t="shared" si="4"/>
        <v>18.372426520000001</v>
      </c>
      <c r="F278" s="30">
        <v>42935</v>
      </c>
    </row>
    <row r="279" spans="1:6" x14ac:dyDescent="0.3">
      <c r="A279" s="32" t="s">
        <v>1905</v>
      </c>
      <c r="B279">
        <v>25.069427300000001</v>
      </c>
      <c r="C279">
        <v>6.2510316799999996</v>
      </c>
      <c r="E279" s="29">
        <f t="shared" si="4"/>
        <v>18.81839562</v>
      </c>
      <c r="F279" s="30">
        <v>42936</v>
      </c>
    </row>
    <row r="280" spans="1:6" x14ac:dyDescent="0.3">
      <c r="A280" s="32" t="s">
        <v>1906</v>
      </c>
      <c r="B280">
        <v>24.484757500000001</v>
      </c>
      <c r="C280">
        <v>5.6637857299999999</v>
      </c>
      <c r="E280" s="29">
        <f t="shared" si="4"/>
        <v>18.82097177</v>
      </c>
      <c r="F280" s="30">
        <v>42937</v>
      </c>
    </row>
    <row r="281" spans="1:6" x14ac:dyDescent="0.3">
      <c r="A281" s="32" t="s">
        <v>1907</v>
      </c>
      <c r="B281">
        <v>22.074112599999999</v>
      </c>
      <c r="C281">
        <v>6.3003619899999999</v>
      </c>
      <c r="E281" s="29">
        <f t="shared" si="4"/>
        <v>15.77375061</v>
      </c>
      <c r="F281" s="30">
        <v>42938</v>
      </c>
    </row>
    <row r="282" spans="1:6" x14ac:dyDescent="0.3">
      <c r="A282" s="32" t="s">
        <v>1908</v>
      </c>
      <c r="B282">
        <v>21.915394599999999</v>
      </c>
      <c r="C282">
        <v>5.6762842600000001</v>
      </c>
      <c r="E282" s="29">
        <f t="shared" si="4"/>
        <v>16.23911034</v>
      </c>
      <c r="F282" s="30">
        <v>42939</v>
      </c>
    </row>
    <row r="283" spans="1:6" x14ac:dyDescent="0.3">
      <c r="A283" s="32" t="s">
        <v>1909</v>
      </c>
      <c r="B283">
        <v>20.144083800000001</v>
      </c>
      <c r="C283">
        <v>5.09392172</v>
      </c>
      <c r="E283" s="29">
        <f t="shared" si="4"/>
        <v>15.05016208</v>
      </c>
      <c r="F283" s="30">
        <v>42940</v>
      </c>
    </row>
    <row r="284" spans="1:6" x14ac:dyDescent="0.3">
      <c r="A284" s="32" t="s">
        <v>1910</v>
      </c>
      <c r="B284">
        <v>20.520625800000001</v>
      </c>
      <c r="C284">
        <v>4.7762359999999999</v>
      </c>
      <c r="E284" s="29">
        <f t="shared" si="4"/>
        <v>15.7443898</v>
      </c>
      <c r="F284" s="30">
        <v>42941</v>
      </c>
    </row>
    <row r="285" spans="1:6" x14ac:dyDescent="0.3">
      <c r="A285" s="32" t="s">
        <v>1911</v>
      </c>
      <c r="B285">
        <v>19.1983557</v>
      </c>
      <c r="C285">
        <v>5.5883566599999996</v>
      </c>
      <c r="E285" s="29">
        <f t="shared" si="4"/>
        <v>13.609999040000002</v>
      </c>
      <c r="F285" s="30">
        <v>42942</v>
      </c>
    </row>
    <row r="286" spans="1:6" x14ac:dyDescent="0.3">
      <c r="A286" s="32" t="s">
        <v>1912</v>
      </c>
      <c r="B286">
        <v>19.6901276</v>
      </c>
      <c r="C286">
        <v>5.4039928899999996</v>
      </c>
      <c r="E286" s="29">
        <f t="shared" si="4"/>
        <v>14.286134710000001</v>
      </c>
      <c r="F286" s="30">
        <v>42943</v>
      </c>
    </row>
    <row r="287" spans="1:6" x14ac:dyDescent="0.3">
      <c r="A287" s="32" t="s">
        <v>1913</v>
      </c>
      <c r="B287">
        <v>18.7947153</v>
      </c>
      <c r="C287">
        <v>5.5132882099999998</v>
      </c>
      <c r="E287" s="29">
        <f t="shared" si="4"/>
        <v>13.281427090000001</v>
      </c>
      <c r="F287" s="30">
        <v>42944</v>
      </c>
    </row>
    <row r="288" spans="1:6" x14ac:dyDescent="0.3">
      <c r="A288" s="32" t="s">
        <v>1914</v>
      </c>
      <c r="B288">
        <v>18.926476000000001</v>
      </c>
      <c r="C288">
        <v>6.1303982499999998</v>
      </c>
      <c r="E288" s="29">
        <f t="shared" si="4"/>
        <v>12.796077750000002</v>
      </c>
      <c r="F288" s="30">
        <v>42945</v>
      </c>
    </row>
    <row r="289" spans="1:6" x14ac:dyDescent="0.3">
      <c r="A289" s="32" t="s">
        <v>1915</v>
      </c>
      <c r="B289">
        <v>18.6935094</v>
      </c>
      <c r="C289">
        <v>7.0113450100000003</v>
      </c>
      <c r="E289" s="29">
        <f t="shared" si="4"/>
        <v>11.682164390000001</v>
      </c>
      <c r="F289" s="30">
        <v>42946</v>
      </c>
    </row>
    <row r="290" spans="1:6" x14ac:dyDescent="0.3">
      <c r="A290" s="32" t="s">
        <v>1916</v>
      </c>
      <c r="B290">
        <v>17.028724400000002</v>
      </c>
      <c r="C290">
        <v>7.1346360400000002</v>
      </c>
      <c r="E290" s="29">
        <f t="shared" si="4"/>
        <v>9.8940883600000014</v>
      </c>
      <c r="F290" s="30">
        <v>42947</v>
      </c>
    </row>
    <row r="291" spans="1:6" x14ac:dyDescent="0.3">
      <c r="A291" s="32" t="s">
        <v>1917</v>
      </c>
      <c r="B291">
        <v>17.6095544</v>
      </c>
      <c r="C291">
        <v>5.5138784000000003</v>
      </c>
      <c r="E291" s="29">
        <f t="shared" si="4"/>
        <v>12.095676000000001</v>
      </c>
      <c r="F291" s="30">
        <v>42948</v>
      </c>
    </row>
    <row r="292" spans="1:6" x14ac:dyDescent="0.3">
      <c r="A292" s="32" t="s">
        <v>1918</v>
      </c>
      <c r="B292">
        <v>18.483969699999999</v>
      </c>
      <c r="C292">
        <v>5.1904614200000001</v>
      </c>
      <c r="E292" s="29">
        <f t="shared" si="4"/>
        <v>13.293508279999999</v>
      </c>
      <c r="F292" s="30">
        <v>42949</v>
      </c>
    </row>
    <row r="293" spans="1:6" x14ac:dyDescent="0.3">
      <c r="A293" s="32" t="s">
        <v>1919</v>
      </c>
      <c r="B293">
        <v>18.072838399999998</v>
      </c>
      <c r="C293">
        <v>4.5055218500000001</v>
      </c>
      <c r="E293" s="29">
        <f t="shared" si="4"/>
        <v>13.567316549999997</v>
      </c>
      <c r="F293" s="30">
        <v>42950</v>
      </c>
    </row>
    <row r="294" spans="1:6" x14ac:dyDescent="0.3">
      <c r="A294" s="32" t="s">
        <v>1920</v>
      </c>
      <c r="B294">
        <v>18.569004899999999</v>
      </c>
      <c r="C294">
        <v>5.3488846499999996</v>
      </c>
      <c r="E294" s="29">
        <f t="shared" si="4"/>
        <v>13.220120250000001</v>
      </c>
      <c r="F294" s="30">
        <v>42951</v>
      </c>
    </row>
    <row r="295" spans="1:6" x14ac:dyDescent="0.3">
      <c r="A295" s="32" t="s">
        <v>1921</v>
      </c>
      <c r="B295">
        <v>19.375990300000002</v>
      </c>
      <c r="C295">
        <v>4.9587057999999997</v>
      </c>
      <c r="E295" s="29">
        <f t="shared" si="4"/>
        <v>14.417284500000001</v>
      </c>
      <c r="F295" s="30">
        <v>42952</v>
      </c>
    </row>
    <row r="296" spans="1:6" x14ac:dyDescent="0.3">
      <c r="A296" s="32" t="s">
        <v>1922</v>
      </c>
      <c r="B296">
        <v>20.626731899999999</v>
      </c>
      <c r="C296">
        <v>4.7385684100000001</v>
      </c>
      <c r="E296" s="29">
        <f t="shared" si="4"/>
        <v>15.88816349</v>
      </c>
      <c r="F296" s="30">
        <v>42953</v>
      </c>
    </row>
    <row r="297" spans="1:6" x14ac:dyDescent="0.3">
      <c r="A297" s="32" t="s">
        <v>1923</v>
      </c>
      <c r="B297">
        <v>21.132542999999998</v>
      </c>
      <c r="C297">
        <v>6.7968358799999997</v>
      </c>
      <c r="E297" s="29">
        <f t="shared" si="4"/>
        <v>14.335707119999999</v>
      </c>
      <c r="F297" s="30">
        <v>42954</v>
      </c>
    </row>
    <row r="298" spans="1:6" x14ac:dyDescent="0.3">
      <c r="A298" s="32" t="s">
        <v>1924</v>
      </c>
      <c r="B298">
        <v>19.968414899999999</v>
      </c>
      <c r="C298">
        <v>6.43770928</v>
      </c>
      <c r="E298" s="29">
        <f t="shared" si="4"/>
        <v>13.530705619999999</v>
      </c>
      <c r="F298" s="30">
        <v>42955</v>
      </c>
    </row>
    <row r="299" spans="1:6" x14ac:dyDescent="0.3">
      <c r="A299" s="32" t="s">
        <v>1925</v>
      </c>
      <c r="B299">
        <v>19.250447399999999</v>
      </c>
      <c r="C299">
        <v>7.6363423299999997</v>
      </c>
      <c r="E299" s="29">
        <f t="shared" si="4"/>
        <v>11.614105069999999</v>
      </c>
      <c r="F299" s="30">
        <v>42956</v>
      </c>
    </row>
    <row r="300" spans="1:6" x14ac:dyDescent="0.3">
      <c r="A300" s="32" t="s">
        <v>1926</v>
      </c>
      <c r="B300">
        <v>20.352681499999999</v>
      </c>
      <c r="C300">
        <v>5.4463636700000002</v>
      </c>
      <c r="E300" s="29">
        <f t="shared" si="4"/>
        <v>14.906317829999999</v>
      </c>
      <c r="F300" s="30">
        <v>42957</v>
      </c>
    </row>
    <row r="301" spans="1:6" x14ac:dyDescent="0.3">
      <c r="A301" s="32" t="s">
        <v>1927</v>
      </c>
      <c r="B301">
        <v>21.164710899999999</v>
      </c>
      <c r="C301">
        <v>4.7158016600000003</v>
      </c>
      <c r="E301" s="29">
        <f t="shared" si="4"/>
        <v>16.448909239999999</v>
      </c>
      <c r="F301" s="30">
        <v>42958</v>
      </c>
    </row>
    <row r="302" spans="1:6" x14ac:dyDescent="0.3">
      <c r="A302" s="32" t="s">
        <v>1928</v>
      </c>
      <c r="B302">
        <v>18.862988000000001</v>
      </c>
      <c r="C302">
        <v>5.4899514199999997</v>
      </c>
      <c r="E302" s="29">
        <f t="shared" si="4"/>
        <v>13.373036580000001</v>
      </c>
      <c r="F302" s="30">
        <v>42959</v>
      </c>
    </row>
    <row r="303" spans="1:6" x14ac:dyDescent="0.3">
      <c r="A303" s="32" t="s">
        <v>1929</v>
      </c>
      <c r="B303">
        <v>20.806670499999999</v>
      </c>
      <c r="C303">
        <v>5.4744186800000003</v>
      </c>
      <c r="E303" s="29">
        <f t="shared" si="4"/>
        <v>15.33225182</v>
      </c>
      <c r="F303" s="30">
        <v>42960</v>
      </c>
    </row>
    <row r="304" spans="1:6" x14ac:dyDescent="0.3">
      <c r="A304" s="32" t="s">
        <v>1930</v>
      </c>
      <c r="B304">
        <v>21.055859999999999</v>
      </c>
      <c r="C304">
        <v>6.1285010099999999</v>
      </c>
      <c r="E304" s="29">
        <f t="shared" si="4"/>
        <v>14.927358989999998</v>
      </c>
      <c r="F304" s="30">
        <v>42961</v>
      </c>
    </row>
    <row r="305" spans="1:6" x14ac:dyDescent="0.3">
      <c r="A305" s="32" t="s">
        <v>1931</v>
      </c>
      <c r="B305">
        <v>21.1717811</v>
      </c>
      <c r="C305">
        <v>5.7651084099999999</v>
      </c>
      <c r="E305" s="29">
        <f t="shared" si="4"/>
        <v>15.406672690000001</v>
      </c>
      <c r="F305" s="30">
        <v>42962</v>
      </c>
    </row>
    <row r="306" spans="1:6" x14ac:dyDescent="0.3">
      <c r="A306" s="32" t="s">
        <v>1932</v>
      </c>
      <c r="B306">
        <v>22.5611909</v>
      </c>
      <c r="C306">
        <v>6.3588866099999999</v>
      </c>
      <c r="E306" s="29">
        <f t="shared" si="4"/>
        <v>16.202304290000001</v>
      </c>
      <c r="F306" s="30">
        <v>42963</v>
      </c>
    </row>
    <row r="307" spans="1:6" x14ac:dyDescent="0.3">
      <c r="A307" s="32" t="s">
        <v>1933</v>
      </c>
      <c r="B307">
        <v>22.9555574</v>
      </c>
      <c r="C307">
        <v>5.1721541599999998</v>
      </c>
      <c r="E307" s="29">
        <f t="shared" si="4"/>
        <v>17.783403239999998</v>
      </c>
      <c r="F307" s="30">
        <v>42964</v>
      </c>
    </row>
    <row r="308" spans="1:6" x14ac:dyDescent="0.3">
      <c r="A308" s="32" t="s">
        <v>1934</v>
      </c>
      <c r="B308">
        <v>23.326810200000001</v>
      </c>
      <c r="C308">
        <v>5.8616460300000002</v>
      </c>
      <c r="E308" s="29">
        <f t="shared" si="4"/>
        <v>17.465164170000001</v>
      </c>
      <c r="F308" s="30">
        <v>42965</v>
      </c>
    </row>
    <row r="309" spans="1:6" x14ac:dyDescent="0.3">
      <c r="A309" s="32" t="s">
        <v>1935</v>
      </c>
      <c r="B309">
        <v>23.996516700000001</v>
      </c>
      <c r="C309">
        <v>5.9721859999999998</v>
      </c>
      <c r="E309" s="29">
        <f t="shared" si="4"/>
        <v>18.0243307</v>
      </c>
      <c r="F309" s="30">
        <v>42966</v>
      </c>
    </row>
    <row r="310" spans="1:6" x14ac:dyDescent="0.3">
      <c r="A310" s="32" t="s">
        <v>1936</v>
      </c>
      <c r="B310">
        <v>23.162870099999999</v>
      </c>
      <c r="C310">
        <v>7.0019570099999999</v>
      </c>
      <c r="E310" s="29">
        <f t="shared" si="4"/>
        <v>16.160913090000001</v>
      </c>
      <c r="F310" s="30">
        <v>42967</v>
      </c>
    </row>
    <row r="311" spans="1:6" x14ac:dyDescent="0.3">
      <c r="A311" s="32" t="s">
        <v>1937</v>
      </c>
      <c r="B311">
        <v>24.5762216</v>
      </c>
      <c r="C311">
        <v>7.2576983000000004</v>
      </c>
      <c r="E311" s="29">
        <f t="shared" si="4"/>
        <v>17.318523299999999</v>
      </c>
      <c r="F311" s="30">
        <v>42968</v>
      </c>
    </row>
    <row r="312" spans="1:6" x14ac:dyDescent="0.3">
      <c r="A312" s="32" t="s">
        <v>1938</v>
      </c>
      <c r="B312">
        <v>23.580773300000001</v>
      </c>
      <c r="C312">
        <v>8.01289622</v>
      </c>
      <c r="E312" s="29">
        <f t="shared" si="4"/>
        <v>15.567877080000001</v>
      </c>
      <c r="F312" s="30">
        <v>42969</v>
      </c>
    </row>
    <row r="313" spans="1:6" x14ac:dyDescent="0.3">
      <c r="A313" s="32" t="s">
        <v>1939</v>
      </c>
      <c r="B313">
        <v>23.459286899999999</v>
      </c>
      <c r="C313">
        <v>8.29658315</v>
      </c>
      <c r="E313" s="29">
        <f t="shared" si="4"/>
        <v>15.162703749999999</v>
      </c>
      <c r="F313" s="30">
        <v>42970</v>
      </c>
    </row>
    <row r="314" spans="1:6" x14ac:dyDescent="0.3">
      <c r="A314" s="32" t="s">
        <v>1940</v>
      </c>
      <c r="B314">
        <v>23.5565259</v>
      </c>
      <c r="C314">
        <v>9.9166695600000008</v>
      </c>
      <c r="E314" s="29">
        <f t="shared" si="4"/>
        <v>13.63985634</v>
      </c>
      <c r="F314" s="30">
        <v>42971</v>
      </c>
    </row>
    <row r="315" spans="1:6" x14ac:dyDescent="0.3">
      <c r="A315" s="32" t="s">
        <v>1941</v>
      </c>
      <c r="B315">
        <v>24.131652299999999</v>
      </c>
      <c r="C315">
        <v>0.51493215000000003</v>
      </c>
      <c r="E315" s="29">
        <f t="shared" si="4"/>
        <v>23.616720149999999</v>
      </c>
      <c r="F315" s="30">
        <v>42972</v>
      </c>
    </row>
    <row r="316" spans="1:6" x14ac:dyDescent="0.3">
      <c r="A316" s="32" t="s">
        <v>1942</v>
      </c>
      <c r="B316">
        <v>23.027130499999998</v>
      </c>
      <c r="C316">
        <v>0.66440370000000004</v>
      </c>
      <c r="E316" s="29">
        <f t="shared" si="4"/>
        <v>22.362726799999997</v>
      </c>
      <c r="F316" s="30">
        <v>42973</v>
      </c>
    </row>
    <row r="317" spans="1:6" x14ac:dyDescent="0.3">
      <c r="A317" s="32" t="s">
        <v>1943</v>
      </c>
      <c r="B317">
        <v>23.591850300000001</v>
      </c>
      <c r="C317">
        <v>0.84511464000000003</v>
      </c>
      <c r="E317" s="29">
        <f t="shared" si="4"/>
        <v>22.746735660000002</v>
      </c>
      <c r="F317" s="30">
        <v>42974</v>
      </c>
    </row>
    <row r="318" spans="1:6" x14ac:dyDescent="0.3">
      <c r="A318" s="32" t="s">
        <v>1944</v>
      </c>
      <c r="B318">
        <v>25.694380800000001</v>
      </c>
      <c r="C318">
        <v>9.51306501</v>
      </c>
      <c r="E318" s="29">
        <f t="shared" si="4"/>
        <v>16.181315789999999</v>
      </c>
      <c r="F318" s="30">
        <v>42975</v>
      </c>
    </row>
    <row r="319" spans="1:6" x14ac:dyDescent="0.3">
      <c r="A319" s="32" t="s">
        <v>1945</v>
      </c>
      <c r="B319">
        <v>24.782578999999998</v>
      </c>
      <c r="C319">
        <v>9.7032974099999993</v>
      </c>
      <c r="E319" s="29">
        <f t="shared" si="4"/>
        <v>15.079281589999999</v>
      </c>
      <c r="F319" s="30">
        <v>42976</v>
      </c>
    </row>
    <row r="320" spans="1:6" x14ac:dyDescent="0.3">
      <c r="A320" s="32" t="s">
        <v>1946</v>
      </c>
      <c r="B320">
        <v>25.359396700000001</v>
      </c>
      <c r="C320">
        <v>9.5739328399999994</v>
      </c>
      <c r="E320" s="29">
        <f t="shared" si="4"/>
        <v>15.785463860000002</v>
      </c>
      <c r="F320" s="30">
        <v>42977</v>
      </c>
    </row>
    <row r="321" spans="1:6" x14ac:dyDescent="0.3">
      <c r="A321" s="32" t="s">
        <v>1947</v>
      </c>
      <c r="B321">
        <v>24.375835899999998</v>
      </c>
      <c r="C321">
        <v>9.7566629299999992</v>
      </c>
      <c r="E321" s="29">
        <f t="shared" si="4"/>
        <v>14.619172969999999</v>
      </c>
      <c r="F321" s="30">
        <v>42978</v>
      </c>
    </row>
    <row r="322" spans="1:6" x14ac:dyDescent="0.3">
      <c r="A322" s="32" t="s">
        <v>1948</v>
      </c>
      <c r="B322">
        <v>23.8121522</v>
      </c>
      <c r="C322">
        <v>9.1908321300000004</v>
      </c>
      <c r="E322" s="29">
        <f t="shared" si="4"/>
        <v>14.621320069999999</v>
      </c>
      <c r="F322" s="30">
        <v>42979</v>
      </c>
    </row>
    <row r="323" spans="1:6" x14ac:dyDescent="0.3">
      <c r="A323" s="32" t="s">
        <v>1949</v>
      </c>
      <c r="B323">
        <v>23.697477599999999</v>
      </c>
      <c r="C323">
        <v>9.7835325799999993</v>
      </c>
      <c r="E323" s="29">
        <f t="shared" ref="E323:E333" si="5">B323-C323</f>
        <v>13.91394502</v>
      </c>
      <c r="F323" s="30">
        <v>42980</v>
      </c>
    </row>
    <row r="324" spans="1:6" x14ac:dyDescent="0.3">
      <c r="A324" s="32" t="s">
        <v>1950</v>
      </c>
      <c r="B324">
        <v>23.409514099999999</v>
      </c>
      <c r="C324">
        <v>9.2441376799999997</v>
      </c>
      <c r="E324" s="29">
        <f t="shared" si="5"/>
        <v>14.165376419999999</v>
      </c>
      <c r="F324" s="30">
        <v>42981</v>
      </c>
    </row>
    <row r="325" spans="1:6" x14ac:dyDescent="0.3">
      <c r="A325" s="32" t="s">
        <v>1951</v>
      </c>
      <c r="B325">
        <v>22.430546799999998</v>
      </c>
      <c r="C325">
        <v>1.03211221</v>
      </c>
      <c r="E325" s="29">
        <f t="shared" si="5"/>
        <v>21.398434589999997</v>
      </c>
      <c r="F325" s="30">
        <v>42982</v>
      </c>
    </row>
    <row r="326" spans="1:6" x14ac:dyDescent="0.3">
      <c r="A326" s="32" t="s">
        <v>1952</v>
      </c>
      <c r="B326">
        <v>22.346540300000001</v>
      </c>
      <c r="C326">
        <v>9.4617179100000008</v>
      </c>
      <c r="E326" s="29">
        <f t="shared" si="5"/>
        <v>12.88482239</v>
      </c>
      <c r="F326" s="30">
        <v>42983</v>
      </c>
    </row>
    <row r="327" spans="1:6" x14ac:dyDescent="0.3">
      <c r="A327" s="32" t="s">
        <v>1953</v>
      </c>
      <c r="B327">
        <v>21.269469999999998</v>
      </c>
      <c r="C327">
        <v>9.4132431800000003</v>
      </c>
      <c r="E327" s="29">
        <f t="shared" si="5"/>
        <v>11.856226819999998</v>
      </c>
      <c r="F327" s="30">
        <v>42984</v>
      </c>
    </row>
    <row r="328" spans="1:6" x14ac:dyDescent="0.3">
      <c r="A328" s="32" t="s">
        <v>1954</v>
      </c>
      <c r="B328">
        <v>20.995419500000001</v>
      </c>
      <c r="C328">
        <v>9.7264962199999996</v>
      </c>
      <c r="E328" s="29">
        <f t="shared" si="5"/>
        <v>11.268923280000001</v>
      </c>
      <c r="F328" s="30">
        <v>42985</v>
      </c>
    </row>
    <row r="329" spans="1:6" x14ac:dyDescent="0.3">
      <c r="A329" s="32" t="s">
        <v>1955</v>
      </c>
      <c r="B329">
        <v>21.035243399999999</v>
      </c>
      <c r="C329">
        <v>9.3472730300000002</v>
      </c>
      <c r="E329" s="29">
        <f t="shared" si="5"/>
        <v>11.687970369999999</v>
      </c>
      <c r="F329" s="30">
        <v>42986</v>
      </c>
    </row>
    <row r="330" spans="1:6" x14ac:dyDescent="0.3">
      <c r="A330" s="32" t="s">
        <v>1956</v>
      </c>
      <c r="B330">
        <v>21.443730500000001</v>
      </c>
      <c r="C330">
        <v>9.9246657500000008</v>
      </c>
      <c r="E330" s="29">
        <f t="shared" si="5"/>
        <v>11.51906475</v>
      </c>
      <c r="F330" s="30">
        <v>42987</v>
      </c>
    </row>
    <row r="331" spans="1:6" x14ac:dyDescent="0.3">
      <c r="A331" s="32" t="s">
        <v>1957</v>
      </c>
      <c r="B331">
        <v>19.7312251</v>
      </c>
      <c r="C331">
        <v>9.9778752900000001</v>
      </c>
      <c r="E331" s="29">
        <f t="shared" si="5"/>
        <v>9.7533498099999996</v>
      </c>
      <c r="F331" s="30">
        <v>42988</v>
      </c>
    </row>
    <row r="332" spans="1:6" x14ac:dyDescent="0.3">
      <c r="A332" s="32" t="s">
        <v>1958</v>
      </c>
      <c r="B332">
        <v>18.583638199999999</v>
      </c>
      <c r="C332">
        <v>2.6070179999999998E-2</v>
      </c>
      <c r="E332" s="29">
        <f t="shared" si="5"/>
        <v>18.557568019999998</v>
      </c>
      <c r="F332" s="30">
        <v>42989</v>
      </c>
    </row>
    <row r="333" spans="1:6" x14ac:dyDescent="0.3">
      <c r="A333" s="32" t="s">
        <v>1959</v>
      </c>
      <c r="B333">
        <v>19.617492200000001</v>
      </c>
      <c r="C333">
        <v>8.8965177799999999</v>
      </c>
      <c r="E333" s="29">
        <f t="shared" si="5"/>
        <v>10.720974420000001</v>
      </c>
      <c r="F333" s="30">
        <v>42990</v>
      </c>
    </row>
    <row r="334" spans="1:6" x14ac:dyDescent="0.3">
      <c r="A334" s="32" t="s">
        <v>1624</v>
      </c>
      <c r="F334" s="30"/>
    </row>
    <row r="335" spans="1:6" x14ac:dyDescent="0.3">
      <c r="A335" s="32" t="s">
        <v>1625</v>
      </c>
      <c r="F335" s="30"/>
    </row>
    <row r="336" spans="1:6" x14ac:dyDescent="0.3">
      <c r="A336" s="32" t="s">
        <v>1626</v>
      </c>
      <c r="F336" s="30"/>
    </row>
    <row r="337" spans="1:6" x14ac:dyDescent="0.3">
      <c r="A337" s="32" t="s">
        <v>1627</v>
      </c>
      <c r="F337" s="30"/>
    </row>
    <row r="338" spans="1:6" x14ac:dyDescent="0.3">
      <c r="A338" s="29" t="s">
        <v>756</v>
      </c>
      <c r="F338" s="30"/>
    </row>
    <row r="339" spans="1:6" x14ac:dyDescent="0.3">
      <c r="A339" s="29" t="s">
        <v>757</v>
      </c>
      <c r="F339" s="30"/>
    </row>
    <row r="340" spans="1:6" x14ac:dyDescent="0.3">
      <c r="A340" s="29" t="s">
        <v>758</v>
      </c>
      <c r="F340" s="30"/>
    </row>
    <row r="341" spans="1:6" x14ac:dyDescent="0.3">
      <c r="A341" s="29" t="s">
        <v>759</v>
      </c>
      <c r="F341" s="30"/>
    </row>
    <row r="342" spans="1:6" x14ac:dyDescent="0.3">
      <c r="A342" s="29" t="s">
        <v>760</v>
      </c>
      <c r="F342" s="30"/>
    </row>
    <row r="343" spans="1:6" x14ac:dyDescent="0.3">
      <c r="A343" s="29" t="s">
        <v>761</v>
      </c>
      <c r="F343" s="30"/>
    </row>
    <row r="344" spans="1:6" x14ac:dyDescent="0.3">
      <c r="A344" s="29" t="s">
        <v>762</v>
      </c>
      <c r="F344" s="30"/>
    </row>
    <row r="345" spans="1:6" x14ac:dyDescent="0.3">
      <c r="A345" s="29" t="s">
        <v>763</v>
      </c>
      <c r="F345" s="30"/>
    </row>
    <row r="346" spans="1:6" x14ac:dyDescent="0.3">
      <c r="A346" s="29" t="s">
        <v>764</v>
      </c>
      <c r="F346" s="30"/>
    </row>
    <row r="347" spans="1:6" x14ac:dyDescent="0.3">
      <c r="A347" s="29" t="s">
        <v>765</v>
      </c>
      <c r="F347" s="30"/>
    </row>
    <row r="348" spans="1:6" x14ac:dyDescent="0.3">
      <c r="A348" s="29" t="s">
        <v>766</v>
      </c>
      <c r="F348" s="30"/>
    </row>
    <row r="349" spans="1:6" x14ac:dyDescent="0.3">
      <c r="A349" s="29" t="s">
        <v>767</v>
      </c>
      <c r="F349" s="30"/>
    </row>
    <row r="350" spans="1:6" x14ac:dyDescent="0.3">
      <c r="A350" s="29" t="s">
        <v>768</v>
      </c>
      <c r="F350" s="30"/>
    </row>
    <row r="351" spans="1:6" x14ac:dyDescent="0.3">
      <c r="A351" s="29" t="s">
        <v>769</v>
      </c>
      <c r="F351" s="30"/>
    </row>
    <row r="352" spans="1:6" x14ac:dyDescent="0.3">
      <c r="A352" s="29" t="s">
        <v>770</v>
      </c>
      <c r="F352" s="30"/>
    </row>
    <row r="353" spans="1:6" x14ac:dyDescent="0.3">
      <c r="A353" s="29" t="s">
        <v>771</v>
      </c>
      <c r="F353" s="30"/>
    </row>
    <row r="354" spans="1:6" x14ac:dyDescent="0.3">
      <c r="A354" s="29" t="s">
        <v>772</v>
      </c>
      <c r="F354" s="30"/>
    </row>
    <row r="355" spans="1:6" x14ac:dyDescent="0.3">
      <c r="A355" s="29" t="s">
        <v>773</v>
      </c>
      <c r="F355" s="30"/>
    </row>
    <row r="356" spans="1:6" x14ac:dyDescent="0.3">
      <c r="A356" s="29" t="s">
        <v>774</v>
      </c>
      <c r="F356" s="30"/>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D6589C-54B2-40B3-AE72-45D40A79C998}">
  <sheetPr codeName="Sheet12"/>
  <dimension ref="A1:F356"/>
  <sheetViews>
    <sheetView topLeftCell="F309" workbookViewId="0">
      <selection activeCell="E314" sqref="E314"/>
    </sheetView>
  </sheetViews>
  <sheetFormatPr defaultRowHeight="14.4" x14ac:dyDescent="0.3"/>
  <cols>
    <col min="1" max="1" width="37.21875" style="29" bestFit="1" customWidth="1"/>
    <col min="4" max="5" width="8.88671875" style="29"/>
    <col min="6" max="6" width="9.88671875" style="29" bestFit="1" customWidth="1"/>
    <col min="7" max="16384" width="8.88671875" style="29"/>
  </cols>
  <sheetData>
    <row r="1" spans="1:6" x14ac:dyDescent="0.3">
      <c r="A1" s="32"/>
      <c r="E1" s="29" t="s">
        <v>776</v>
      </c>
      <c r="F1" s="29" t="s">
        <v>775</v>
      </c>
    </row>
    <row r="2" spans="1:6" x14ac:dyDescent="0.3">
      <c r="A2" s="32" t="s">
        <v>979</v>
      </c>
      <c r="B2">
        <v>12.370385710000001</v>
      </c>
      <c r="C2">
        <v>-3.3714517000000002</v>
      </c>
      <c r="E2" s="29">
        <f>B2-C2</f>
        <v>15.74183741</v>
      </c>
      <c r="F2" s="30">
        <v>42659</v>
      </c>
    </row>
    <row r="3" spans="1:6" x14ac:dyDescent="0.3">
      <c r="A3" s="32" t="s">
        <v>980</v>
      </c>
      <c r="B3">
        <v>10.54015573</v>
      </c>
      <c r="C3">
        <v>-3.0551963</v>
      </c>
      <c r="E3" s="29">
        <f t="shared" ref="E3:E66" si="0">B3-C3</f>
        <v>13.595352030000001</v>
      </c>
      <c r="F3" s="30">
        <v>42660</v>
      </c>
    </row>
    <row r="4" spans="1:6" x14ac:dyDescent="0.3">
      <c r="A4" s="32" t="s">
        <v>981</v>
      </c>
      <c r="B4">
        <v>9.7438894200000004</v>
      </c>
      <c r="C4">
        <v>-2.6699932999999998</v>
      </c>
      <c r="E4" s="29">
        <f t="shared" si="0"/>
        <v>12.41388272</v>
      </c>
      <c r="F4" s="30">
        <v>42661</v>
      </c>
    </row>
    <row r="5" spans="1:6" x14ac:dyDescent="0.3">
      <c r="A5" s="32" t="s">
        <v>982</v>
      </c>
      <c r="B5">
        <v>8.8807324100000002</v>
      </c>
      <c r="C5">
        <v>-2.6345523000000002</v>
      </c>
      <c r="E5" s="29">
        <f t="shared" si="0"/>
        <v>11.51528471</v>
      </c>
      <c r="F5" s="30">
        <v>42662</v>
      </c>
    </row>
    <row r="6" spans="1:6" x14ac:dyDescent="0.3">
      <c r="A6" s="32" t="s">
        <v>983</v>
      </c>
      <c r="B6">
        <v>8.7295360800000008</v>
      </c>
      <c r="C6">
        <v>-4.4073871999999996</v>
      </c>
      <c r="E6" s="29">
        <f t="shared" si="0"/>
        <v>13.136923280000001</v>
      </c>
      <c r="F6" s="30">
        <v>42663</v>
      </c>
    </row>
    <row r="7" spans="1:6" x14ac:dyDescent="0.3">
      <c r="A7" s="32" t="s">
        <v>984</v>
      </c>
      <c r="B7">
        <v>8.9348319899999993</v>
      </c>
      <c r="C7">
        <v>-5.1552778999999997</v>
      </c>
      <c r="E7" s="29">
        <f t="shared" si="0"/>
        <v>14.090109889999999</v>
      </c>
      <c r="F7" s="30">
        <v>42664</v>
      </c>
    </row>
    <row r="8" spans="1:6" x14ac:dyDescent="0.3">
      <c r="A8" s="32" t="s">
        <v>985</v>
      </c>
      <c r="B8">
        <v>8.3092334799999996</v>
      </c>
      <c r="C8">
        <v>-4.7473536000000003</v>
      </c>
      <c r="E8" s="29">
        <f t="shared" si="0"/>
        <v>13.05658708</v>
      </c>
      <c r="F8" s="30">
        <v>42665</v>
      </c>
    </row>
    <row r="9" spans="1:6" x14ac:dyDescent="0.3">
      <c r="A9" s="32" t="s">
        <v>986</v>
      </c>
      <c r="B9">
        <v>7.9256975199999999</v>
      </c>
      <c r="C9">
        <v>-5.4976310000000002</v>
      </c>
      <c r="E9" s="29">
        <f t="shared" si="0"/>
        <v>13.42332852</v>
      </c>
      <c r="F9" s="30">
        <v>42666</v>
      </c>
    </row>
    <row r="10" spans="1:6" x14ac:dyDescent="0.3">
      <c r="A10" s="32" t="s">
        <v>987</v>
      </c>
      <c r="B10">
        <v>9.8603711100000009</v>
      </c>
      <c r="C10">
        <v>-6.5269776000000004</v>
      </c>
      <c r="E10" s="29">
        <f t="shared" si="0"/>
        <v>16.387348710000001</v>
      </c>
      <c r="F10" s="30">
        <v>42667</v>
      </c>
    </row>
    <row r="11" spans="1:6" x14ac:dyDescent="0.3">
      <c r="A11" s="32" t="s">
        <v>988</v>
      </c>
      <c r="B11">
        <v>9.7992794500000002</v>
      </c>
      <c r="C11">
        <v>-6.4347976999999998</v>
      </c>
      <c r="E11" s="29">
        <f t="shared" si="0"/>
        <v>16.234077150000001</v>
      </c>
      <c r="F11" s="30">
        <v>42668</v>
      </c>
    </row>
    <row r="12" spans="1:6" x14ac:dyDescent="0.3">
      <c r="A12" s="32" t="s">
        <v>989</v>
      </c>
      <c r="B12">
        <v>10.092548450000001</v>
      </c>
      <c r="C12">
        <v>-5.9932325999999998</v>
      </c>
      <c r="E12" s="29">
        <f t="shared" si="0"/>
        <v>16.085781050000001</v>
      </c>
      <c r="F12" s="30">
        <v>42669</v>
      </c>
    </row>
    <row r="13" spans="1:6" x14ac:dyDescent="0.3">
      <c r="A13" s="32" t="s">
        <v>990</v>
      </c>
      <c r="B13">
        <v>10.036167280000001</v>
      </c>
      <c r="C13">
        <v>-5.1802348</v>
      </c>
      <c r="E13" s="29">
        <f t="shared" si="0"/>
        <v>15.216402080000002</v>
      </c>
      <c r="F13" s="30">
        <v>42670</v>
      </c>
    </row>
    <row r="14" spans="1:6" x14ac:dyDescent="0.3">
      <c r="A14" s="32" t="s">
        <v>991</v>
      </c>
      <c r="B14">
        <v>8.2840792499999996</v>
      </c>
      <c r="C14">
        <v>-6.4309098000000002</v>
      </c>
      <c r="E14" s="29">
        <f t="shared" si="0"/>
        <v>14.71498905</v>
      </c>
      <c r="F14" s="30">
        <v>42671</v>
      </c>
    </row>
    <row r="15" spans="1:6" x14ac:dyDescent="0.3">
      <c r="A15" s="32" t="s">
        <v>992</v>
      </c>
      <c r="B15">
        <v>8.7156053799999995</v>
      </c>
      <c r="C15">
        <v>-6.8232730999999998</v>
      </c>
      <c r="E15" s="29">
        <f t="shared" si="0"/>
        <v>15.538878479999999</v>
      </c>
      <c r="F15" s="30">
        <v>42672</v>
      </c>
    </row>
    <row r="16" spans="1:6" x14ac:dyDescent="0.3">
      <c r="A16" s="32" t="s">
        <v>993</v>
      </c>
      <c r="B16">
        <v>7.7649892600000001</v>
      </c>
      <c r="C16">
        <v>-5.7256096999999997</v>
      </c>
      <c r="E16" s="29">
        <f t="shared" si="0"/>
        <v>13.49059896</v>
      </c>
      <c r="F16" s="30">
        <v>42673</v>
      </c>
    </row>
    <row r="17" spans="1:6" x14ac:dyDescent="0.3">
      <c r="A17" s="32" t="s">
        <v>994</v>
      </c>
      <c r="B17">
        <v>8.2431202999999993</v>
      </c>
      <c r="C17">
        <v>-5.1808740000000002</v>
      </c>
      <c r="E17" s="29">
        <f t="shared" si="0"/>
        <v>13.4239943</v>
      </c>
      <c r="F17" s="30">
        <v>42674</v>
      </c>
    </row>
    <row r="18" spans="1:6" x14ac:dyDescent="0.3">
      <c r="A18" s="32" t="s">
        <v>995</v>
      </c>
      <c r="B18">
        <v>7.7072102999999998</v>
      </c>
      <c r="C18">
        <v>-5.6599437000000004</v>
      </c>
      <c r="E18" s="29">
        <f t="shared" si="0"/>
        <v>13.367153999999999</v>
      </c>
      <c r="F18" s="30">
        <v>42675</v>
      </c>
    </row>
    <row r="19" spans="1:6" x14ac:dyDescent="0.3">
      <c r="A19" s="32" t="s">
        <v>996</v>
      </c>
      <c r="B19">
        <v>8.0644168100000009</v>
      </c>
      <c r="C19">
        <v>-6.1282981999999997</v>
      </c>
      <c r="E19" s="29">
        <f t="shared" si="0"/>
        <v>14.192715010000001</v>
      </c>
      <c r="F19" s="30">
        <v>42676</v>
      </c>
    </row>
    <row r="20" spans="1:6" x14ac:dyDescent="0.3">
      <c r="A20" s="32" t="s">
        <v>997</v>
      </c>
      <c r="B20">
        <v>9.9714487700000003</v>
      </c>
      <c r="C20">
        <v>-6.6020766999999996</v>
      </c>
      <c r="E20" s="29">
        <f t="shared" si="0"/>
        <v>16.57352547</v>
      </c>
      <c r="F20" s="30">
        <v>42677</v>
      </c>
    </row>
    <row r="21" spans="1:6" x14ac:dyDescent="0.3">
      <c r="A21" s="32" t="s">
        <v>998</v>
      </c>
      <c r="B21">
        <v>9.3615428699999992</v>
      </c>
      <c r="C21">
        <v>-6.1698586999999998</v>
      </c>
      <c r="E21" s="29">
        <f t="shared" si="0"/>
        <v>15.53140157</v>
      </c>
      <c r="F21" s="30">
        <v>42678</v>
      </c>
    </row>
    <row r="22" spans="1:6" x14ac:dyDescent="0.3">
      <c r="A22" s="32" t="s">
        <v>999</v>
      </c>
      <c r="B22">
        <v>9.8745601700000005</v>
      </c>
      <c r="C22">
        <v>-4.7787714000000001</v>
      </c>
      <c r="E22" s="29">
        <f t="shared" si="0"/>
        <v>14.653331570000001</v>
      </c>
      <c r="F22" s="30">
        <v>42679</v>
      </c>
    </row>
    <row r="23" spans="1:6" x14ac:dyDescent="0.3">
      <c r="A23" s="32" t="s">
        <v>1000</v>
      </c>
      <c r="B23">
        <v>9.1118673399999999</v>
      </c>
      <c r="C23">
        <v>-5.2706368000000001</v>
      </c>
      <c r="E23" s="29">
        <f t="shared" si="0"/>
        <v>14.38250414</v>
      </c>
      <c r="F23" s="30">
        <v>42680</v>
      </c>
    </row>
    <row r="24" spans="1:6" x14ac:dyDescent="0.3">
      <c r="A24" s="32" t="s">
        <v>1001</v>
      </c>
      <c r="B24">
        <v>9.9393315700000002</v>
      </c>
      <c r="C24">
        <v>-3.3949292</v>
      </c>
      <c r="E24" s="29">
        <f t="shared" si="0"/>
        <v>13.33426077</v>
      </c>
      <c r="F24" s="30">
        <v>42681</v>
      </c>
    </row>
    <row r="25" spans="1:6" x14ac:dyDescent="0.3">
      <c r="A25" s="32" t="s">
        <v>1002</v>
      </c>
      <c r="B25">
        <v>9.7531440899999993</v>
      </c>
      <c r="C25">
        <v>-4.3792119999999999</v>
      </c>
      <c r="E25" s="29">
        <f t="shared" si="0"/>
        <v>14.132356089999998</v>
      </c>
      <c r="F25" s="30">
        <v>42682</v>
      </c>
    </row>
    <row r="26" spans="1:6" x14ac:dyDescent="0.3">
      <c r="A26" s="32" t="s">
        <v>1003</v>
      </c>
      <c r="B26">
        <v>8.5347831500000009</v>
      </c>
      <c r="C26">
        <v>-5.9153646000000002</v>
      </c>
      <c r="E26" s="29">
        <f t="shared" si="0"/>
        <v>14.450147750000001</v>
      </c>
      <c r="F26" s="30">
        <v>42683</v>
      </c>
    </row>
    <row r="27" spans="1:6" x14ac:dyDescent="0.3">
      <c r="A27" s="32" t="s">
        <v>1004</v>
      </c>
      <c r="B27">
        <v>6.7101301800000002</v>
      </c>
      <c r="C27">
        <v>-4.9774373000000001</v>
      </c>
      <c r="E27" s="29">
        <f t="shared" si="0"/>
        <v>11.68756748</v>
      </c>
      <c r="F27" s="30">
        <v>42684</v>
      </c>
    </row>
    <row r="28" spans="1:6" x14ac:dyDescent="0.3">
      <c r="A28" s="32" t="s">
        <v>1005</v>
      </c>
      <c r="B28">
        <v>5.61029994</v>
      </c>
      <c r="C28">
        <v>-3.1602750999999998</v>
      </c>
      <c r="E28" s="29">
        <f t="shared" si="0"/>
        <v>8.7705750400000007</v>
      </c>
      <c r="F28" s="30">
        <v>42685</v>
      </c>
    </row>
    <row r="29" spans="1:6" x14ac:dyDescent="0.3">
      <c r="A29" s="32" t="s">
        <v>1006</v>
      </c>
      <c r="B29">
        <v>4.25824523</v>
      </c>
      <c r="C29">
        <v>-3.1816119999999999</v>
      </c>
      <c r="E29" s="29">
        <f t="shared" si="0"/>
        <v>7.4398572299999994</v>
      </c>
      <c r="F29" s="30">
        <v>42686</v>
      </c>
    </row>
    <row r="30" spans="1:6" x14ac:dyDescent="0.3">
      <c r="A30" s="32" t="s">
        <v>1007</v>
      </c>
      <c r="B30">
        <v>4.4588252600000002</v>
      </c>
      <c r="C30">
        <v>-3.6375931000000001</v>
      </c>
      <c r="E30" s="29">
        <f t="shared" si="0"/>
        <v>8.0964183600000013</v>
      </c>
      <c r="F30" s="30">
        <v>42687</v>
      </c>
    </row>
    <row r="31" spans="1:6" x14ac:dyDescent="0.3">
      <c r="A31" s="32" t="s">
        <v>1008</v>
      </c>
      <c r="B31">
        <v>3.43584041</v>
      </c>
      <c r="C31">
        <v>-4.2052171999999999</v>
      </c>
      <c r="E31" s="29">
        <f t="shared" si="0"/>
        <v>7.6410576099999998</v>
      </c>
      <c r="F31" s="30">
        <v>42688</v>
      </c>
    </row>
    <row r="32" spans="1:6" x14ac:dyDescent="0.3">
      <c r="A32" s="32" t="s">
        <v>1009</v>
      </c>
      <c r="B32">
        <v>3.5872665600000002</v>
      </c>
      <c r="C32">
        <v>-6.9547140000000001</v>
      </c>
      <c r="E32" s="29">
        <f t="shared" si="0"/>
        <v>10.541980560000001</v>
      </c>
      <c r="F32" s="30">
        <v>42689</v>
      </c>
    </row>
    <row r="33" spans="1:6" x14ac:dyDescent="0.3">
      <c r="A33" s="32" t="s">
        <v>1010</v>
      </c>
      <c r="B33">
        <v>2.5934417600000002</v>
      </c>
      <c r="C33">
        <v>-6.6941088999999998</v>
      </c>
      <c r="E33" s="29">
        <f t="shared" si="0"/>
        <v>9.2875506600000008</v>
      </c>
      <c r="F33" s="30">
        <v>42690</v>
      </c>
    </row>
    <row r="34" spans="1:6" x14ac:dyDescent="0.3">
      <c r="A34" s="32" t="s">
        <v>1011</v>
      </c>
      <c r="B34">
        <v>3.1195702700000001</v>
      </c>
      <c r="C34">
        <v>-7.5398677000000003</v>
      </c>
      <c r="E34" s="29">
        <f t="shared" si="0"/>
        <v>10.659437970000001</v>
      </c>
      <c r="F34" s="30">
        <v>42691</v>
      </c>
    </row>
    <row r="35" spans="1:6" x14ac:dyDescent="0.3">
      <c r="A35" s="32" t="s">
        <v>1012</v>
      </c>
      <c r="B35">
        <v>1.5829315399999999</v>
      </c>
      <c r="C35">
        <v>-7.1579926</v>
      </c>
      <c r="E35" s="29">
        <f t="shared" si="0"/>
        <v>8.7409241400000006</v>
      </c>
      <c r="F35" s="30">
        <v>42692</v>
      </c>
    </row>
    <row r="36" spans="1:6" x14ac:dyDescent="0.3">
      <c r="A36" s="32" t="s">
        <v>1013</v>
      </c>
      <c r="B36">
        <v>0.15744095</v>
      </c>
      <c r="C36">
        <v>-6.8616979000000002</v>
      </c>
      <c r="E36" s="29">
        <f t="shared" si="0"/>
        <v>7.01913885</v>
      </c>
      <c r="F36" s="30">
        <v>42693</v>
      </c>
    </row>
    <row r="37" spans="1:6" x14ac:dyDescent="0.3">
      <c r="A37" s="32" t="s">
        <v>1014</v>
      </c>
      <c r="B37">
        <v>-0.32660497999999999</v>
      </c>
      <c r="C37">
        <v>-7.1428086000000004</v>
      </c>
      <c r="E37" s="29">
        <f t="shared" si="0"/>
        <v>6.8162036200000005</v>
      </c>
      <c r="F37" s="30">
        <v>42694</v>
      </c>
    </row>
    <row r="38" spans="1:6" x14ac:dyDescent="0.3">
      <c r="A38" s="32" t="s">
        <v>1015</v>
      </c>
      <c r="B38">
        <v>-0.10302849</v>
      </c>
      <c r="C38">
        <v>-7.4467840000000001</v>
      </c>
      <c r="E38" s="29">
        <f t="shared" si="0"/>
        <v>7.3437555100000003</v>
      </c>
      <c r="F38" s="30">
        <v>42695</v>
      </c>
    </row>
    <row r="39" spans="1:6" x14ac:dyDescent="0.3">
      <c r="A39" s="32" t="s">
        <v>1016</v>
      </c>
      <c r="B39">
        <v>1.1660653700000001</v>
      </c>
      <c r="C39">
        <v>-6.2311684999999999</v>
      </c>
      <c r="E39" s="29">
        <f t="shared" si="0"/>
        <v>7.39723387</v>
      </c>
      <c r="F39" s="30">
        <v>42696</v>
      </c>
    </row>
    <row r="40" spans="1:6" x14ac:dyDescent="0.3">
      <c r="A40" s="32" t="s">
        <v>1017</v>
      </c>
      <c r="B40">
        <v>1.53902209</v>
      </c>
      <c r="C40">
        <v>-8.1428277999999992</v>
      </c>
      <c r="E40" s="29">
        <f t="shared" si="0"/>
        <v>9.6818498899999987</v>
      </c>
      <c r="F40" s="30">
        <v>42697</v>
      </c>
    </row>
    <row r="41" spans="1:6" x14ac:dyDescent="0.3">
      <c r="A41" s="32" t="s">
        <v>1018</v>
      </c>
      <c r="B41">
        <v>0.34422710000000001</v>
      </c>
      <c r="C41">
        <v>-7.9388446999999998</v>
      </c>
      <c r="E41" s="29">
        <f t="shared" si="0"/>
        <v>8.2830718000000001</v>
      </c>
      <c r="F41" s="30">
        <v>42698</v>
      </c>
    </row>
    <row r="42" spans="1:6" x14ac:dyDescent="0.3">
      <c r="A42" s="32" t="s">
        <v>1019</v>
      </c>
      <c r="B42">
        <v>-0.91854126000000003</v>
      </c>
      <c r="C42">
        <v>-8.4161412999999996</v>
      </c>
      <c r="E42" s="29">
        <f t="shared" si="0"/>
        <v>7.49760004</v>
      </c>
      <c r="F42" s="30">
        <v>42699</v>
      </c>
    </row>
    <row r="43" spans="1:6" x14ac:dyDescent="0.3">
      <c r="A43" s="32" t="s">
        <v>1020</v>
      </c>
      <c r="B43">
        <v>-1.08045602</v>
      </c>
      <c r="C43">
        <v>-10.901296</v>
      </c>
      <c r="E43" s="29">
        <f t="shared" si="0"/>
        <v>9.8208399800000006</v>
      </c>
      <c r="F43" s="30">
        <v>42700</v>
      </c>
    </row>
    <row r="44" spans="1:6" x14ac:dyDescent="0.3">
      <c r="A44" s="32" t="s">
        <v>1021</v>
      </c>
      <c r="B44">
        <v>-1.35014715</v>
      </c>
      <c r="C44">
        <v>-10.6618096</v>
      </c>
      <c r="E44" s="29">
        <f t="shared" si="0"/>
        <v>9.31166245</v>
      </c>
      <c r="F44" s="30">
        <v>42701</v>
      </c>
    </row>
    <row r="45" spans="1:6" x14ac:dyDescent="0.3">
      <c r="A45" s="32" t="s">
        <v>1022</v>
      </c>
      <c r="B45">
        <v>-1.4102534</v>
      </c>
      <c r="C45">
        <v>-9.2837347999999995</v>
      </c>
      <c r="E45" s="29">
        <f t="shared" si="0"/>
        <v>7.8734813999999993</v>
      </c>
      <c r="F45" s="30">
        <v>42702</v>
      </c>
    </row>
    <row r="46" spans="1:6" x14ac:dyDescent="0.3">
      <c r="A46" s="32" t="s">
        <v>1023</v>
      </c>
      <c r="B46">
        <v>-1.07609668</v>
      </c>
      <c r="C46">
        <v>-7.9725330000000003</v>
      </c>
      <c r="E46" s="29">
        <f t="shared" si="0"/>
        <v>6.8964363200000003</v>
      </c>
      <c r="F46" s="30">
        <v>42703</v>
      </c>
    </row>
    <row r="47" spans="1:6" x14ac:dyDescent="0.3">
      <c r="A47" s="32" t="s">
        <v>1024</v>
      </c>
      <c r="B47">
        <v>-0.53426521999999999</v>
      </c>
      <c r="C47">
        <v>-8.6739349000000008</v>
      </c>
      <c r="E47" s="29">
        <f t="shared" si="0"/>
        <v>8.1396696800000008</v>
      </c>
      <c r="F47" s="30">
        <v>42704</v>
      </c>
    </row>
    <row r="48" spans="1:6" x14ac:dyDescent="0.3">
      <c r="A48" s="32" t="s">
        <v>1025</v>
      </c>
      <c r="B48">
        <v>0.15647363</v>
      </c>
      <c r="C48">
        <v>-8.1357095000000008</v>
      </c>
      <c r="E48" s="29">
        <f t="shared" si="0"/>
        <v>8.2921831300000015</v>
      </c>
      <c r="F48" s="30">
        <v>42705</v>
      </c>
    </row>
    <row r="49" spans="1:6" x14ac:dyDescent="0.3">
      <c r="A49" s="32" t="s">
        <v>1026</v>
      </c>
      <c r="B49">
        <v>-2.3563179399999998</v>
      </c>
      <c r="C49">
        <v>-8.6248717999999993</v>
      </c>
      <c r="E49" s="29">
        <f t="shared" si="0"/>
        <v>6.268553859999999</v>
      </c>
      <c r="F49" s="30">
        <v>42706</v>
      </c>
    </row>
    <row r="50" spans="1:6" x14ac:dyDescent="0.3">
      <c r="A50" s="32" t="s">
        <v>1027</v>
      </c>
      <c r="B50">
        <v>-1.46798596</v>
      </c>
      <c r="C50">
        <v>-10.468193299999999</v>
      </c>
      <c r="E50" s="29">
        <f t="shared" si="0"/>
        <v>9.0002073399999993</v>
      </c>
      <c r="F50" s="30">
        <v>42707</v>
      </c>
    </row>
    <row r="51" spans="1:6" x14ac:dyDescent="0.3">
      <c r="A51" s="32" t="s">
        <v>1028</v>
      </c>
      <c r="B51">
        <v>-2.1031873499999998</v>
      </c>
      <c r="C51">
        <v>-10.939057999999999</v>
      </c>
      <c r="E51" s="29">
        <f t="shared" si="0"/>
        <v>8.8358706500000004</v>
      </c>
      <c r="F51" s="30">
        <v>42708</v>
      </c>
    </row>
    <row r="52" spans="1:6" x14ac:dyDescent="0.3">
      <c r="A52" s="32" t="s">
        <v>1029</v>
      </c>
      <c r="B52">
        <v>-2.9351845399999998</v>
      </c>
      <c r="C52">
        <v>-10.938000600000001</v>
      </c>
      <c r="E52" s="29">
        <f t="shared" si="0"/>
        <v>8.0028160600000007</v>
      </c>
      <c r="F52" s="30">
        <v>42709</v>
      </c>
    </row>
    <row r="53" spans="1:6" x14ac:dyDescent="0.3">
      <c r="A53" s="32" t="s">
        <v>1030</v>
      </c>
      <c r="B53">
        <v>-2.8508305599999999</v>
      </c>
      <c r="C53">
        <v>-11.8901697</v>
      </c>
      <c r="E53" s="29">
        <f t="shared" si="0"/>
        <v>9.0393391399999992</v>
      </c>
      <c r="F53" s="30">
        <v>42710</v>
      </c>
    </row>
    <row r="54" spans="1:6" x14ac:dyDescent="0.3">
      <c r="A54" s="32" t="s">
        <v>1031</v>
      </c>
      <c r="B54">
        <v>-1.6988658000000001</v>
      </c>
      <c r="C54">
        <v>-12.5598063</v>
      </c>
      <c r="E54" s="29">
        <f t="shared" si="0"/>
        <v>10.8609405</v>
      </c>
      <c r="F54" s="30">
        <v>42711</v>
      </c>
    </row>
    <row r="55" spans="1:6" x14ac:dyDescent="0.3">
      <c r="A55" s="32" t="s">
        <v>1032</v>
      </c>
      <c r="B55">
        <v>-4.5995708200000003</v>
      </c>
      <c r="C55">
        <v>-14.2484623</v>
      </c>
      <c r="E55" s="29">
        <f t="shared" si="0"/>
        <v>9.6488914799999996</v>
      </c>
      <c r="F55" s="30">
        <v>42712</v>
      </c>
    </row>
    <row r="56" spans="1:6" x14ac:dyDescent="0.3">
      <c r="A56" s="32" t="s">
        <v>1033</v>
      </c>
      <c r="B56">
        <v>-3.3947421499999999</v>
      </c>
      <c r="C56">
        <v>-15.438955399999999</v>
      </c>
      <c r="E56" s="29">
        <f t="shared" si="0"/>
        <v>12.044213249999999</v>
      </c>
      <c r="F56" s="30">
        <v>42713</v>
      </c>
    </row>
    <row r="57" spans="1:6" x14ac:dyDescent="0.3">
      <c r="A57" s="32" t="s">
        <v>1034</v>
      </c>
      <c r="B57">
        <v>-2.38923569</v>
      </c>
      <c r="C57">
        <v>-15.911579</v>
      </c>
      <c r="E57" s="29">
        <f t="shared" si="0"/>
        <v>13.52234331</v>
      </c>
      <c r="F57" s="30">
        <v>42714</v>
      </c>
    </row>
    <row r="58" spans="1:6" x14ac:dyDescent="0.3">
      <c r="A58" s="32" t="s">
        <v>1035</v>
      </c>
      <c r="B58">
        <v>-2.3400406399999998</v>
      </c>
      <c r="C58">
        <v>-15.629611799999999</v>
      </c>
      <c r="E58" s="29">
        <f t="shared" si="0"/>
        <v>13.289571159999999</v>
      </c>
      <c r="F58" s="30">
        <v>42715</v>
      </c>
    </row>
    <row r="59" spans="1:6" x14ac:dyDescent="0.3">
      <c r="A59" s="32" t="s">
        <v>1036</v>
      </c>
      <c r="B59">
        <v>-2.5217309499999998</v>
      </c>
      <c r="C59">
        <v>-16.482170799999999</v>
      </c>
      <c r="E59" s="29">
        <f t="shared" si="0"/>
        <v>13.960439849999998</v>
      </c>
      <c r="F59" s="30">
        <v>42716</v>
      </c>
    </row>
    <row r="60" spans="1:6" x14ac:dyDescent="0.3">
      <c r="A60" s="32" t="s">
        <v>1037</v>
      </c>
      <c r="B60">
        <v>-2.87434316</v>
      </c>
      <c r="C60">
        <v>-15.0210971</v>
      </c>
      <c r="E60" s="29">
        <f t="shared" si="0"/>
        <v>12.14675394</v>
      </c>
      <c r="F60" s="30">
        <v>42717</v>
      </c>
    </row>
    <row r="61" spans="1:6" x14ac:dyDescent="0.3">
      <c r="A61" s="32" t="s">
        <v>1038</v>
      </c>
      <c r="B61">
        <v>-2.6078196</v>
      </c>
      <c r="C61">
        <v>-14.6940312</v>
      </c>
      <c r="E61" s="29">
        <f t="shared" si="0"/>
        <v>12.086211599999999</v>
      </c>
      <c r="F61" s="30">
        <v>42718</v>
      </c>
    </row>
    <row r="62" spans="1:6" x14ac:dyDescent="0.3">
      <c r="A62" s="32" t="s">
        <v>1039</v>
      </c>
      <c r="B62">
        <v>-3.1583427300000002</v>
      </c>
      <c r="C62">
        <v>-14.5544943</v>
      </c>
      <c r="E62" s="29">
        <f t="shared" si="0"/>
        <v>11.396151570000001</v>
      </c>
      <c r="F62" s="30">
        <v>42719</v>
      </c>
    </row>
    <row r="63" spans="1:6" x14ac:dyDescent="0.3">
      <c r="A63" s="32" t="s">
        <v>1040</v>
      </c>
      <c r="B63">
        <v>-3.6622211899999999</v>
      </c>
      <c r="C63">
        <v>-14.6541163</v>
      </c>
      <c r="E63" s="29">
        <f t="shared" si="0"/>
        <v>10.99189511</v>
      </c>
      <c r="F63" s="30">
        <v>42720</v>
      </c>
    </row>
    <row r="64" spans="1:6" x14ac:dyDescent="0.3">
      <c r="A64" s="32" t="s">
        <v>1041</v>
      </c>
      <c r="B64">
        <v>-2.4907138199999999</v>
      </c>
      <c r="C64">
        <v>-13.451665</v>
      </c>
      <c r="E64" s="29">
        <f t="shared" si="0"/>
        <v>10.96095118</v>
      </c>
      <c r="F64" s="30">
        <v>42721</v>
      </c>
    </row>
    <row r="65" spans="1:6" x14ac:dyDescent="0.3">
      <c r="A65" s="32" t="s">
        <v>1042</v>
      </c>
      <c r="B65">
        <v>-1.18630214</v>
      </c>
      <c r="C65">
        <v>-12.8088093</v>
      </c>
      <c r="E65" s="29">
        <f t="shared" si="0"/>
        <v>11.62250716</v>
      </c>
      <c r="F65" s="30">
        <v>42722</v>
      </c>
    </row>
    <row r="66" spans="1:6" x14ac:dyDescent="0.3">
      <c r="A66" s="32" t="s">
        <v>1043</v>
      </c>
      <c r="B66">
        <v>-2.06610008</v>
      </c>
      <c r="C66">
        <v>-13.5330453</v>
      </c>
      <c r="E66" s="29">
        <f t="shared" si="0"/>
        <v>11.466945219999999</v>
      </c>
      <c r="F66" s="30">
        <v>42723</v>
      </c>
    </row>
    <row r="67" spans="1:6" x14ac:dyDescent="0.3">
      <c r="A67" s="32" t="s">
        <v>1044</v>
      </c>
      <c r="B67">
        <v>-0.50562130000000005</v>
      </c>
      <c r="C67">
        <v>-15.1997126</v>
      </c>
      <c r="E67" s="29">
        <f t="shared" ref="E67:E130" si="1">B67-C67</f>
        <v>14.6940913</v>
      </c>
      <c r="F67" s="30">
        <v>42724</v>
      </c>
    </row>
    <row r="68" spans="1:6" x14ac:dyDescent="0.3">
      <c r="A68" s="32" t="s">
        <v>1045</v>
      </c>
      <c r="B68">
        <v>-2.7869850299999999</v>
      </c>
      <c r="C68">
        <v>-14.5313681</v>
      </c>
      <c r="E68" s="29">
        <f t="shared" si="1"/>
        <v>11.74438307</v>
      </c>
      <c r="F68" s="30">
        <v>42725</v>
      </c>
    </row>
    <row r="69" spans="1:6" x14ac:dyDescent="0.3">
      <c r="A69" s="32" t="s">
        <v>1046</v>
      </c>
      <c r="B69">
        <v>-3.1900739499999999</v>
      </c>
      <c r="C69">
        <v>-14.553987100000001</v>
      </c>
      <c r="E69" s="29">
        <f t="shared" si="1"/>
        <v>11.36391315</v>
      </c>
      <c r="F69" s="30">
        <v>42726</v>
      </c>
    </row>
    <row r="70" spans="1:6" x14ac:dyDescent="0.3">
      <c r="A70" s="32" t="s">
        <v>1047</v>
      </c>
      <c r="B70">
        <v>-3.07086923</v>
      </c>
      <c r="C70">
        <v>-12.7354048</v>
      </c>
      <c r="E70" s="29">
        <f t="shared" si="1"/>
        <v>9.66453557</v>
      </c>
      <c r="F70" s="30">
        <v>42727</v>
      </c>
    </row>
    <row r="71" spans="1:6" x14ac:dyDescent="0.3">
      <c r="A71" s="32" t="s">
        <v>1048</v>
      </c>
      <c r="B71">
        <v>-5.1039608699999999</v>
      </c>
      <c r="C71">
        <v>-12.099269100000001</v>
      </c>
      <c r="E71" s="29">
        <f t="shared" si="1"/>
        <v>6.9953082300000009</v>
      </c>
      <c r="F71" s="30">
        <v>42728</v>
      </c>
    </row>
    <row r="72" spans="1:6" x14ac:dyDescent="0.3">
      <c r="A72" s="32" t="s">
        <v>1049</v>
      </c>
      <c r="B72">
        <v>-4.5847471500000001</v>
      </c>
      <c r="C72">
        <v>-12.4009617</v>
      </c>
      <c r="E72" s="29">
        <f t="shared" si="1"/>
        <v>7.8162145499999998</v>
      </c>
      <c r="F72" s="30">
        <v>42729</v>
      </c>
    </row>
    <row r="73" spans="1:6" x14ac:dyDescent="0.3">
      <c r="A73" s="32" t="s">
        <v>1050</v>
      </c>
      <c r="B73">
        <v>-4.4958212399999997</v>
      </c>
      <c r="C73">
        <v>-12.311109999999999</v>
      </c>
      <c r="E73" s="29">
        <f t="shared" si="1"/>
        <v>7.8152887599999996</v>
      </c>
      <c r="F73" s="30">
        <v>42730</v>
      </c>
    </row>
    <row r="74" spans="1:6" x14ac:dyDescent="0.3">
      <c r="A74" s="32" t="s">
        <v>1051</v>
      </c>
      <c r="B74">
        <v>-3.9590963000000001</v>
      </c>
      <c r="C74">
        <v>-11.2904859</v>
      </c>
      <c r="E74" s="29">
        <f t="shared" si="1"/>
        <v>7.3313895999999996</v>
      </c>
      <c r="F74" s="30">
        <v>42731</v>
      </c>
    </row>
    <row r="75" spans="1:6" x14ac:dyDescent="0.3">
      <c r="A75" s="32" t="s">
        <v>1052</v>
      </c>
      <c r="B75">
        <v>-4.12507321</v>
      </c>
      <c r="C75">
        <v>-12.2304648</v>
      </c>
      <c r="E75" s="29">
        <f t="shared" si="1"/>
        <v>8.10539159</v>
      </c>
      <c r="F75" s="30">
        <v>42732</v>
      </c>
    </row>
    <row r="76" spans="1:6" x14ac:dyDescent="0.3">
      <c r="A76" s="32" t="s">
        <v>1053</v>
      </c>
      <c r="B76">
        <v>-3.3954655599999999</v>
      </c>
      <c r="C76">
        <v>-11.5486629</v>
      </c>
      <c r="E76" s="29">
        <f t="shared" si="1"/>
        <v>8.1531973400000002</v>
      </c>
      <c r="F76" s="30">
        <v>42733</v>
      </c>
    </row>
    <row r="77" spans="1:6" x14ac:dyDescent="0.3">
      <c r="A77" s="32" t="s">
        <v>1054</v>
      </c>
      <c r="B77">
        <v>-4.1436871399999999</v>
      </c>
      <c r="C77">
        <v>-10.5213144</v>
      </c>
      <c r="E77" s="29">
        <f t="shared" si="1"/>
        <v>6.3776272599999997</v>
      </c>
      <c r="F77" s="30">
        <v>42734</v>
      </c>
    </row>
    <row r="78" spans="1:6" x14ac:dyDescent="0.3">
      <c r="A78" s="32" t="s">
        <v>1055</v>
      </c>
      <c r="B78">
        <v>-3.2453968</v>
      </c>
      <c r="C78">
        <v>-11.238982699999999</v>
      </c>
      <c r="E78" s="29">
        <f t="shared" si="1"/>
        <v>7.9935858999999994</v>
      </c>
      <c r="F78" s="30">
        <v>42735</v>
      </c>
    </row>
    <row r="79" spans="1:6" x14ac:dyDescent="0.3">
      <c r="A79" s="32" t="s">
        <v>1056</v>
      </c>
      <c r="B79">
        <v>-2.8199724000000002</v>
      </c>
      <c r="C79">
        <v>-12.0540755</v>
      </c>
      <c r="E79" s="29">
        <f t="shared" si="1"/>
        <v>9.2341030999999987</v>
      </c>
      <c r="F79" s="30">
        <v>42736</v>
      </c>
    </row>
    <row r="80" spans="1:6" x14ac:dyDescent="0.3">
      <c r="A80" s="32" t="s">
        <v>1057</v>
      </c>
      <c r="B80">
        <v>-3.6027706199999998</v>
      </c>
      <c r="C80">
        <v>-11.3880319</v>
      </c>
      <c r="E80" s="29">
        <f t="shared" si="1"/>
        <v>7.7852612800000003</v>
      </c>
      <c r="F80" s="30">
        <v>42737</v>
      </c>
    </row>
    <row r="81" spans="1:6" x14ac:dyDescent="0.3">
      <c r="A81" s="32" t="s">
        <v>1058</v>
      </c>
      <c r="B81">
        <v>-3.65529986</v>
      </c>
      <c r="C81">
        <v>-11.429198700000001</v>
      </c>
      <c r="E81" s="29">
        <f t="shared" si="1"/>
        <v>7.7738988400000011</v>
      </c>
      <c r="F81" s="30">
        <v>42738</v>
      </c>
    </row>
    <row r="82" spans="1:6" x14ac:dyDescent="0.3">
      <c r="A82" s="32" t="s">
        <v>1059</v>
      </c>
      <c r="B82">
        <v>-5.6055849699999998</v>
      </c>
      <c r="C82">
        <v>-11.739842100000001</v>
      </c>
      <c r="E82" s="29">
        <f t="shared" si="1"/>
        <v>6.1342571300000008</v>
      </c>
      <c r="F82" s="30">
        <v>42739</v>
      </c>
    </row>
    <row r="83" spans="1:6" x14ac:dyDescent="0.3">
      <c r="A83" s="32" t="s">
        <v>1060</v>
      </c>
      <c r="B83">
        <v>-6.75125756</v>
      </c>
      <c r="C83">
        <v>-12.6885452</v>
      </c>
      <c r="E83" s="29">
        <f t="shared" si="1"/>
        <v>5.9372876400000001</v>
      </c>
      <c r="F83" s="30">
        <v>42740</v>
      </c>
    </row>
    <row r="84" spans="1:6" x14ac:dyDescent="0.3">
      <c r="A84" s="32" t="s">
        <v>1061</v>
      </c>
      <c r="B84">
        <v>-7.3500616399999998</v>
      </c>
      <c r="C84">
        <v>-11.432392</v>
      </c>
      <c r="E84" s="29">
        <f t="shared" si="1"/>
        <v>4.0823303600000003</v>
      </c>
      <c r="F84" s="30">
        <v>42741</v>
      </c>
    </row>
    <row r="85" spans="1:6" x14ac:dyDescent="0.3">
      <c r="A85" s="32" t="s">
        <v>1062</v>
      </c>
      <c r="B85">
        <v>-6.4672017899999998</v>
      </c>
      <c r="C85">
        <v>-10.991643699999999</v>
      </c>
      <c r="E85" s="29">
        <f t="shared" si="1"/>
        <v>4.5244419099999993</v>
      </c>
      <c r="F85" s="30">
        <v>42742</v>
      </c>
    </row>
    <row r="86" spans="1:6" x14ac:dyDescent="0.3">
      <c r="A86" s="32" t="s">
        <v>1063</v>
      </c>
      <c r="B86">
        <v>-7.4981313299999997</v>
      </c>
      <c r="C86">
        <v>-10.395804699999999</v>
      </c>
      <c r="E86" s="29">
        <f t="shared" si="1"/>
        <v>2.8976733699999997</v>
      </c>
      <c r="F86" s="30">
        <v>42743</v>
      </c>
    </row>
    <row r="87" spans="1:6" x14ac:dyDescent="0.3">
      <c r="A87" s="32" t="s">
        <v>1064</v>
      </c>
      <c r="B87">
        <v>-7.6365373099999996</v>
      </c>
      <c r="C87">
        <v>-11.211504700000001</v>
      </c>
      <c r="E87" s="29">
        <f t="shared" si="1"/>
        <v>3.5749673900000012</v>
      </c>
      <c r="F87" s="30">
        <v>42744</v>
      </c>
    </row>
    <row r="88" spans="1:6" x14ac:dyDescent="0.3">
      <c r="A88" s="32" t="s">
        <v>1065</v>
      </c>
      <c r="B88">
        <v>-8.5398128999999994</v>
      </c>
      <c r="C88">
        <v>-9.4214967000000005</v>
      </c>
      <c r="E88" s="29">
        <f t="shared" si="1"/>
        <v>0.88168380000000113</v>
      </c>
      <c r="F88" s="30">
        <v>42745</v>
      </c>
    </row>
    <row r="89" spans="1:6" x14ac:dyDescent="0.3">
      <c r="A89" s="32" t="s">
        <v>1066</v>
      </c>
      <c r="B89">
        <v>-7.9082420100000004</v>
      </c>
      <c r="C89">
        <v>-7.6556803999999996</v>
      </c>
      <c r="E89" s="29">
        <f t="shared" si="1"/>
        <v>-0.25256161000000077</v>
      </c>
      <c r="F89" s="30">
        <v>42746</v>
      </c>
    </row>
    <row r="90" spans="1:6" x14ac:dyDescent="0.3">
      <c r="A90" s="32" t="s">
        <v>1067</v>
      </c>
      <c r="B90">
        <v>-8.8385257199999998</v>
      </c>
      <c r="C90">
        <v>-9.2552137999999999</v>
      </c>
      <c r="E90" s="29">
        <f t="shared" si="1"/>
        <v>0.41668808000000013</v>
      </c>
      <c r="F90" s="30">
        <v>42747</v>
      </c>
    </row>
    <row r="91" spans="1:6" x14ac:dyDescent="0.3">
      <c r="A91" s="32" t="s">
        <v>1068</v>
      </c>
      <c r="B91">
        <v>-7.2699184900000002</v>
      </c>
      <c r="C91">
        <v>-9.1554774000000005</v>
      </c>
      <c r="E91" s="29">
        <f t="shared" si="1"/>
        <v>1.8855589100000003</v>
      </c>
      <c r="F91" s="30">
        <v>42748</v>
      </c>
    </row>
    <row r="92" spans="1:6" x14ac:dyDescent="0.3">
      <c r="A92" s="32" t="s">
        <v>1069</v>
      </c>
      <c r="B92">
        <v>-8.0126896199999997</v>
      </c>
      <c r="C92">
        <v>-9.9372380000000007</v>
      </c>
      <c r="E92" s="29">
        <f t="shared" si="1"/>
        <v>1.9245483800000009</v>
      </c>
      <c r="F92" s="30">
        <v>42749</v>
      </c>
    </row>
    <row r="93" spans="1:6" x14ac:dyDescent="0.3">
      <c r="A93" s="32" t="s">
        <v>1070</v>
      </c>
      <c r="B93">
        <v>-7.4226255300000004</v>
      </c>
      <c r="C93">
        <v>-9.8280522000000001</v>
      </c>
      <c r="E93" s="29">
        <f t="shared" si="1"/>
        <v>2.4054266699999998</v>
      </c>
      <c r="F93" s="30">
        <v>42750</v>
      </c>
    </row>
    <row r="94" spans="1:6" x14ac:dyDescent="0.3">
      <c r="A94" s="32" t="s">
        <v>1071</v>
      </c>
      <c r="B94">
        <v>-5.9119759900000002</v>
      </c>
      <c r="C94">
        <v>-10.215063900000001</v>
      </c>
      <c r="E94" s="29">
        <f t="shared" si="1"/>
        <v>4.3030879100000003</v>
      </c>
      <c r="F94" s="30">
        <v>42751</v>
      </c>
    </row>
    <row r="95" spans="1:6" x14ac:dyDescent="0.3">
      <c r="A95" s="32" t="s">
        <v>1072</v>
      </c>
      <c r="B95">
        <v>-5.8494761400000002</v>
      </c>
      <c r="C95">
        <v>-11.1913362</v>
      </c>
      <c r="E95" s="29">
        <f t="shared" si="1"/>
        <v>5.3418600600000001</v>
      </c>
      <c r="F95" s="30">
        <v>42752</v>
      </c>
    </row>
    <row r="96" spans="1:6" x14ac:dyDescent="0.3">
      <c r="A96" s="32" t="s">
        <v>1073</v>
      </c>
      <c r="B96">
        <v>-5.0886208100000001</v>
      </c>
      <c r="C96">
        <v>-12.203108800000001</v>
      </c>
      <c r="E96" s="29">
        <f t="shared" si="1"/>
        <v>7.1144879900000007</v>
      </c>
      <c r="F96" s="30">
        <v>42753</v>
      </c>
    </row>
    <row r="97" spans="1:6" x14ac:dyDescent="0.3">
      <c r="A97" s="32" t="s">
        <v>1074</v>
      </c>
      <c r="B97">
        <v>-6.4027802700000001</v>
      </c>
      <c r="C97">
        <v>-11.5649526</v>
      </c>
      <c r="E97" s="29">
        <f t="shared" si="1"/>
        <v>5.1621723299999998</v>
      </c>
      <c r="F97" s="30">
        <v>42754</v>
      </c>
    </row>
    <row r="98" spans="1:6" x14ac:dyDescent="0.3">
      <c r="A98" s="32" t="s">
        <v>1075</v>
      </c>
      <c r="B98">
        <v>-5.5696417199999999</v>
      </c>
      <c r="C98">
        <v>-11.4322354</v>
      </c>
      <c r="E98" s="29">
        <f t="shared" si="1"/>
        <v>5.8625936799999998</v>
      </c>
      <c r="F98" s="30">
        <v>42755</v>
      </c>
    </row>
    <row r="99" spans="1:6" x14ac:dyDescent="0.3">
      <c r="A99" s="32" t="s">
        <v>1076</v>
      </c>
      <c r="B99">
        <v>-6.6603782599999999</v>
      </c>
      <c r="C99">
        <v>-10.9574575</v>
      </c>
      <c r="E99" s="29">
        <f t="shared" si="1"/>
        <v>4.2970792400000004</v>
      </c>
      <c r="F99" s="30">
        <v>42756</v>
      </c>
    </row>
    <row r="100" spans="1:6" x14ac:dyDescent="0.3">
      <c r="A100" s="32" t="s">
        <v>1077</v>
      </c>
      <c r="B100">
        <v>-6.2765682299999996</v>
      </c>
      <c r="C100">
        <v>-12.895453099999999</v>
      </c>
      <c r="E100" s="29">
        <f t="shared" si="1"/>
        <v>6.6188848699999996</v>
      </c>
      <c r="F100" s="30">
        <v>42757</v>
      </c>
    </row>
    <row r="101" spans="1:6" x14ac:dyDescent="0.3">
      <c r="A101" s="32" t="s">
        <v>1078</v>
      </c>
      <c r="B101">
        <v>-6.9196574499999999</v>
      </c>
      <c r="C101">
        <v>-13.3880167</v>
      </c>
      <c r="E101" s="29">
        <f t="shared" si="1"/>
        <v>6.4683592499999998</v>
      </c>
      <c r="F101" s="30">
        <v>42758</v>
      </c>
    </row>
    <row r="102" spans="1:6" x14ac:dyDescent="0.3">
      <c r="A102" s="32" t="s">
        <v>1079</v>
      </c>
      <c r="B102">
        <v>-7.0679786699999996</v>
      </c>
      <c r="C102">
        <v>-13.2459805</v>
      </c>
      <c r="E102" s="29">
        <f t="shared" si="1"/>
        <v>6.1780018300000004</v>
      </c>
      <c r="F102" s="30">
        <v>42759</v>
      </c>
    </row>
    <row r="103" spans="1:6" x14ac:dyDescent="0.3">
      <c r="A103" s="32" t="s">
        <v>1080</v>
      </c>
      <c r="B103">
        <v>-8.4461983200000006</v>
      </c>
      <c r="C103">
        <v>-13.742403700000001</v>
      </c>
      <c r="E103" s="29">
        <f t="shared" si="1"/>
        <v>5.29620538</v>
      </c>
      <c r="F103" s="30">
        <v>42760</v>
      </c>
    </row>
    <row r="104" spans="1:6" x14ac:dyDescent="0.3">
      <c r="A104" s="32" t="s">
        <v>1081</v>
      </c>
      <c r="B104">
        <v>-9.3019569799999999</v>
      </c>
      <c r="C104">
        <v>-12.687365700000001</v>
      </c>
      <c r="E104" s="29">
        <f t="shared" si="1"/>
        <v>3.3854087200000009</v>
      </c>
      <c r="F104" s="30">
        <v>42761</v>
      </c>
    </row>
    <row r="105" spans="1:6" x14ac:dyDescent="0.3">
      <c r="A105" s="32" t="s">
        <v>1082</v>
      </c>
      <c r="B105">
        <v>-10.333772890000001</v>
      </c>
      <c r="C105">
        <v>-11.451272400000001</v>
      </c>
      <c r="E105" s="29">
        <f t="shared" si="1"/>
        <v>1.11749951</v>
      </c>
      <c r="F105" s="30">
        <v>42762</v>
      </c>
    </row>
    <row r="106" spans="1:6" x14ac:dyDescent="0.3">
      <c r="A106" s="32" t="s">
        <v>1083</v>
      </c>
      <c r="B106">
        <v>-12.14017215</v>
      </c>
      <c r="C106">
        <v>-11.4940952</v>
      </c>
      <c r="E106" s="29">
        <f t="shared" si="1"/>
        <v>-0.64607694999999943</v>
      </c>
      <c r="F106" s="30">
        <v>42763</v>
      </c>
    </row>
    <row r="107" spans="1:6" x14ac:dyDescent="0.3">
      <c r="A107" s="32" t="s">
        <v>1084</v>
      </c>
      <c r="B107">
        <v>-11.43068587</v>
      </c>
      <c r="C107">
        <v>-12.4882832</v>
      </c>
      <c r="E107" s="29">
        <f t="shared" si="1"/>
        <v>1.0575973300000001</v>
      </c>
      <c r="F107" s="30">
        <v>42764</v>
      </c>
    </row>
    <row r="108" spans="1:6" x14ac:dyDescent="0.3">
      <c r="A108" s="32" t="s">
        <v>1085</v>
      </c>
      <c r="B108">
        <v>-12.437488370000001</v>
      </c>
      <c r="C108">
        <v>-14.057387200000001</v>
      </c>
      <c r="E108" s="29">
        <f t="shared" si="1"/>
        <v>1.6198988300000003</v>
      </c>
      <c r="F108" s="30">
        <v>42765</v>
      </c>
    </row>
    <row r="109" spans="1:6" x14ac:dyDescent="0.3">
      <c r="A109" s="32" t="s">
        <v>1086</v>
      </c>
      <c r="B109">
        <v>-11.830072449999999</v>
      </c>
      <c r="C109">
        <v>-12.6452685</v>
      </c>
      <c r="E109" s="29">
        <f t="shared" si="1"/>
        <v>0.81519605000000084</v>
      </c>
      <c r="F109" s="30">
        <v>42766</v>
      </c>
    </row>
    <row r="110" spans="1:6" x14ac:dyDescent="0.3">
      <c r="A110" s="32" t="s">
        <v>1087</v>
      </c>
      <c r="B110">
        <v>-13.09026205</v>
      </c>
      <c r="C110">
        <v>-14.2251955</v>
      </c>
      <c r="E110" s="29">
        <f t="shared" si="1"/>
        <v>1.1349334500000001</v>
      </c>
      <c r="F110" s="30">
        <v>42767</v>
      </c>
    </row>
    <row r="111" spans="1:6" x14ac:dyDescent="0.3">
      <c r="A111" s="32" t="s">
        <v>1088</v>
      </c>
      <c r="B111">
        <v>-12.308857529999999</v>
      </c>
      <c r="C111">
        <v>-14.2936665</v>
      </c>
      <c r="E111" s="29">
        <f t="shared" si="1"/>
        <v>1.9848089700000013</v>
      </c>
      <c r="F111" s="30">
        <v>42768</v>
      </c>
    </row>
    <row r="112" spans="1:6" x14ac:dyDescent="0.3">
      <c r="A112" s="32" t="s">
        <v>1089</v>
      </c>
      <c r="B112">
        <v>-14.10621297</v>
      </c>
      <c r="C112">
        <v>-14.480880600000001</v>
      </c>
      <c r="E112" s="29">
        <f t="shared" si="1"/>
        <v>0.37466763000000114</v>
      </c>
      <c r="F112" s="30">
        <v>42769</v>
      </c>
    </row>
    <row r="113" spans="1:6" x14ac:dyDescent="0.3">
      <c r="A113" s="32" t="s">
        <v>1090</v>
      </c>
      <c r="B113">
        <v>-14.85393217</v>
      </c>
      <c r="C113">
        <v>-13.393641499999999</v>
      </c>
      <c r="E113" s="29">
        <f t="shared" si="1"/>
        <v>-1.4602906700000009</v>
      </c>
      <c r="F113" s="30">
        <v>42770</v>
      </c>
    </row>
    <row r="114" spans="1:6" x14ac:dyDescent="0.3">
      <c r="A114" s="32" t="s">
        <v>1091</v>
      </c>
      <c r="B114">
        <v>-14.49988613</v>
      </c>
      <c r="C114">
        <v>-12.548906199999999</v>
      </c>
      <c r="E114" s="29">
        <f t="shared" si="1"/>
        <v>-1.9509799300000008</v>
      </c>
      <c r="F114" s="30">
        <v>42771</v>
      </c>
    </row>
    <row r="115" spans="1:6" x14ac:dyDescent="0.3">
      <c r="A115" s="32" t="s">
        <v>1092</v>
      </c>
      <c r="B115">
        <v>-12.96622999</v>
      </c>
      <c r="C115">
        <v>-12.538974700000001</v>
      </c>
      <c r="E115" s="29">
        <f t="shared" si="1"/>
        <v>-0.42725528999999973</v>
      </c>
      <c r="F115" s="30">
        <v>42772</v>
      </c>
    </row>
    <row r="116" spans="1:6" x14ac:dyDescent="0.3">
      <c r="A116" s="32" t="s">
        <v>1093</v>
      </c>
      <c r="B116">
        <v>-12.817912529999999</v>
      </c>
      <c r="C116">
        <v>-12.0300954</v>
      </c>
      <c r="E116" s="29">
        <f t="shared" si="1"/>
        <v>-0.78781712999999876</v>
      </c>
      <c r="F116" s="30">
        <v>42773</v>
      </c>
    </row>
    <row r="117" spans="1:6" x14ac:dyDescent="0.3">
      <c r="A117" s="32" t="s">
        <v>1094</v>
      </c>
      <c r="B117">
        <v>-12.325738019999999</v>
      </c>
      <c r="C117">
        <v>-11.0179098</v>
      </c>
      <c r="E117" s="29">
        <f t="shared" si="1"/>
        <v>-1.3078282199999993</v>
      </c>
      <c r="F117" s="30">
        <v>42774</v>
      </c>
    </row>
    <row r="118" spans="1:6" x14ac:dyDescent="0.3">
      <c r="A118" s="32" t="s">
        <v>1095</v>
      </c>
      <c r="B118">
        <v>-12.816600210000001</v>
      </c>
      <c r="C118">
        <v>-10.1134275</v>
      </c>
      <c r="E118" s="29">
        <f t="shared" si="1"/>
        <v>-2.7031727100000005</v>
      </c>
      <c r="F118" s="30">
        <v>42775</v>
      </c>
    </row>
    <row r="119" spans="1:6" x14ac:dyDescent="0.3">
      <c r="A119" s="32" t="s">
        <v>1096</v>
      </c>
      <c r="B119">
        <v>-10.8324196</v>
      </c>
      <c r="C119">
        <v>-8.3641134000000008</v>
      </c>
      <c r="E119" s="29">
        <f t="shared" si="1"/>
        <v>-2.4683061999999989</v>
      </c>
      <c r="F119" s="30">
        <v>42776</v>
      </c>
    </row>
    <row r="120" spans="1:6" x14ac:dyDescent="0.3">
      <c r="A120" s="32" t="s">
        <v>1097</v>
      </c>
      <c r="B120">
        <v>-9.7950812500000008</v>
      </c>
      <c r="C120">
        <v>-7.3848846000000004</v>
      </c>
      <c r="E120" s="29">
        <f t="shared" si="1"/>
        <v>-2.4101966500000005</v>
      </c>
      <c r="F120" s="30">
        <v>42777</v>
      </c>
    </row>
    <row r="121" spans="1:6" x14ac:dyDescent="0.3">
      <c r="A121" s="32" t="s">
        <v>1098</v>
      </c>
      <c r="B121">
        <v>-10.712219940000001</v>
      </c>
      <c r="C121">
        <v>-7.9213848000000002</v>
      </c>
      <c r="E121" s="29">
        <f t="shared" si="1"/>
        <v>-2.7908351400000004</v>
      </c>
      <c r="F121" s="30">
        <v>42778</v>
      </c>
    </row>
    <row r="122" spans="1:6" x14ac:dyDescent="0.3">
      <c r="A122" s="32" t="s">
        <v>1099</v>
      </c>
      <c r="B122">
        <v>-10.877601719999999</v>
      </c>
      <c r="C122">
        <v>-8.6146036000000006</v>
      </c>
      <c r="E122" s="29">
        <f t="shared" si="1"/>
        <v>-2.2629981199999989</v>
      </c>
      <c r="F122" s="30">
        <v>42779</v>
      </c>
    </row>
    <row r="123" spans="1:6" x14ac:dyDescent="0.3">
      <c r="A123" s="32" t="s">
        <v>1100</v>
      </c>
      <c r="B123">
        <v>-10.340669739999999</v>
      </c>
      <c r="C123">
        <v>-9.5512753999999997</v>
      </c>
      <c r="E123" s="29">
        <f t="shared" si="1"/>
        <v>-0.78939433999999942</v>
      </c>
      <c r="F123" s="30">
        <v>42780</v>
      </c>
    </row>
    <row r="124" spans="1:6" x14ac:dyDescent="0.3">
      <c r="A124" s="32" t="s">
        <v>1101</v>
      </c>
      <c r="B124">
        <v>-10.20502832</v>
      </c>
      <c r="C124">
        <v>-11.1086939</v>
      </c>
      <c r="E124" s="29">
        <f t="shared" si="1"/>
        <v>0.90366558000000019</v>
      </c>
      <c r="F124" s="30">
        <v>42781</v>
      </c>
    </row>
    <row r="125" spans="1:6" x14ac:dyDescent="0.3">
      <c r="A125" s="32" t="s">
        <v>1102</v>
      </c>
      <c r="B125">
        <v>-9.8965863699999996</v>
      </c>
      <c r="C125">
        <v>-10.543613499999999</v>
      </c>
      <c r="E125" s="29">
        <f t="shared" si="1"/>
        <v>0.64702712999999967</v>
      </c>
      <c r="F125" s="30">
        <v>42782</v>
      </c>
    </row>
    <row r="126" spans="1:6" x14ac:dyDescent="0.3">
      <c r="A126" s="32" t="s">
        <v>1103</v>
      </c>
      <c r="B126">
        <v>-9.8625131100000001</v>
      </c>
      <c r="C126">
        <v>-11.289740200000001</v>
      </c>
      <c r="E126" s="29">
        <f t="shared" si="1"/>
        <v>1.4272270900000006</v>
      </c>
      <c r="F126" s="30">
        <v>42783</v>
      </c>
    </row>
    <row r="127" spans="1:6" x14ac:dyDescent="0.3">
      <c r="A127" s="32" t="s">
        <v>1104</v>
      </c>
      <c r="B127">
        <v>-9.9306206800000005</v>
      </c>
      <c r="C127">
        <v>-10.783461300000001</v>
      </c>
      <c r="E127" s="29">
        <f t="shared" si="1"/>
        <v>0.85284062000000027</v>
      </c>
      <c r="F127" s="30">
        <v>42784</v>
      </c>
    </row>
    <row r="128" spans="1:6" x14ac:dyDescent="0.3">
      <c r="A128" s="32" t="s">
        <v>1105</v>
      </c>
      <c r="B128">
        <v>-8.1939913700000009</v>
      </c>
      <c r="C128">
        <v>-10.191140600000001</v>
      </c>
      <c r="E128" s="29">
        <f t="shared" si="1"/>
        <v>1.9971492299999998</v>
      </c>
      <c r="F128" s="30">
        <v>42785</v>
      </c>
    </row>
    <row r="129" spans="1:6" x14ac:dyDescent="0.3">
      <c r="A129" s="32" t="s">
        <v>1106</v>
      </c>
      <c r="B129">
        <v>-6.5588762699999998</v>
      </c>
      <c r="C129">
        <v>-8.8812327</v>
      </c>
      <c r="E129" s="29">
        <f t="shared" si="1"/>
        <v>2.3223564300000001</v>
      </c>
      <c r="F129" s="30">
        <v>42786</v>
      </c>
    </row>
    <row r="130" spans="1:6" x14ac:dyDescent="0.3">
      <c r="A130" s="32" t="s">
        <v>1107</v>
      </c>
      <c r="B130">
        <v>-5.3169086600000002</v>
      </c>
      <c r="C130">
        <v>-7.7518177000000001</v>
      </c>
      <c r="E130" s="29">
        <f t="shared" si="1"/>
        <v>2.43490904</v>
      </c>
      <c r="F130" s="30">
        <v>42787</v>
      </c>
    </row>
    <row r="131" spans="1:6" x14ac:dyDescent="0.3">
      <c r="A131" s="32" t="s">
        <v>1108</v>
      </c>
      <c r="B131">
        <v>-5.5741202100000002</v>
      </c>
      <c r="C131">
        <v>-8.0733993000000002</v>
      </c>
      <c r="E131" s="29">
        <f t="shared" ref="E131:E194" si="2">B131-C131</f>
        <v>2.4992790899999999</v>
      </c>
      <c r="F131" s="30">
        <v>42788</v>
      </c>
    </row>
    <row r="132" spans="1:6" x14ac:dyDescent="0.3">
      <c r="A132" s="32" t="s">
        <v>1109</v>
      </c>
      <c r="B132">
        <v>-4.8433834200000003</v>
      </c>
      <c r="C132">
        <v>-7.5688760000000004</v>
      </c>
      <c r="E132" s="29">
        <f t="shared" si="2"/>
        <v>2.7254925800000001</v>
      </c>
      <c r="F132" s="30">
        <v>42789</v>
      </c>
    </row>
    <row r="133" spans="1:6" x14ac:dyDescent="0.3">
      <c r="A133" s="32" t="s">
        <v>1110</v>
      </c>
      <c r="B133">
        <v>-5.0262879700000003</v>
      </c>
      <c r="C133">
        <v>-6.7040537999999996</v>
      </c>
      <c r="E133" s="29">
        <f t="shared" si="2"/>
        <v>1.6777658299999993</v>
      </c>
      <c r="F133" s="30">
        <v>42790</v>
      </c>
    </row>
    <row r="134" spans="1:6" x14ac:dyDescent="0.3">
      <c r="A134" s="32" t="s">
        <v>1111</v>
      </c>
      <c r="B134">
        <v>-3.82189902</v>
      </c>
      <c r="C134">
        <v>-6.5774632000000004</v>
      </c>
      <c r="E134" s="29">
        <f t="shared" si="2"/>
        <v>2.7555641800000004</v>
      </c>
      <c r="F134" s="30">
        <v>42791</v>
      </c>
    </row>
    <row r="135" spans="1:6" x14ac:dyDescent="0.3">
      <c r="A135" s="32" t="s">
        <v>1112</v>
      </c>
      <c r="B135">
        <v>-3.8903778500000001</v>
      </c>
      <c r="C135">
        <v>-6.4864407000000002</v>
      </c>
      <c r="E135" s="29">
        <f t="shared" si="2"/>
        <v>2.59606285</v>
      </c>
      <c r="F135" s="30">
        <v>42792</v>
      </c>
    </row>
    <row r="136" spans="1:6" x14ac:dyDescent="0.3">
      <c r="A136" s="32" t="s">
        <v>1113</v>
      </c>
      <c r="B136">
        <v>-5.7571972000000002</v>
      </c>
      <c r="C136">
        <v>-7.8809389999999997</v>
      </c>
      <c r="E136" s="29">
        <f t="shared" si="2"/>
        <v>2.1237417999999995</v>
      </c>
      <c r="F136" s="30">
        <v>42793</v>
      </c>
    </row>
    <row r="137" spans="1:6" x14ac:dyDescent="0.3">
      <c r="A137" s="32" t="s">
        <v>1114</v>
      </c>
      <c r="B137">
        <v>-6.4217756499999998</v>
      </c>
      <c r="C137">
        <v>-6.7787290999999996</v>
      </c>
      <c r="E137" s="29">
        <f t="shared" si="2"/>
        <v>0.35695344999999978</v>
      </c>
      <c r="F137" s="30">
        <v>42794</v>
      </c>
    </row>
    <row r="138" spans="1:6" x14ac:dyDescent="0.3">
      <c r="A138" s="32" t="s">
        <v>1115</v>
      </c>
      <c r="B138">
        <v>-6.9412956299999999</v>
      </c>
      <c r="C138">
        <v>-8.0163519000000001</v>
      </c>
      <c r="E138" s="29">
        <f t="shared" si="2"/>
        <v>1.0750562700000001</v>
      </c>
      <c r="F138" s="30">
        <v>42795</v>
      </c>
    </row>
    <row r="139" spans="1:6" x14ac:dyDescent="0.3">
      <c r="A139" s="32" t="s">
        <v>1116</v>
      </c>
      <c r="B139">
        <v>-6.75732306</v>
      </c>
      <c r="C139">
        <v>-7.972709</v>
      </c>
      <c r="E139" s="29">
        <f t="shared" si="2"/>
        <v>1.21538594</v>
      </c>
      <c r="F139" s="30">
        <v>42796</v>
      </c>
    </row>
    <row r="140" spans="1:6" x14ac:dyDescent="0.3">
      <c r="A140" s="32" t="s">
        <v>1117</v>
      </c>
      <c r="B140">
        <v>-6.4303664200000004</v>
      </c>
      <c r="C140">
        <v>-6.4220249000000003</v>
      </c>
      <c r="E140" s="29">
        <f t="shared" si="2"/>
        <v>-8.3415200000001022E-3</v>
      </c>
      <c r="F140" s="30">
        <v>42797</v>
      </c>
    </row>
    <row r="141" spans="1:6" x14ac:dyDescent="0.3">
      <c r="A141" s="32" t="s">
        <v>1118</v>
      </c>
      <c r="B141">
        <v>-7.7541275000000001</v>
      </c>
      <c r="C141">
        <v>-5.8979625999999996</v>
      </c>
      <c r="E141" s="29">
        <f t="shared" si="2"/>
        <v>-1.8561649000000005</v>
      </c>
      <c r="F141" s="30">
        <v>42798</v>
      </c>
    </row>
    <row r="142" spans="1:6" x14ac:dyDescent="0.3">
      <c r="A142" s="32" t="s">
        <v>1119</v>
      </c>
      <c r="B142">
        <v>-8.2920831499999998</v>
      </c>
      <c r="C142">
        <v>-5.6393022000000004</v>
      </c>
      <c r="E142" s="29">
        <f t="shared" si="2"/>
        <v>-2.6527809499999995</v>
      </c>
      <c r="F142" s="30">
        <v>42799</v>
      </c>
    </row>
    <row r="143" spans="1:6" x14ac:dyDescent="0.3">
      <c r="A143" s="32" t="s">
        <v>1120</v>
      </c>
      <c r="B143">
        <v>-8.9716385400000007</v>
      </c>
      <c r="C143">
        <v>-5.1538757999999998</v>
      </c>
      <c r="E143" s="29">
        <f t="shared" si="2"/>
        <v>-3.8177627400000009</v>
      </c>
      <c r="F143" s="30">
        <v>42800</v>
      </c>
    </row>
    <row r="144" spans="1:6" x14ac:dyDescent="0.3">
      <c r="A144" s="32" t="s">
        <v>1121</v>
      </c>
      <c r="B144">
        <v>-6.6946688999999999</v>
      </c>
      <c r="C144">
        <v>-5.6470754999999997</v>
      </c>
      <c r="E144" s="29">
        <f t="shared" si="2"/>
        <v>-1.0475934000000002</v>
      </c>
      <c r="F144" s="30">
        <v>42801</v>
      </c>
    </row>
    <row r="145" spans="1:6" x14ac:dyDescent="0.3">
      <c r="A145" s="32" t="s">
        <v>1122</v>
      </c>
      <c r="B145">
        <v>-6.9816323899999997</v>
      </c>
      <c r="C145">
        <v>-6.6312796000000001</v>
      </c>
      <c r="E145" s="29">
        <f t="shared" si="2"/>
        <v>-0.35035278999999964</v>
      </c>
      <c r="F145" s="30">
        <v>42802</v>
      </c>
    </row>
    <row r="146" spans="1:6" x14ac:dyDescent="0.3">
      <c r="A146" s="32" t="s">
        <v>1123</v>
      </c>
      <c r="B146">
        <v>-7.5884617800000003</v>
      </c>
      <c r="C146">
        <v>-6.5475167000000001</v>
      </c>
      <c r="E146" s="29">
        <f t="shared" si="2"/>
        <v>-1.0409450800000002</v>
      </c>
      <c r="F146" s="30">
        <v>42803</v>
      </c>
    </row>
    <row r="147" spans="1:6" x14ac:dyDescent="0.3">
      <c r="A147" s="32" t="s">
        <v>1124</v>
      </c>
      <c r="B147">
        <v>-7.5947052900000003</v>
      </c>
      <c r="C147">
        <v>-7.6017833000000001</v>
      </c>
      <c r="E147" s="29">
        <f t="shared" si="2"/>
        <v>7.0780099999998569E-3</v>
      </c>
      <c r="F147" s="30">
        <v>42804</v>
      </c>
    </row>
    <row r="148" spans="1:6" x14ac:dyDescent="0.3">
      <c r="A148" s="32" t="s">
        <v>1125</v>
      </c>
      <c r="B148">
        <v>-7.5254581099999998</v>
      </c>
      <c r="C148">
        <v>-7.0795915999999997</v>
      </c>
      <c r="E148" s="29">
        <f t="shared" si="2"/>
        <v>-0.4458665100000001</v>
      </c>
      <c r="F148" s="30">
        <v>42805</v>
      </c>
    </row>
    <row r="149" spans="1:6" x14ac:dyDescent="0.3">
      <c r="A149" s="32" t="s">
        <v>1126</v>
      </c>
      <c r="B149">
        <v>-7.5582907199999996</v>
      </c>
      <c r="C149">
        <v>-7.2027049999999999</v>
      </c>
      <c r="E149" s="29">
        <f t="shared" si="2"/>
        <v>-0.35558571999999966</v>
      </c>
      <c r="F149" s="30">
        <v>42806</v>
      </c>
    </row>
    <row r="150" spans="1:6" x14ac:dyDescent="0.3">
      <c r="A150" s="32" t="s">
        <v>1127</v>
      </c>
      <c r="B150">
        <v>-7.7411098799999998</v>
      </c>
      <c r="C150">
        <v>-7.7788424000000003</v>
      </c>
      <c r="E150" s="29">
        <f t="shared" si="2"/>
        <v>3.7732520000000491E-2</v>
      </c>
      <c r="F150" s="30">
        <v>42807</v>
      </c>
    </row>
    <row r="151" spans="1:6" x14ac:dyDescent="0.3">
      <c r="A151" s="32" t="s">
        <v>1128</v>
      </c>
      <c r="B151">
        <v>-8.9437239399999999</v>
      </c>
      <c r="C151">
        <v>-7.8409146999999999</v>
      </c>
      <c r="E151" s="29">
        <f t="shared" si="2"/>
        <v>-1.10280924</v>
      </c>
      <c r="F151" s="30">
        <v>42808</v>
      </c>
    </row>
    <row r="152" spans="1:6" x14ac:dyDescent="0.3">
      <c r="A152" s="32" t="s">
        <v>1129</v>
      </c>
      <c r="B152">
        <v>-7.66219055</v>
      </c>
      <c r="C152">
        <v>-8.8135092999999998</v>
      </c>
      <c r="E152" s="29">
        <f t="shared" si="2"/>
        <v>1.1513187499999997</v>
      </c>
      <c r="F152" s="30">
        <v>42809</v>
      </c>
    </row>
    <row r="153" spans="1:6" x14ac:dyDescent="0.3">
      <c r="A153" s="32" t="s">
        <v>1130</v>
      </c>
      <c r="B153">
        <v>-9.1020130899999998</v>
      </c>
      <c r="C153">
        <v>-8.6131934000000001</v>
      </c>
      <c r="E153" s="29">
        <f t="shared" si="2"/>
        <v>-0.4888196899999997</v>
      </c>
      <c r="F153" s="30">
        <v>42810</v>
      </c>
    </row>
    <row r="154" spans="1:6" x14ac:dyDescent="0.3">
      <c r="A154" s="32" t="s">
        <v>1131</v>
      </c>
      <c r="B154">
        <v>-9.6008159400000004</v>
      </c>
      <c r="C154">
        <v>-9.3767215000000004</v>
      </c>
      <c r="E154" s="29">
        <f t="shared" si="2"/>
        <v>-0.22409444000000001</v>
      </c>
      <c r="F154" s="30">
        <v>42811</v>
      </c>
    </row>
    <row r="155" spans="1:6" x14ac:dyDescent="0.3">
      <c r="A155" s="32" t="s">
        <v>1132</v>
      </c>
      <c r="B155">
        <v>-9.7584226699999999</v>
      </c>
      <c r="C155">
        <v>-9.7053569999999993</v>
      </c>
      <c r="E155" s="29">
        <f t="shared" si="2"/>
        <v>-5.3065670000000509E-2</v>
      </c>
      <c r="F155" s="30">
        <v>42812</v>
      </c>
    </row>
    <row r="156" spans="1:6" x14ac:dyDescent="0.3">
      <c r="A156" s="32" t="s">
        <v>1133</v>
      </c>
      <c r="B156">
        <v>-8.6189780999999996</v>
      </c>
      <c r="C156">
        <v>-8.1614768000000009</v>
      </c>
      <c r="E156" s="29">
        <f t="shared" si="2"/>
        <v>-0.45750129999999878</v>
      </c>
      <c r="F156" s="30">
        <v>42813</v>
      </c>
    </row>
    <row r="157" spans="1:6" x14ac:dyDescent="0.3">
      <c r="A157" s="32" t="s">
        <v>1134</v>
      </c>
      <c r="B157">
        <v>-8.3614313300000003</v>
      </c>
      <c r="C157">
        <v>-9.4452230999999998</v>
      </c>
      <c r="E157" s="29">
        <f t="shared" si="2"/>
        <v>1.0837917699999995</v>
      </c>
      <c r="F157" s="30">
        <v>42814</v>
      </c>
    </row>
    <row r="158" spans="1:6" x14ac:dyDescent="0.3">
      <c r="A158" s="32" t="s">
        <v>1135</v>
      </c>
      <c r="B158">
        <v>-7.9610394299999996</v>
      </c>
      <c r="C158">
        <v>-8.9169177000000008</v>
      </c>
      <c r="E158" s="29">
        <f t="shared" si="2"/>
        <v>0.95587827000000125</v>
      </c>
      <c r="F158" s="30">
        <v>42815</v>
      </c>
    </row>
    <row r="159" spans="1:6" x14ac:dyDescent="0.3">
      <c r="A159" s="32" t="s">
        <v>1136</v>
      </c>
      <c r="B159">
        <v>-6.7190992300000003</v>
      </c>
      <c r="C159">
        <v>-9.2081660999999997</v>
      </c>
      <c r="E159" s="29">
        <f t="shared" si="2"/>
        <v>2.4890668699999994</v>
      </c>
      <c r="F159" s="30">
        <v>42816</v>
      </c>
    </row>
    <row r="160" spans="1:6" x14ac:dyDescent="0.3">
      <c r="A160" s="32" t="s">
        <v>1137</v>
      </c>
      <c r="B160">
        <v>-5.7845532899999998</v>
      </c>
      <c r="C160">
        <v>-8.4325293000000006</v>
      </c>
      <c r="E160" s="29">
        <f t="shared" si="2"/>
        <v>2.6479760100000007</v>
      </c>
      <c r="F160" s="30">
        <v>42817</v>
      </c>
    </row>
    <row r="161" spans="1:6" x14ac:dyDescent="0.3">
      <c r="A161" s="32" t="s">
        <v>1138</v>
      </c>
      <c r="B161">
        <v>-4.84605409</v>
      </c>
      <c r="C161">
        <v>-7.7273331000000001</v>
      </c>
      <c r="E161" s="29">
        <f t="shared" si="2"/>
        <v>2.8812790100000001</v>
      </c>
      <c r="F161" s="30">
        <v>42818</v>
      </c>
    </row>
    <row r="162" spans="1:6" x14ac:dyDescent="0.3">
      <c r="A162" s="32" t="s">
        <v>1139</v>
      </c>
      <c r="B162">
        <v>-5.2623915300000004</v>
      </c>
      <c r="C162">
        <v>-8.6357779000000008</v>
      </c>
      <c r="E162" s="29">
        <f t="shared" si="2"/>
        <v>3.3733863700000004</v>
      </c>
      <c r="F162" s="30">
        <v>42819</v>
      </c>
    </row>
    <row r="163" spans="1:6" x14ac:dyDescent="0.3">
      <c r="A163" s="32" t="s">
        <v>1140</v>
      </c>
      <c r="B163">
        <v>-4.2909090399999998</v>
      </c>
      <c r="C163">
        <v>-9.1598922999999992</v>
      </c>
      <c r="E163" s="29">
        <f t="shared" si="2"/>
        <v>4.8689832599999994</v>
      </c>
      <c r="F163" s="30">
        <v>42820</v>
      </c>
    </row>
    <row r="164" spans="1:6" x14ac:dyDescent="0.3">
      <c r="A164" s="32" t="s">
        <v>1141</v>
      </c>
      <c r="B164">
        <v>-4.8073002899999997</v>
      </c>
      <c r="C164">
        <v>-9.0584749999999996</v>
      </c>
      <c r="E164" s="29">
        <f t="shared" si="2"/>
        <v>4.2511747099999999</v>
      </c>
      <c r="F164" s="30">
        <v>42821</v>
      </c>
    </row>
    <row r="165" spans="1:6" x14ac:dyDescent="0.3">
      <c r="A165" s="32" t="s">
        <v>1142</v>
      </c>
      <c r="B165">
        <v>-6.1779274900000001</v>
      </c>
      <c r="C165">
        <v>-9.4445475000000005</v>
      </c>
      <c r="E165" s="29">
        <f t="shared" si="2"/>
        <v>3.2666200100000005</v>
      </c>
      <c r="F165" s="30">
        <v>42822</v>
      </c>
    </row>
    <row r="166" spans="1:6" x14ac:dyDescent="0.3">
      <c r="A166" s="32" t="s">
        <v>1143</v>
      </c>
      <c r="B166">
        <v>-6.83561569</v>
      </c>
      <c r="C166">
        <v>-10.3693375</v>
      </c>
      <c r="E166" s="29">
        <f t="shared" si="2"/>
        <v>3.5337218100000003</v>
      </c>
      <c r="F166" s="30">
        <v>42823</v>
      </c>
    </row>
    <row r="167" spans="1:6" x14ac:dyDescent="0.3">
      <c r="A167" s="32" t="s">
        <v>1144</v>
      </c>
      <c r="B167">
        <v>-5.7933810499999998</v>
      </c>
      <c r="C167">
        <v>-9.0952386000000001</v>
      </c>
      <c r="E167" s="29">
        <f t="shared" si="2"/>
        <v>3.3018575500000003</v>
      </c>
      <c r="F167" s="30">
        <v>42824</v>
      </c>
    </row>
    <row r="168" spans="1:6" x14ac:dyDescent="0.3">
      <c r="A168" s="32" t="s">
        <v>1145</v>
      </c>
      <c r="B168">
        <v>-4.7542372400000001</v>
      </c>
      <c r="C168">
        <v>-9.2047121000000001</v>
      </c>
      <c r="E168" s="29">
        <f t="shared" si="2"/>
        <v>4.4504748599999999</v>
      </c>
      <c r="F168" s="30">
        <v>42825</v>
      </c>
    </row>
    <row r="169" spans="1:6" x14ac:dyDescent="0.3">
      <c r="A169" s="32" t="s">
        <v>1146</v>
      </c>
      <c r="B169">
        <v>-3.6639741300000002</v>
      </c>
      <c r="C169">
        <v>-8.5324910000000003</v>
      </c>
      <c r="E169" s="29">
        <f t="shared" si="2"/>
        <v>4.8685168700000006</v>
      </c>
      <c r="F169" s="30">
        <v>42826</v>
      </c>
    </row>
    <row r="170" spans="1:6" x14ac:dyDescent="0.3">
      <c r="A170" s="32" t="s">
        <v>1147</v>
      </c>
      <c r="B170">
        <v>-3.8804848999999999</v>
      </c>
      <c r="C170">
        <v>-8.0777687</v>
      </c>
      <c r="E170" s="29">
        <f t="shared" si="2"/>
        <v>4.1972838000000001</v>
      </c>
      <c r="F170" s="30">
        <v>42827</v>
      </c>
    </row>
    <row r="171" spans="1:6" x14ac:dyDescent="0.3">
      <c r="A171" s="32" t="s">
        <v>1148</v>
      </c>
      <c r="B171">
        <v>-4.0858254900000004</v>
      </c>
      <c r="C171">
        <v>-8.4551608999999992</v>
      </c>
      <c r="E171" s="29">
        <f t="shared" si="2"/>
        <v>4.3693354099999988</v>
      </c>
      <c r="F171" s="30">
        <v>42828</v>
      </c>
    </row>
    <row r="172" spans="1:6" x14ac:dyDescent="0.3">
      <c r="A172" s="32" t="s">
        <v>1149</v>
      </c>
      <c r="B172">
        <v>-5.1413095799999997</v>
      </c>
      <c r="C172">
        <v>-9.2580735999999995</v>
      </c>
      <c r="E172" s="29">
        <f t="shared" si="2"/>
        <v>4.1167640199999997</v>
      </c>
      <c r="F172" s="30">
        <v>42829</v>
      </c>
    </row>
    <row r="173" spans="1:6" x14ac:dyDescent="0.3">
      <c r="A173" s="32" t="s">
        <v>1150</v>
      </c>
      <c r="B173">
        <v>-4.5982396400000001</v>
      </c>
      <c r="C173">
        <v>-9.5798775000000003</v>
      </c>
      <c r="E173" s="29">
        <f t="shared" si="2"/>
        <v>4.9816378600000002</v>
      </c>
      <c r="F173" s="30">
        <v>42830</v>
      </c>
    </row>
    <row r="174" spans="1:6" x14ac:dyDescent="0.3">
      <c r="A174" s="32" t="s">
        <v>1151</v>
      </c>
      <c r="B174">
        <v>-4.5002830400000002</v>
      </c>
      <c r="C174">
        <v>-8.4856718999999998</v>
      </c>
      <c r="E174" s="29">
        <f t="shared" si="2"/>
        <v>3.9853888599999996</v>
      </c>
      <c r="F174" s="30">
        <v>42831</v>
      </c>
    </row>
    <row r="175" spans="1:6" x14ac:dyDescent="0.3">
      <c r="A175" s="32" t="s">
        <v>1152</v>
      </c>
      <c r="B175">
        <v>-2.9744522899999999</v>
      </c>
      <c r="C175">
        <v>-9.0926092000000001</v>
      </c>
      <c r="E175" s="29">
        <f t="shared" si="2"/>
        <v>6.1181569099999997</v>
      </c>
      <c r="F175" s="30">
        <v>42832</v>
      </c>
    </row>
    <row r="176" spans="1:6" x14ac:dyDescent="0.3">
      <c r="A176" s="32" t="s">
        <v>1153</v>
      </c>
      <c r="B176">
        <v>-2.91004211</v>
      </c>
      <c r="C176">
        <v>-9.6283583999999998</v>
      </c>
      <c r="E176" s="29">
        <f t="shared" si="2"/>
        <v>6.7183162899999997</v>
      </c>
      <c r="F176" s="30">
        <v>42833</v>
      </c>
    </row>
    <row r="177" spans="1:6" x14ac:dyDescent="0.3">
      <c r="A177" s="32" t="s">
        <v>1154</v>
      </c>
      <c r="B177">
        <v>-2.1642529700000002</v>
      </c>
      <c r="C177">
        <v>-9.4748257999999996</v>
      </c>
      <c r="E177" s="29">
        <f t="shared" si="2"/>
        <v>7.3105728299999999</v>
      </c>
      <c r="F177" s="30">
        <v>42834</v>
      </c>
    </row>
    <row r="178" spans="1:6" x14ac:dyDescent="0.3">
      <c r="A178" s="32" t="s">
        <v>1155</v>
      </c>
      <c r="B178">
        <v>-2.2296886800000002</v>
      </c>
      <c r="C178">
        <v>-8.9538071000000006</v>
      </c>
      <c r="E178" s="29">
        <f t="shared" si="2"/>
        <v>6.7241184199999999</v>
      </c>
      <c r="F178" s="30">
        <v>42835</v>
      </c>
    </row>
    <row r="179" spans="1:6" x14ac:dyDescent="0.3">
      <c r="A179" s="32" t="s">
        <v>1156</v>
      </c>
      <c r="B179">
        <v>-2.00242071</v>
      </c>
      <c r="C179">
        <v>-9.7001773</v>
      </c>
      <c r="E179" s="29">
        <f t="shared" si="2"/>
        <v>7.69775659</v>
      </c>
      <c r="F179" s="30">
        <v>42836</v>
      </c>
    </row>
    <row r="180" spans="1:6" x14ac:dyDescent="0.3">
      <c r="A180" s="32" t="s">
        <v>1157</v>
      </c>
      <c r="B180">
        <v>-0.94116999000000001</v>
      </c>
      <c r="C180">
        <v>-10.8448285</v>
      </c>
      <c r="E180" s="29">
        <f t="shared" si="2"/>
        <v>9.9036585099999996</v>
      </c>
      <c r="F180" s="30">
        <v>42837</v>
      </c>
    </row>
    <row r="181" spans="1:6" x14ac:dyDescent="0.3">
      <c r="A181" s="32" t="s">
        <v>1158</v>
      </c>
      <c r="B181">
        <v>-0.96471116000000001</v>
      </c>
      <c r="C181">
        <v>-13.2932127</v>
      </c>
      <c r="E181" s="29">
        <f t="shared" si="2"/>
        <v>12.32850154</v>
      </c>
      <c r="F181" s="30">
        <v>42838</v>
      </c>
    </row>
    <row r="182" spans="1:6" x14ac:dyDescent="0.3">
      <c r="A182" s="32" t="s">
        <v>1159</v>
      </c>
      <c r="B182">
        <v>-0.88165461999999994</v>
      </c>
      <c r="C182">
        <v>-11.0611259</v>
      </c>
      <c r="E182" s="29">
        <f t="shared" si="2"/>
        <v>10.179471280000001</v>
      </c>
      <c r="F182" s="30">
        <v>42839</v>
      </c>
    </row>
    <row r="183" spans="1:6" x14ac:dyDescent="0.3">
      <c r="A183" s="32" t="s">
        <v>1160</v>
      </c>
      <c r="B183">
        <v>-0.51197384999999995</v>
      </c>
      <c r="C183">
        <v>-8.8748473000000008</v>
      </c>
      <c r="E183" s="29">
        <f t="shared" si="2"/>
        <v>8.3628734500000004</v>
      </c>
      <c r="F183" s="30">
        <v>42840</v>
      </c>
    </row>
    <row r="184" spans="1:6" x14ac:dyDescent="0.3">
      <c r="A184" s="32" t="s">
        <v>1161</v>
      </c>
      <c r="B184">
        <v>-1.3475015299999999</v>
      </c>
      <c r="C184">
        <v>-9.2055164999999999</v>
      </c>
      <c r="E184" s="29">
        <f t="shared" si="2"/>
        <v>7.8580149700000002</v>
      </c>
      <c r="F184" s="30">
        <v>42841</v>
      </c>
    </row>
    <row r="185" spans="1:6" x14ac:dyDescent="0.3">
      <c r="A185" s="32" t="s">
        <v>1162</v>
      </c>
      <c r="B185">
        <v>2.2030029999999999E-2</v>
      </c>
      <c r="C185">
        <v>-9.8360354999999995</v>
      </c>
      <c r="E185" s="29">
        <f t="shared" si="2"/>
        <v>9.8580655299999993</v>
      </c>
      <c r="F185" s="30">
        <v>42842</v>
      </c>
    </row>
    <row r="186" spans="1:6" x14ac:dyDescent="0.3">
      <c r="A186" s="32" t="s">
        <v>1163</v>
      </c>
      <c r="B186">
        <v>0.43973370000000001</v>
      </c>
      <c r="C186">
        <v>-9.0788811999999997</v>
      </c>
      <c r="E186" s="29">
        <f t="shared" si="2"/>
        <v>9.5186148999999993</v>
      </c>
      <c r="F186" s="30">
        <v>42843</v>
      </c>
    </row>
    <row r="187" spans="1:6" x14ac:dyDescent="0.3">
      <c r="A187" s="32" t="s">
        <v>1164</v>
      </c>
      <c r="B187">
        <v>1.2615522100000001</v>
      </c>
      <c r="C187">
        <v>-9.9661574000000002</v>
      </c>
      <c r="E187" s="29">
        <f t="shared" si="2"/>
        <v>11.22770961</v>
      </c>
      <c r="F187" s="30">
        <v>42844</v>
      </c>
    </row>
    <row r="188" spans="1:6" x14ac:dyDescent="0.3">
      <c r="A188" s="32" t="s">
        <v>1165</v>
      </c>
      <c r="B188">
        <v>1.0992039199999999</v>
      </c>
      <c r="C188">
        <v>-8.2453993000000008</v>
      </c>
      <c r="E188" s="29">
        <f t="shared" si="2"/>
        <v>9.3446032199999998</v>
      </c>
      <c r="F188" s="30">
        <v>42845</v>
      </c>
    </row>
    <row r="189" spans="1:6" x14ac:dyDescent="0.3">
      <c r="A189" s="32" t="s">
        <v>1166</v>
      </c>
      <c r="B189">
        <v>-0.33663975000000002</v>
      </c>
      <c r="C189">
        <v>-10.551656899999999</v>
      </c>
      <c r="E189" s="29">
        <f t="shared" si="2"/>
        <v>10.21501715</v>
      </c>
      <c r="F189" s="30">
        <v>42846</v>
      </c>
    </row>
    <row r="190" spans="1:6" x14ac:dyDescent="0.3">
      <c r="A190" s="32" t="s">
        <v>1167</v>
      </c>
      <c r="B190">
        <v>0.2142916</v>
      </c>
      <c r="C190">
        <v>-11.5855295</v>
      </c>
      <c r="E190" s="29">
        <f t="shared" si="2"/>
        <v>11.799821099999999</v>
      </c>
      <c r="F190" s="30">
        <v>42847</v>
      </c>
    </row>
    <row r="191" spans="1:6" x14ac:dyDescent="0.3">
      <c r="A191" s="32" t="s">
        <v>1168</v>
      </c>
      <c r="B191">
        <v>0.88194052999999994</v>
      </c>
      <c r="C191">
        <v>-11.839080299999999</v>
      </c>
      <c r="E191" s="29">
        <f t="shared" si="2"/>
        <v>12.721020829999999</v>
      </c>
      <c r="F191" s="30">
        <v>42848</v>
      </c>
    </row>
    <row r="192" spans="1:6" x14ac:dyDescent="0.3">
      <c r="A192" s="32" t="s">
        <v>1169</v>
      </c>
      <c r="B192">
        <v>1.87140858</v>
      </c>
      <c r="C192">
        <v>-11.406760200000001</v>
      </c>
      <c r="E192" s="29">
        <f t="shared" si="2"/>
        <v>13.278168780000001</v>
      </c>
      <c r="F192" s="30">
        <v>42849</v>
      </c>
    </row>
    <row r="193" spans="1:6" x14ac:dyDescent="0.3">
      <c r="A193" s="32" t="s">
        <v>1170</v>
      </c>
      <c r="B193">
        <v>1.4571362800000001</v>
      </c>
      <c r="C193">
        <v>-11.5326951</v>
      </c>
      <c r="E193" s="29">
        <f t="shared" si="2"/>
        <v>12.98983138</v>
      </c>
      <c r="F193" s="30">
        <v>42850</v>
      </c>
    </row>
    <row r="194" spans="1:6" x14ac:dyDescent="0.3">
      <c r="A194" s="32" t="s">
        <v>1171</v>
      </c>
      <c r="B194">
        <v>0.83713689000000002</v>
      </c>
      <c r="C194">
        <v>-10.9410167</v>
      </c>
      <c r="E194" s="29">
        <f t="shared" si="2"/>
        <v>11.778153590000001</v>
      </c>
      <c r="F194" s="30">
        <v>42851</v>
      </c>
    </row>
    <row r="195" spans="1:6" x14ac:dyDescent="0.3">
      <c r="A195" s="32" t="s">
        <v>1172</v>
      </c>
      <c r="B195">
        <v>-6.0833779999999997E-2</v>
      </c>
      <c r="C195">
        <v>-10.9295098</v>
      </c>
      <c r="E195" s="29">
        <f t="shared" ref="E195:E258" si="3">B195-C195</f>
        <v>10.868676020000001</v>
      </c>
      <c r="F195" s="30">
        <v>42852</v>
      </c>
    </row>
    <row r="196" spans="1:6" x14ac:dyDescent="0.3">
      <c r="A196" s="32" t="s">
        <v>1173</v>
      </c>
      <c r="B196">
        <v>1.13686683</v>
      </c>
      <c r="C196">
        <v>-11.3110369</v>
      </c>
      <c r="E196" s="29">
        <f t="shared" si="3"/>
        <v>12.44790373</v>
      </c>
      <c r="F196" s="30">
        <v>42853</v>
      </c>
    </row>
    <row r="197" spans="1:6" x14ac:dyDescent="0.3">
      <c r="A197" s="32" t="s">
        <v>1174</v>
      </c>
      <c r="B197">
        <v>0.77651687999999996</v>
      </c>
      <c r="C197">
        <v>-10.2187216</v>
      </c>
      <c r="E197" s="29">
        <f t="shared" si="3"/>
        <v>10.995238480000001</v>
      </c>
      <c r="F197" s="30">
        <v>42854</v>
      </c>
    </row>
    <row r="198" spans="1:6" x14ac:dyDescent="0.3">
      <c r="A198" s="32" t="s">
        <v>1175</v>
      </c>
      <c r="B198">
        <v>-1.0845669200000001</v>
      </c>
      <c r="C198">
        <v>-10.049323899999999</v>
      </c>
      <c r="E198" s="29">
        <f t="shared" si="3"/>
        <v>8.9647569799999989</v>
      </c>
      <c r="F198" s="30">
        <v>42855</v>
      </c>
    </row>
    <row r="199" spans="1:6" x14ac:dyDescent="0.3">
      <c r="A199" s="32" t="s">
        <v>1176</v>
      </c>
      <c r="B199">
        <v>-0.83270127000000005</v>
      </c>
      <c r="C199">
        <v>-9.8000197</v>
      </c>
      <c r="E199" s="29">
        <f t="shared" si="3"/>
        <v>8.9673184300000006</v>
      </c>
      <c r="F199" s="30">
        <v>42856</v>
      </c>
    </row>
    <row r="200" spans="1:6" x14ac:dyDescent="0.3">
      <c r="A200" s="32" t="s">
        <v>1177</v>
      </c>
      <c r="B200">
        <v>0.81251061000000002</v>
      </c>
      <c r="C200">
        <v>-10.5807927</v>
      </c>
      <c r="E200" s="29">
        <f t="shared" si="3"/>
        <v>11.39330331</v>
      </c>
      <c r="F200" s="30">
        <v>42857</v>
      </c>
    </row>
    <row r="201" spans="1:6" x14ac:dyDescent="0.3">
      <c r="A201" s="32" t="s">
        <v>1178</v>
      </c>
      <c r="B201">
        <v>0.27334339000000002</v>
      </c>
      <c r="C201">
        <v>-10.2039651</v>
      </c>
      <c r="E201" s="29">
        <f t="shared" si="3"/>
        <v>10.47730849</v>
      </c>
      <c r="F201" s="30">
        <v>42858</v>
      </c>
    </row>
    <row r="202" spans="1:6" x14ac:dyDescent="0.3">
      <c r="A202" s="32" t="s">
        <v>1179</v>
      </c>
      <c r="B202">
        <v>0.17392099999999999</v>
      </c>
      <c r="C202">
        <v>-9.9864800000000002</v>
      </c>
      <c r="E202" s="29">
        <f t="shared" si="3"/>
        <v>10.160401</v>
      </c>
      <c r="F202" s="30">
        <v>42859</v>
      </c>
    </row>
    <row r="203" spans="1:6" x14ac:dyDescent="0.3">
      <c r="A203" s="32" t="s">
        <v>1180</v>
      </c>
      <c r="B203">
        <v>0.97088538000000002</v>
      </c>
      <c r="C203">
        <v>-9.1989932999999997</v>
      </c>
      <c r="E203" s="29">
        <f t="shared" si="3"/>
        <v>10.16987868</v>
      </c>
      <c r="F203" s="30">
        <v>42860</v>
      </c>
    </row>
    <row r="204" spans="1:6" x14ac:dyDescent="0.3">
      <c r="A204" s="32" t="s">
        <v>1181</v>
      </c>
      <c r="B204">
        <v>-6.7429559999999999E-2</v>
      </c>
      <c r="C204">
        <v>-8.5951179999999994</v>
      </c>
      <c r="E204" s="29">
        <f t="shared" si="3"/>
        <v>8.5276884399999986</v>
      </c>
      <c r="F204" s="30">
        <v>42861</v>
      </c>
    </row>
    <row r="205" spans="1:6" x14ac:dyDescent="0.3">
      <c r="A205" s="32" t="s">
        <v>1182</v>
      </c>
      <c r="B205">
        <v>1.85509634</v>
      </c>
      <c r="C205">
        <v>-9.4116873000000005</v>
      </c>
      <c r="E205" s="29">
        <f t="shared" si="3"/>
        <v>11.26678364</v>
      </c>
      <c r="F205" s="30">
        <v>42862</v>
      </c>
    </row>
    <row r="206" spans="1:6" x14ac:dyDescent="0.3">
      <c r="A206" s="32" t="s">
        <v>1183</v>
      </c>
      <c r="B206">
        <v>1.2829787100000001</v>
      </c>
      <c r="C206">
        <v>-8.9157597000000006</v>
      </c>
      <c r="E206" s="29">
        <f t="shared" si="3"/>
        <v>10.198738410000001</v>
      </c>
      <c r="F206" s="30">
        <v>42863</v>
      </c>
    </row>
    <row r="207" spans="1:6" x14ac:dyDescent="0.3">
      <c r="A207" s="32" t="s">
        <v>1184</v>
      </c>
      <c r="B207">
        <v>2.2821283999999999</v>
      </c>
      <c r="C207">
        <v>-8.5768257000000006</v>
      </c>
      <c r="E207" s="29">
        <f t="shared" si="3"/>
        <v>10.8589541</v>
      </c>
      <c r="F207" s="30">
        <v>42864</v>
      </c>
    </row>
    <row r="208" spans="1:6" x14ac:dyDescent="0.3">
      <c r="A208" s="32" t="s">
        <v>1185</v>
      </c>
      <c r="B208">
        <v>2.2500223300000002</v>
      </c>
      <c r="C208">
        <v>-5.8653564999999999</v>
      </c>
      <c r="E208" s="29">
        <f t="shared" si="3"/>
        <v>8.1153788300000009</v>
      </c>
      <c r="F208" s="30">
        <v>42865</v>
      </c>
    </row>
    <row r="209" spans="1:6" x14ac:dyDescent="0.3">
      <c r="A209" s="32" t="s">
        <v>1186</v>
      </c>
      <c r="B209">
        <v>3.0758037699999998</v>
      </c>
      <c r="C209">
        <v>-5.4765145000000004</v>
      </c>
      <c r="E209" s="29">
        <f t="shared" si="3"/>
        <v>8.5523182700000007</v>
      </c>
      <c r="F209" s="30">
        <v>42866</v>
      </c>
    </row>
    <row r="210" spans="1:6" x14ac:dyDescent="0.3">
      <c r="A210" s="32" t="s">
        <v>1187</v>
      </c>
      <c r="B210">
        <v>3.6825569100000002</v>
      </c>
      <c r="C210">
        <v>-7.7349563000000003</v>
      </c>
      <c r="E210" s="29">
        <f t="shared" si="3"/>
        <v>11.417513210000001</v>
      </c>
      <c r="F210" s="30">
        <v>42867</v>
      </c>
    </row>
    <row r="211" spans="1:6" x14ac:dyDescent="0.3">
      <c r="A211" s="32" t="s">
        <v>1188</v>
      </c>
      <c r="B211">
        <v>4.4440891499999999</v>
      </c>
      <c r="C211">
        <v>-9.3651826000000007</v>
      </c>
      <c r="E211" s="29">
        <f t="shared" si="3"/>
        <v>13.809271750000001</v>
      </c>
      <c r="F211" s="30">
        <v>42868</v>
      </c>
    </row>
    <row r="212" spans="1:6" x14ac:dyDescent="0.3">
      <c r="A212" s="32" t="s">
        <v>1189</v>
      </c>
      <c r="B212">
        <v>3.29554042</v>
      </c>
      <c r="C212">
        <v>-8.1511720000000008</v>
      </c>
      <c r="E212" s="29">
        <f t="shared" si="3"/>
        <v>11.446712420000001</v>
      </c>
      <c r="F212" s="30">
        <v>42869</v>
      </c>
    </row>
    <row r="213" spans="1:6" x14ac:dyDescent="0.3">
      <c r="A213" s="32" t="s">
        <v>1190</v>
      </c>
      <c r="B213">
        <v>5.1154864099999999</v>
      </c>
      <c r="C213">
        <v>-7.7854815000000004</v>
      </c>
      <c r="E213" s="29">
        <f t="shared" si="3"/>
        <v>12.90096791</v>
      </c>
      <c r="F213" s="30">
        <v>42870</v>
      </c>
    </row>
    <row r="214" spans="1:6" x14ac:dyDescent="0.3">
      <c r="A214" s="32" t="s">
        <v>1191</v>
      </c>
      <c r="B214">
        <v>5.4625506599999998</v>
      </c>
      <c r="C214">
        <v>-7.5031252000000004</v>
      </c>
      <c r="E214" s="29">
        <f t="shared" si="3"/>
        <v>12.965675860000001</v>
      </c>
      <c r="F214" s="30">
        <v>42871</v>
      </c>
    </row>
    <row r="215" spans="1:6" x14ac:dyDescent="0.3">
      <c r="A215" s="32" t="s">
        <v>1192</v>
      </c>
      <c r="B215">
        <v>5.5350522</v>
      </c>
      <c r="C215">
        <v>-6.3332917999999996</v>
      </c>
      <c r="E215" s="29">
        <f t="shared" si="3"/>
        <v>11.868344</v>
      </c>
      <c r="F215" s="30">
        <v>42872</v>
      </c>
    </row>
    <row r="216" spans="1:6" x14ac:dyDescent="0.3">
      <c r="A216" s="32" t="s">
        <v>1193</v>
      </c>
      <c r="B216">
        <v>5.5131978400000001</v>
      </c>
      <c r="C216">
        <v>-7.3255974000000004</v>
      </c>
      <c r="E216" s="29">
        <f t="shared" si="3"/>
        <v>12.83879524</v>
      </c>
      <c r="F216" s="30">
        <v>42873</v>
      </c>
    </row>
    <row r="217" spans="1:6" x14ac:dyDescent="0.3">
      <c r="A217" s="32" t="s">
        <v>1194</v>
      </c>
      <c r="B217">
        <v>5.5217429400000002</v>
      </c>
      <c r="C217">
        <v>-7.1086080000000003</v>
      </c>
      <c r="E217" s="29">
        <f t="shared" si="3"/>
        <v>12.63035094</v>
      </c>
      <c r="F217" s="30">
        <v>42874</v>
      </c>
    </row>
    <row r="218" spans="1:6" x14ac:dyDescent="0.3">
      <c r="A218" s="32" t="s">
        <v>1195</v>
      </c>
      <c r="B218">
        <v>4.45236067</v>
      </c>
      <c r="C218">
        <v>-6.5516207</v>
      </c>
      <c r="E218" s="29">
        <f t="shared" si="3"/>
        <v>11.00398137</v>
      </c>
      <c r="F218" s="30">
        <v>42875</v>
      </c>
    </row>
    <row r="219" spans="1:6" x14ac:dyDescent="0.3">
      <c r="A219" s="32" t="s">
        <v>1196</v>
      </c>
      <c r="B219">
        <v>5.0354808599999998</v>
      </c>
      <c r="C219">
        <v>-6.2628757999999998</v>
      </c>
      <c r="E219" s="29">
        <f t="shared" si="3"/>
        <v>11.29835666</v>
      </c>
      <c r="F219" s="30">
        <v>42876</v>
      </c>
    </row>
    <row r="220" spans="1:6" x14ac:dyDescent="0.3">
      <c r="A220" s="32" t="s">
        <v>1197</v>
      </c>
      <c r="B220">
        <v>3.7480981400000002</v>
      </c>
      <c r="C220">
        <v>-3.7113841000000001</v>
      </c>
      <c r="E220" s="29">
        <f t="shared" si="3"/>
        <v>7.4594822399999998</v>
      </c>
      <c r="F220" s="30">
        <v>42877</v>
      </c>
    </row>
    <row r="221" spans="1:6" x14ac:dyDescent="0.3">
      <c r="A221" s="32" t="s">
        <v>1198</v>
      </c>
      <c r="B221">
        <v>6.06967268</v>
      </c>
      <c r="C221">
        <v>-4.4319297000000004</v>
      </c>
      <c r="E221" s="29">
        <f t="shared" si="3"/>
        <v>10.501602380000001</v>
      </c>
      <c r="F221" s="30">
        <v>42878</v>
      </c>
    </row>
    <row r="222" spans="1:6" x14ac:dyDescent="0.3">
      <c r="A222" s="32" t="s">
        <v>1199</v>
      </c>
      <c r="B222">
        <v>6.2158676899999996</v>
      </c>
      <c r="C222">
        <v>-4.6555017000000003</v>
      </c>
      <c r="E222" s="29">
        <f t="shared" si="3"/>
        <v>10.87136939</v>
      </c>
      <c r="F222" s="30">
        <v>42879</v>
      </c>
    </row>
    <row r="223" spans="1:6" x14ac:dyDescent="0.3">
      <c r="A223" s="32" t="s">
        <v>1200</v>
      </c>
      <c r="B223">
        <v>7.0584137599999996</v>
      </c>
      <c r="C223">
        <v>-4.3637617000000004</v>
      </c>
      <c r="E223" s="29">
        <f t="shared" si="3"/>
        <v>11.42217546</v>
      </c>
      <c r="F223" s="30">
        <v>42880</v>
      </c>
    </row>
    <row r="224" spans="1:6" x14ac:dyDescent="0.3">
      <c r="A224" s="32" t="s">
        <v>1201</v>
      </c>
      <c r="B224">
        <v>6.1404161000000004</v>
      </c>
      <c r="C224">
        <v>-4.4983472000000004</v>
      </c>
      <c r="E224" s="29">
        <f t="shared" si="3"/>
        <v>10.638763300000001</v>
      </c>
      <c r="F224" s="30">
        <v>42881</v>
      </c>
    </row>
    <row r="225" spans="1:6" x14ac:dyDescent="0.3">
      <c r="A225" s="32" t="s">
        <v>1202</v>
      </c>
      <c r="B225">
        <v>7.0037298200000002</v>
      </c>
      <c r="C225">
        <v>-5.9105305000000001</v>
      </c>
      <c r="E225" s="29">
        <f t="shared" si="3"/>
        <v>12.91426032</v>
      </c>
      <c r="F225" s="30">
        <v>42882</v>
      </c>
    </row>
    <row r="226" spans="1:6" x14ac:dyDescent="0.3">
      <c r="A226" s="32" t="s">
        <v>1203</v>
      </c>
      <c r="B226">
        <v>8.0303860799999995</v>
      </c>
      <c r="C226">
        <v>-5.2888890999999996</v>
      </c>
      <c r="E226" s="29">
        <f t="shared" si="3"/>
        <v>13.319275179999998</v>
      </c>
      <c r="F226" s="30">
        <v>42883</v>
      </c>
    </row>
    <row r="227" spans="1:6" x14ac:dyDescent="0.3">
      <c r="A227" s="32" t="s">
        <v>1204</v>
      </c>
      <c r="B227">
        <v>9.15273571</v>
      </c>
      <c r="C227">
        <v>-5.2138418</v>
      </c>
      <c r="E227" s="29">
        <f t="shared" si="3"/>
        <v>14.366577509999999</v>
      </c>
      <c r="F227" s="30">
        <v>42884</v>
      </c>
    </row>
    <row r="228" spans="1:6" x14ac:dyDescent="0.3">
      <c r="A228" s="32" t="s">
        <v>1205</v>
      </c>
      <c r="B228">
        <v>7.6066770300000002</v>
      </c>
      <c r="C228">
        <v>-6.3102951000000003</v>
      </c>
      <c r="E228" s="29">
        <f t="shared" si="3"/>
        <v>13.916972130000001</v>
      </c>
      <c r="F228" s="30">
        <v>42885</v>
      </c>
    </row>
    <row r="229" spans="1:6" x14ac:dyDescent="0.3">
      <c r="A229" s="32" t="s">
        <v>1206</v>
      </c>
      <c r="B229">
        <v>9.3801664099999993</v>
      </c>
      <c r="C229">
        <v>-6.7771394999999997</v>
      </c>
      <c r="E229" s="29">
        <f t="shared" si="3"/>
        <v>16.157305909999998</v>
      </c>
      <c r="F229" s="30">
        <v>42886</v>
      </c>
    </row>
    <row r="230" spans="1:6" x14ac:dyDescent="0.3">
      <c r="A230" s="32" t="s">
        <v>1207</v>
      </c>
      <c r="B230">
        <v>9.6637459999999997</v>
      </c>
      <c r="C230">
        <v>-7.1355240000000002</v>
      </c>
      <c r="E230" s="29">
        <f t="shared" si="3"/>
        <v>16.79927</v>
      </c>
      <c r="F230" s="30">
        <v>42887</v>
      </c>
    </row>
    <row r="231" spans="1:6" x14ac:dyDescent="0.3">
      <c r="A231" s="32" t="s">
        <v>1208</v>
      </c>
      <c r="B231">
        <v>8.2871447699999994</v>
      </c>
      <c r="C231">
        <v>-7.5741313000000003</v>
      </c>
      <c r="E231" s="29">
        <f t="shared" si="3"/>
        <v>15.861276069999999</v>
      </c>
      <c r="F231" s="30">
        <v>42888</v>
      </c>
    </row>
    <row r="232" spans="1:6" x14ac:dyDescent="0.3">
      <c r="A232" s="32" t="s">
        <v>1209</v>
      </c>
      <c r="B232">
        <v>8.8379900100000004</v>
      </c>
      <c r="C232">
        <v>-6.7327747000000002</v>
      </c>
      <c r="E232" s="29">
        <f t="shared" si="3"/>
        <v>15.570764710000001</v>
      </c>
      <c r="F232" s="30">
        <v>42889</v>
      </c>
    </row>
    <row r="233" spans="1:6" x14ac:dyDescent="0.3">
      <c r="A233" s="32" t="s">
        <v>1210</v>
      </c>
      <c r="B233">
        <v>8.9344777900000008</v>
      </c>
      <c r="C233">
        <v>-5.8485478999999998</v>
      </c>
      <c r="E233" s="29">
        <f t="shared" si="3"/>
        <v>14.783025690000001</v>
      </c>
      <c r="F233" s="30">
        <v>42890</v>
      </c>
    </row>
    <row r="234" spans="1:6" x14ac:dyDescent="0.3">
      <c r="A234" s="32" t="s">
        <v>1211</v>
      </c>
      <c r="B234">
        <v>11.23793762</v>
      </c>
      <c r="C234">
        <v>-5.0882278999999997</v>
      </c>
      <c r="E234" s="29">
        <f t="shared" si="3"/>
        <v>16.32616552</v>
      </c>
      <c r="F234" s="30">
        <v>42891</v>
      </c>
    </row>
    <row r="235" spans="1:6" x14ac:dyDescent="0.3">
      <c r="A235" s="32" t="s">
        <v>1212</v>
      </c>
      <c r="B235">
        <v>11.86573851</v>
      </c>
      <c r="C235">
        <v>-3.9274179999999999</v>
      </c>
      <c r="E235" s="29">
        <f t="shared" si="3"/>
        <v>15.793156509999999</v>
      </c>
      <c r="F235" s="30">
        <v>42892</v>
      </c>
    </row>
    <row r="236" spans="1:6" x14ac:dyDescent="0.3">
      <c r="A236" s="32" t="s">
        <v>1213</v>
      </c>
      <c r="B236">
        <v>11.85251704</v>
      </c>
      <c r="C236">
        <v>-5.1821057000000001</v>
      </c>
      <c r="E236" s="29">
        <f t="shared" si="3"/>
        <v>17.03462274</v>
      </c>
      <c r="F236" s="30">
        <v>42893</v>
      </c>
    </row>
    <row r="237" spans="1:6" x14ac:dyDescent="0.3">
      <c r="A237" s="32" t="s">
        <v>1214</v>
      </c>
      <c r="B237">
        <v>11.64225321</v>
      </c>
      <c r="C237">
        <v>-5.9253185000000004</v>
      </c>
      <c r="E237" s="29">
        <f t="shared" si="3"/>
        <v>17.567571709999999</v>
      </c>
      <c r="F237" s="30">
        <v>42894</v>
      </c>
    </row>
    <row r="238" spans="1:6" x14ac:dyDescent="0.3">
      <c r="A238" s="32" t="s">
        <v>1215</v>
      </c>
      <c r="B238">
        <v>13.76126884</v>
      </c>
      <c r="C238">
        <v>-5.2005241</v>
      </c>
      <c r="E238" s="29">
        <f t="shared" si="3"/>
        <v>18.961792939999999</v>
      </c>
      <c r="F238" s="30">
        <v>42895</v>
      </c>
    </row>
    <row r="239" spans="1:6" x14ac:dyDescent="0.3">
      <c r="A239" s="32" t="s">
        <v>1216</v>
      </c>
      <c r="B239">
        <v>14.11471648</v>
      </c>
      <c r="C239">
        <v>-5.0237600000000002</v>
      </c>
      <c r="E239" s="29">
        <f t="shared" si="3"/>
        <v>19.138476480000001</v>
      </c>
      <c r="F239" s="30">
        <v>42896</v>
      </c>
    </row>
    <row r="240" spans="1:6" x14ac:dyDescent="0.3">
      <c r="A240" s="32" t="s">
        <v>1217</v>
      </c>
      <c r="B240">
        <v>13.65132064</v>
      </c>
      <c r="C240">
        <v>-5.9193575000000003</v>
      </c>
      <c r="E240" s="29">
        <f t="shared" si="3"/>
        <v>19.570678139999998</v>
      </c>
      <c r="F240" s="30">
        <v>42897</v>
      </c>
    </row>
    <row r="241" spans="1:6" x14ac:dyDescent="0.3">
      <c r="A241" s="32" t="s">
        <v>1218</v>
      </c>
      <c r="B241">
        <v>13.99173745</v>
      </c>
      <c r="C241">
        <v>-7.0244743999999999</v>
      </c>
      <c r="E241" s="29">
        <f t="shared" si="3"/>
        <v>21.016211850000001</v>
      </c>
      <c r="F241" s="30">
        <v>42898</v>
      </c>
    </row>
    <row r="242" spans="1:6" x14ac:dyDescent="0.3">
      <c r="A242" s="32" t="s">
        <v>1219</v>
      </c>
      <c r="B242">
        <v>14.633871360000001</v>
      </c>
      <c r="C242">
        <v>-6.3609460999999996</v>
      </c>
      <c r="E242" s="29">
        <f t="shared" si="3"/>
        <v>20.99481746</v>
      </c>
      <c r="F242" s="30">
        <v>42899</v>
      </c>
    </row>
    <row r="243" spans="1:6" x14ac:dyDescent="0.3">
      <c r="A243" s="32" t="s">
        <v>1220</v>
      </c>
      <c r="B243">
        <v>16.328609149999998</v>
      </c>
      <c r="C243">
        <v>-7.6140162</v>
      </c>
      <c r="E243" s="29">
        <f t="shared" si="3"/>
        <v>23.94262535</v>
      </c>
      <c r="F243" s="30">
        <v>42900</v>
      </c>
    </row>
    <row r="244" spans="1:6" x14ac:dyDescent="0.3">
      <c r="A244" s="32" t="s">
        <v>1221</v>
      </c>
      <c r="B244">
        <v>15.4759948</v>
      </c>
      <c r="C244">
        <v>-7.6550982999999997</v>
      </c>
      <c r="E244" s="29">
        <f t="shared" si="3"/>
        <v>23.131093100000001</v>
      </c>
      <c r="F244" s="30">
        <v>42901</v>
      </c>
    </row>
    <row r="245" spans="1:6" x14ac:dyDescent="0.3">
      <c r="A245" s="32" t="s">
        <v>1222</v>
      </c>
      <c r="B245">
        <v>12.76370865</v>
      </c>
      <c r="C245">
        <v>-6.9618732999999997</v>
      </c>
      <c r="E245" s="29">
        <f t="shared" si="3"/>
        <v>19.725581949999999</v>
      </c>
      <c r="F245" s="30">
        <v>42902</v>
      </c>
    </row>
    <row r="246" spans="1:6" x14ac:dyDescent="0.3">
      <c r="A246" s="32" t="s">
        <v>1223</v>
      </c>
      <c r="B246">
        <v>11.90234469</v>
      </c>
      <c r="C246">
        <v>-5.6182306999999998</v>
      </c>
      <c r="E246" s="29">
        <f t="shared" si="3"/>
        <v>17.520575389999998</v>
      </c>
      <c r="F246" s="30">
        <v>42903</v>
      </c>
    </row>
    <row r="247" spans="1:6" x14ac:dyDescent="0.3">
      <c r="A247" s="32" t="s">
        <v>1224</v>
      </c>
      <c r="B247">
        <v>12.68016306</v>
      </c>
      <c r="C247">
        <v>-6.6788410000000002</v>
      </c>
      <c r="E247" s="29">
        <f t="shared" si="3"/>
        <v>19.35900406</v>
      </c>
      <c r="F247" s="30">
        <v>42904</v>
      </c>
    </row>
    <row r="248" spans="1:6" x14ac:dyDescent="0.3">
      <c r="A248" s="32" t="s">
        <v>1225</v>
      </c>
      <c r="B248">
        <v>12.37031372</v>
      </c>
      <c r="C248">
        <v>-6.2753658000000003</v>
      </c>
      <c r="E248" s="29">
        <f t="shared" si="3"/>
        <v>18.645679520000002</v>
      </c>
      <c r="F248" s="30">
        <v>42905</v>
      </c>
    </row>
    <row r="249" spans="1:6" x14ac:dyDescent="0.3">
      <c r="A249" s="32" t="s">
        <v>1226</v>
      </c>
      <c r="B249">
        <v>12.995642289999999</v>
      </c>
      <c r="C249">
        <v>-6.9991415000000003</v>
      </c>
      <c r="E249" s="29">
        <f t="shared" si="3"/>
        <v>19.99478379</v>
      </c>
      <c r="F249" s="30">
        <v>42906</v>
      </c>
    </row>
    <row r="250" spans="1:6" x14ac:dyDescent="0.3">
      <c r="A250" s="32" t="s">
        <v>1227</v>
      </c>
      <c r="B250">
        <v>13.36435908</v>
      </c>
      <c r="C250">
        <v>-5.4772017999999996</v>
      </c>
      <c r="E250" s="29">
        <f t="shared" si="3"/>
        <v>18.841560879999999</v>
      </c>
      <c r="F250" s="30">
        <v>42907</v>
      </c>
    </row>
    <row r="251" spans="1:6" x14ac:dyDescent="0.3">
      <c r="A251" s="32" t="s">
        <v>1228</v>
      </c>
      <c r="B251">
        <v>15.11651371</v>
      </c>
      <c r="C251">
        <v>-6.6865822000000001</v>
      </c>
      <c r="E251" s="29">
        <f t="shared" si="3"/>
        <v>21.80309591</v>
      </c>
      <c r="F251" s="30">
        <v>42908</v>
      </c>
    </row>
    <row r="252" spans="1:6" x14ac:dyDescent="0.3">
      <c r="A252" s="32" t="s">
        <v>1229</v>
      </c>
      <c r="B252">
        <v>15.18176441</v>
      </c>
      <c r="C252">
        <v>-5.3563159000000002</v>
      </c>
      <c r="E252" s="29">
        <f t="shared" si="3"/>
        <v>20.538080309999998</v>
      </c>
      <c r="F252" s="30">
        <v>42909</v>
      </c>
    </row>
    <row r="253" spans="1:6" x14ac:dyDescent="0.3">
      <c r="A253" s="32" t="s">
        <v>1230</v>
      </c>
      <c r="B253">
        <v>14.90517374</v>
      </c>
      <c r="C253">
        <v>-5.9154513</v>
      </c>
      <c r="E253" s="29">
        <f t="shared" si="3"/>
        <v>20.820625039999999</v>
      </c>
      <c r="F253" s="30">
        <v>42910</v>
      </c>
    </row>
    <row r="254" spans="1:6" x14ac:dyDescent="0.3">
      <c r="A254" s="32" t="s">
        <v>1231</v>
      </c>
      <c r="B254">
        <v>14.97409951</v>
      </c>
      <c r="C254">
        <v>-5.5431391999999997</v>
      </c>
      <c r="E254" s="29">
        <f t="shared" si="3"/>
        <v>20.517238710000001</v>
      </c>
      <c r="F254" s="30">
        <v>42911</v>
      </c>
    </row>
    <row r="255" spans="1:6" x14ac:dyDescent="0.3">
      <c r="A255" s="32" t="s">
        <v>1232</v>
      </c>
      <c r="B255">
        <v>16.116495709999999</v>
      </c>
      <c r="C255">
        <v>-5.8591642999999998</v>
      </c>
      <c r="E255" s="29">
        <f t="shared" si="3"/>
        <v>21.975660009999999</v>
      </c>
      <c r="F255" s="30">
        <v>42912</v>
      </c>
    </row>
    <row r="256" spans="1:6" x14ac:dyDescent="0.3">
      <c r="A256" s="32" t="s">
        <v>1233</v>
      </c>
      <c r="B256">
        <v>15.55330464</v>
      </c>
      <c r="C256">
        <v>-5.7213719000000003</v>
      </c>
      <c r="E256" s="29">
        <f t="shared" si="3"/>
        <v>21.274676540000002</v>
      </c>
      <c r="F256" s="30">
        <v>42913</v>
      </c>
    </row>
    <row r="257" spans="1:6" x14ac:dyDescent="0.3">
      <c r="A257" s="32" t="s">
        <v>1234</v>
      </c>
      <c r="B257">
        <v>14.804447680000001</v>
      </c>
      <c r="C257">
        <v>-6.9424621000000002</v>
      </c>
      <c r="E257" s="29">
        <f t="shared" si="3"/>
        <v>21.746909780000003</v>
      </c>
      <c r="F257" s="30">
        <v>42914</v>
      </c>
    </row>
    <row r="258" spans="1:6" x14ac:dyDescent="0.3">
      <c r="A258" s="32" t="s">
        <v>1235</v>
      </c>
      <c r="B258">
        <v>14.576222530000001</v>
      </c>
      <c r="C258">
        <v>-8.2081175999999996</v>
      </c>
      <c r="E258" s="29">
        <f t="shared" si="3"/>
        <v>22.78434013</v>
      </c>
      <c r="F258" s="30">
        <v>42915</v>
      </c>
    </row>
    <row r="259" spans="1:6" x14ac:dyDescent="0.3">
      <c r="A259" s="32" t="s">
        <v>1236</v>
      </c>
      <c r="B259">
        <v>13.59359119</v>
      </c>
      <c r="C259">
        <v>-9.1121700000000008</v>
      </c>
      <c r="E259" s="29">
        <f t="shared" ref="E259:E314" si="4">B259-C259</f>
        <v>22.70576119</v>
      </c>
      <c r="F259" s="30">
        <v>42916</v>
      </c>
    </row>
    <row r="260" spans="1:6" x14ac:dyDescent="0.3">
      <c r="A260" s="32" t="s">
        <v>1237</v>
      </c>
      <c r="B260">
        <v>15.04055565</v>
      </c>
      <c r="C260">
        <v>-10.1826683</v>
      </c>
      <c r="E260" s="29">
        <f t="shared" si="4"/>
        <v>25.223223949999998</v>
      </c>
      <c r="F260" s="30">
        <v>42917</v>
      </c>
    </row>
    <row r="261" spans="1:6" x14ac:dyDescent="0.3">
      <c r="A261" s="32" t="s">
        <v>1238</v>
      </c>
      <c r="B261">
        <v>14.6684915</v>
      </c>
      <c r="C261">
        <v>-9.4891672000000007</v>
      </c>
      <c r="E261" s="29">
        <f t="shared" si="4"/>
        <v>24.157658699999999</v>
      </c>
      <c r="F261" s="30">
        <v>42918</v>
      </c>
    </row>
    <row r="262" spans="1:6" x14ac:dyDescent="0.3">
      <c r="A262" s="32" t="s">
        <v>1239</v>
      </c>
      <c r="B262">
        <v>14.04873589</v>
      </c>
      <c r="C262">
        <v>-10.483746399999999</v>
      </c>
      <c r="E262" s="29">
        <f t="shared" si="4"/>
        <v>24.532482289999997</v>
      </c>
      <c r="F262" s="30">
        <v>42919</v>
      </c>
    </row>
    <row r="263" spans="1:6" x14ac:dyDescent="0.3">
      <c r="A263" s="32" t="s">
        <v>1240</v>
      </c>
      <c r="B263">
        <v>12.79288908</v>
      </c>
      <c r="C263">
        <v>-8.5541710999999996</v>
      </c>
      <c r="E263" s="29">
        <f t="shared" si="4"/>
        <v>21.34706018</v>
      </c>
      <c r="F263" s="30">
        <v>42920</v>
      </c>
    </row>
    <row r="264" spans="1:6" x14ac:dyDescent="0.3">
      <c r="A264" s="32" t="s">
        <v>1241</v>
      </c>
      <c r="B264">
        <v>13.127966580000001</v>
      </c>
      <c r="C264">
        <v>-9.1972044000000004</v>
      </c>
      <c r="E264" s="29">
        <f t="shared" si="4"/>
        <v>22.325170980000003</v>
      </c>
      <c r="F264" s="30">
        <v>42921</v>
      </c>
    </row>
    <row r="265" spans="1:6" x14ac:dyDescent="0.3">
      <c r="A265" s="32" t="s">
        <v>1242</v>
      </c>
      <c r="B265">
        <v>11.8367007</v>
      </c>
      <c r="C265">
        <v>-9.8668139000000004</v>
      </c>
      <c r="E265" s="29">
        <f t="shared" si="4"/>
        <v>21.703514599999998</v>
      </c>
      <c r="F265" s="30">
        <v>42922</v>
      </c>
    </row>
    <row r="266" spans="1:6" x14ac:dyDescent="0.3">
      <c r="A266" s="32" t="s">
        <v>1243</v>
      </c>
      <c r="B266">
        <v>12.37185762</v>
      </c>
      <c r="C266">
        <v>-9.0119451000000002</v>
      </c>
      <c r="E266" s="29">
        <f t="shared" si="4"/>
        <v>21.383802719999998</v>
      </c>
      <c r="F266" s="30">
        <v>42923</v>
      </c>
    </row>
    <row r="267" spans="1:6" x14ac:dyDescent="0.3">
      <c r="A267" s="32" t="s">
        <v>1244</v>
      </c>
      <c r="B267">
        <v>12.05980817</v>
      </c>
      <c r="C267">
        <v>-9.9628599999999992</v>
      </c>
      <c r="E267" s="29">
        <f t="shared" si="4"/>
        <v>22.022668169999999</v>
      </c>
      <c r="F267" s="30">
        <v>42924</v>
      </c>
    </row>
    <row r="268" spans="1:6" x14ac:dyDescent="0.3">
      <c r="A268" s="32" t="s">
        <v>1245</v>
      </c>
      <c r="B268">
        <v>10.47724987</v>
      </c>
      <c r="C268">
        <v>-10.7366583</v>
      </c>
      <c r="E268" s="29">
        <f t="shared" si="4"/>
        <v>21.21390817</v>
      </c>
      <c r="F268" s="30">
        <v>42925</v>
      </c>
    </row>
    <row r="269" spans="1:6" x14ac:dyDescent="0.3">
      <c r="A269" s="32" t="s">
        <v>1246</v>
      </c>
      <c r="B269">
        <v>10.01932805</v>
      </c>
      <c r="C269">
        <v>-9.8828061999999992</v>
      </c>
      <c r="E269" s="29">
        <f t="shared" si="4"/>
        <v>19.90213425</v>
      </c>
      <c r="F269" s="30">
        <v>42926</v>
      </c>
    </row>
    <row r="270" spans="1:6" x14ac:dyDescent="0.3">
      <c r="A270" s="32" t="s">
        <v>1247</v>
      </c>
      <c r="B270">
        <v>8.5662545899999998</v>
      </c>
      <c r="C270">
        <v>-9.3518462000000007</v>
      </c>
      <c r="E270" s="29">
        <f t="shared" si="4"/>
        <v>17.91810079</v>
      </c>
      <c r="F270" s="30">
        <v>42927</v>
      </c>
    </row>
    <row r="271" spans="1:6" x14ac:dyDescent="0.3">
      <c r="A271" s="32" t="s">
        <v>1248</v>
      </c>
      <c r="B271">
        <v>9.6528448699999991</v>
      </c>
      <c r="C271">
        <v>-10.1686757</v>
      </c>
      <c r="E271" s="29">
        <f t="shared" si="4"/>
        <v>19.821520569999997</v>
      </c>
      <c r="F271" s="30">
        <v>42928</v>
      </c>
    </row>
    <row r="272" spans="1:6" x14ac:dyDescent="0.3">
      <c r="A272" s="32" t="s">
        <v>1249</v>
      </c>
      <c r="B272">
        <v>10.32173753</v>
      </c>
      <c r="C272">
        <v>-8.5401693000000005</v>
      </c>
      <c r="E272" s="29">
        <f t="shared" si="4"/>
        <v>18.861906830000002</v>
      </c>
      <c r="F272" s="30">
        <v>42929</v>
      </c>
    </row>
    <row r="273" spans="1:6" x14ac:dyDescent="0.3">
      <c r="A273" s="32" t="s">
        <v>1250</v>
      </c>
      <c r="B273">
        <v>12.311449270000001</v>
      </c>
      <c r="C273">
        <v>-8.3831193000000006</v>
      </c>
      <c r="E273" s="29">
        <f t="shared" si="4"/>
        <v>20.694568570000001</v>
      </c>
      <c r="F273" s="30">
        <v>42930</v>
      </c>
    </row>
    <row r="274" spans="1:6" x14ac:dyDescent="0.3">
      <c r="A274" s="32" t="s">
        <v>1251</v>
      </c>
      <c r="B274">
        <v>10.62690139</v>
      </c>
      <c r="C274">
        <v>-9.6832317000000003</v>
      </c>
      <c r="E274" s="29">
        <f t="shared" si="4"/>
        <v>20.310133090000001</v>
      </c>
      <c r="F274" s="30">
        <v>42931</v>
      </c>
    </row>
    <row r="275" spans="1:6" x14ac:dyDescent="0.3">
      <c r="A275" s="32" t="s">
        <v>1252</v>
      </c>
      <c r="B275">
        <v>10.381542919999999</v>
      </c>
      <c r="C275">
        <v>-10.8204867</v>
      </c>
      <c r="E275" s="29">
        <f t="shared" si="4"/>
        <v>21.202029619999998</v>
      </c>
      <c r="F275" s="30">
        <v>42932</v>
      </c>
    </row>
    <row r="276" spans="1:6" x14ac:dyDescent="0.3">
      <c r="A276" s="32" t="s">
        <v>1253</v>
      </c>
      <c r="B276">
        <v>11.11805974</v>
      </c>
      <c r="C276">
        <v>-12.625613899999999</v>
      </c>
      <c r="E276" s="29">
        <f t="shared" si="4"/>
        <v>23.743673639999997</v>
      </c>
      <c r="F276" s="30">
        <v>42933</v>
      </c>
    </row>
    <row r="277" spans="1:6" x14ac:dyDescent="0.3">
      <c r="A277" s="32" t="s">
        <v>1254</v>
      </c>
      <c r="B277">
        <v>12.42356157</v>
      </c>
      <c r="C277">
        <v>-10.515415900000001</v>
      </c>
      <c r="E277" s="29">
        <f t="shared" si="4"/>
        <v>22.938977470000001</v>
      </c>
      <c r="F277" s="30">
        <v>42934</v>
      </c>
    </row>
    <row r="278" spans="1:6" x14ac:dyDescent="0.3">
      <c r="A278" s="32" t="s">
        <v>1255</v>
      </c>
      <c r="B278">
        <v>11.90466954</v>
      </c>
      <c r="C278">
        <v>-10.0302103</v>
      </c>
      <c r="E278" s="29">
        <f t="shared" si="4"/>
        <v>21.934879840000001</v>
      </c>
      <c r="F278" s="30">
        <v>42935</v>
      </c>
    </row>
    <row r="279" spans="1:6" x14ac:dyDescent="0.3">
      <c r="A279" s="32" t="s">
        <v>1256</v>
      </c>
      <c r="B279">
        <v>12.081995129999999</v>
      </c>
      <c r="C279">
        <v>-9.5577795999999999</v>
      </c>
      <c r="E279" s="29">
        <f t="shared" si="4"/>
        <v>21.639774729999999</v>
      </c>
      <c r="F279" s="30">
        <v>42936</v>
      </c>
    </row>
    <row r="280" spans="1:6" x14ac:dyDescent="0.3">
      <c r="A280" s="32" t="s">
        <v>1257</v>
      </c>
      <c r="B280">
        <v>10.491893770000001</v>
      </c>
      <c r="C280">
        <v>-9.7649986999999996</v>
      </c>
      <c r="E280" s="29">
        <f t="shared" si="4"/>
        <v>20.25689247</v>
      </c>
      <c r="F280" s="30">
        <v>42937</v>
      </c>
    </row>
    <row r="281" spans="1:6" x14ac:dyDescent="0.3">
      <c r="A281" s="32" t="s">
        <v>1258</v>
      </c>
      <c r="B281">
        <v>12.409091030000001</v>
      </c>
      <c r="C281">
        <v>-9.3198615999999994</v>
      </c>
      <c r="E281" s="29">
        <f t="shared" si="4"/>
        <v>21.728952630000002</v>
      </c>
      <c r="F281" s="30">
        <v>42938</v>
      </c>
    </row>
    <row r="282" spans="1:6" x14ac:dyDescent="0.3">
      <c r="A282" s="32" t="s">
        <v>1259</v>
      </c>
      <c r="B282">
        <v>12.112132900000001</v>
      </c>
      <c r="C282">
        <v>-8.2970816000000003</v>
      </c>
      <c r="E282" s="29">
        <f t="shared" si="4"/>
        <v>20.409214500000001</v>
      </c>
      <c r="F282" s="30">
        <v>42939</v>
      </c>
    </row>
    <row r="283" spans="1:6" x14ac:dyDescent="0.3">
      <c r="A283" s="32" t="s">
        <v>1260</v>
      </c>
      <c r="B283">
        <v>10.81206894</v>
      </c>
      <c r="C283">
        <v>-10.1356178</v>
      </c>
      <c r="E283" s="29">
        <f t="shared" si="4"/>
        <v>20.947686740000002</v>
      </c>
      <c r="F283" s="30">
        <v>42940</v>
      </c>
    </row>
    <row r="284" spans="1:6" x14ac:dyDescent="0.3">
      <c r="A284" s="32" t="s">
        <v>1261</v>
      </c>
      <c r="B284">
        <v>10.26768586</v>
      </c>
      <c r="C284">
        <v>-9.6903392000000004</v>
      </c>
      <c r="E284" s="29">
        <f t="shared" si="4"/>
        <v>19.958025060000001</v>
      </c>
      <c r="F284" s="30">
        <v>42941</v>
      </c>
    </row>
    <row r="285" spans="1:6" x14ac:dyDescent="0.3">
      <c r="A285" s="32" t="s">
        <v>1262</v>
      </c>
      <c r="B285">
        <v>10.8561999</v>
      </c>
      <c r="C285">
        <v>-8.8987718999999998</v>
      </c>
      <c r="E285" s="29">
        <f t="shared" si="4"/>
        <v>19.7549718</v>
      </c>
      <c r="F285" s="30">
        <v>42942</v>
      </c>
    </row>
    <row r="286" spans="1:6" x14ac:dyDescent="0.3">
      <c r="A286" s="32" t="s">
        <v>1263</v>
      </c>
      <c r="B286">
        <v>10.2463488</v>
      </c>
      <c r="C286">
        <v>-8.0309554999999992</v>
      </c>
      <c r="E286" s="29">
        <f t="shared" si="4"/>
        <v>18.277304299999997</v>
      </c>
      <c r="F286" s="30">
        <v>42943</v>
      </c>
    </row>
    <row r="287" spans="1:6" x14ac:dyDescent="0.3">
      <c r="A287" s="32" t="s">
        <v>1264</v>
      </c>
      <c r="B287">
        <v>11.56466268</v>
      </c>
      <c r="C287">
        <v>-6.8538329999999998</v>
      </c>
      <c r="E287" s="29">
        <f t="shared" si="4"/>
        <v>18.418495679999999</v>
      </c>
      <c r="F287" s="30">
        <v>42944</v>
      </c>
    </row>
    <row r="288" spans="1:6" x14ac:dyDescent="0.3">
      <c r="A288" s="32" t="s">
        <v>1265</v>
      </c>
      <c r="B288">
        <v>11.073508</v>
      </c>
      <c r="C288">
        <v>-6.5844984999999996</v>
      </c>
      <c r="E288" s="29">
        <f t="shared" si="4"/>
        <v>17.658006499999999</v>
      </c>
      <c r="F288" s="30">
        <v>42945</v>
      </c>
    </row>
    <row r="289" spans="1:6" x14ac:dyDescent="0.3">
      <c r="A289" s="32" t="s">
        <v>1266</v>
      </c>
      <c r="B289">
        <v>9.6966153599999991</v>
      </c>
      <c r="C289">
        <v>-6.7936810999999997</v>
      </c>
      <c r="E289" s="29">
        <f t="shared" si="4"/>
        <v>16.49029646</v>
      </c>
      <c r="F289" s="30">
        <v>42946</v>
      </c>
    </row>
    <row r="290" spans="1:6" x14ac:dyDescent="0.3">
      <c r="A290" s="32" t="s">
        <v>1267</v>
      </c>
      <c r="B290">
        <v>9.8193253600000006</v>
      </c>
      <c r="C290">
        <v>-6.7981617999999999</v>
      </c>
      <c r="E290" s="29">
        <f t="shared" si="4"/>
        <v>16.61748716</v>
      </c>
      <c r="F290" s="30">
        <v>42947</v>
      </c>
    </row>
    <row r="291" spans="1:6" x14ac:dyDescent="0.3">
      <c r="A291" s="32" t="s">
        <v>1268</v>
      </c>
      <c r="B291">
        <v>8.62265017</v>
      </c>
      <c r="C291">
        <v>-6.8409085999999997</v>
      </c>
      <c r="E291" s="29">
        <f t="shared" si="4"/>
        <v>15.463558769999999</v>
      </c>
      <c r="F291" s="30">
        <v>42948</v>
      </c>
    </row>
    <row r="292" spans="1:6" x14ac:dyDescent="0.3">
      <c r="A292" s="32" t="s">
        <v>1269</v>
      </c>
      <c r="B292">
        <v>10.66529749</v>
      </c>
      <c r="C292">
        <v>-7.7027992000000003</v>
      </c>
      <c r="E292" s="29">
        <f t="shared" si="4"/>
        <v>18.368096690000002</v>
      </c>
      <c r="F292" s="30">
        <v>42949</v>
      </c>
    </row>
    <row r="293" spans="1:6" x14ac:dyDescent="0.3">
      <c r="A293" s="32" t="s">
        <v>1270</v>
      </c>
      <c r="B293">
        <v>11.7892843</v>
      </c>
      <c r="C293">
        <v>-8.6191721000000001</v>
      </c>
      <c r="E293" s="29">
        <f t="shared" si="4"/>
        <v>20.408456399999999</v>
      </c>
      <c r="F293" s="30">
        <v>42950</v>
      </c>
    </row>
    <row r="294" spans="1:6" x14ac:dyDescent="0.3">
      <c r="A294" s="32" t="s">
        <v>1271</v>
      </c>
      <c r="B294">
        <v>12.07708137</v>
      </c>
      <c r="C294">
        <v>-9.1488236000000001</v>
      </c>
      <c r="E294" s="29">
        <f t="shared" si="4"/>
        <v>21.225904970000002</v>
      </c>
      <c r="F294" s="30">
        <v>42951</v>
      </c>
    </row>
    <row r="295" spans="1:6" x14ac:dyDescent="0.3">
      <c r="A295" s="32" t="s">
        <v>1272</v>
      </c>
      <c r="B295">
        <v>12.464551650000001</v>
      </c>
      <c r="C295">
        <v>-9.7496113999999992</v>
      </c>
      <c r="E295" s="29">
        <f t="shared" si="4"/>
        <v>22.21416305</v>
      </c>
      <c r="F295" s="30">
        <v>42952</v>
      </c>
    </row>
    <row r="296" spans="1:6" x14ac:dyDescent="0.3">
      <c r="A296" s="32" t="s">
        <v>1273</v>
      </c>
      <c r="B296">
        <v>10.73756281</v>
      </c>
      <c r="C296">
        <v>-8.7155655000000003</v>
      </c>
      <c r="E296" s="29">
        <f t="shared" si="4"/>
        <v>19.45312831</v>
      </c>
      <c r="F296" s="30">
        <v>42953</v>
      </c>
    </row>
    <row r="297" spans="1:6" x14ac:dyDescent="0.3">
      <c r="A297" s="32" t="s">
        <v>1274</v>
      </c>
      <c r="B297">
        <v>10.79446716</v>
      </c>
      <c r="C297">
        <v>-8.3557120999999999</v>
      </c>
      <c r="E297" s="29">
        <f t="shared" si="4"/>
        <v>19.150179260000002</v>
      </c>
      <c r="F297" s="30">
        <v>42954</v>
      </c>
    </row>
    <row r="298" spans="1:6" x14ac:dyDescent="0.3">
      <c r="A298" s="32" t="s">
        <v>1275</v>
      </c>
      <c r="B298">
        <v>10.45600061</v>
      </c>
      <c r="C298">
        <v>-7.9540974999999996</v>
      </c>
      <c r="E298" s="29">
        <f t="shared" si="4"/>
        <v>18.41009811</v>
      </c>
      <c r="F298" s="30">
        <v>42955</v>
      </c>
    </row>
    <row r="299" spans="1:6" x14ac:dyDescent="0.3">
      <c r="A299" s="32" t="s">
        <v>1276</v>
      </c>
      <c r="B299">
        <v>10.66357971</v>
      </c>
      <c r="C299">
        <v>-7.6335822999999996</v>
      </c>
      <c r="E299" s="29">
        <f t="shared" si="4"/>
        <v>18.297162010000001</v>
      </c>
      <c r="F299" s="30">
        <v>42956</v>
      </c>
    </row>
    <row r="300" spans="1:6" x14ac:dyDescent="0.3">
      <c r="A300" s="32" t="s">
        <v>1277</v>
      </c>
      <c r="B300">
        <v>10.2717803</v>
      </c>
      <c r="C300">
        <v>-7.767487</v>
      </c>
      <c r="E300" s="29">
        <f t="shared" si="4"/>
        <v>18.039267299999999</v>
      </c>
      <c r="F300" s="30">
        <v>42957</v>
      </c>
    </row>
    <row r="301" spans="1:6" x14ac:dyDescent="0.3">
      <c r="A301" s="32" t="s">
        <v>1278</v>
      </c>
      <c r="B301">
        <v>10.24213046</v>
      </c>
      <c r="C301">
        <v>-7.3279148000000003</v>
      </c>
      <c r="E301" s="29">
        <f t="shared" si="4"/>
        <v>17.570045260000001</v>
      </c>
      <c r="F301" s="30">
        <v>42958</v>
      </c>
    </row>
    <row r="302" spans="1:6" x14ac:dyDescent="0.3">
      <c r="A302" s="32" t="s">
        <v>1279</v>
      </c>
      <c r="B302">
        <v>10.92852997</v>
      </c>
      <c r="C302">
        <v>-9.2375524999999996</v>
      </c>
      <c r="E302" s="29">
        <f t="shared" si="4"/>
        <v>20.166082469999999</v>
      </c>
      <c r="F302" s="30">
        <v>42959</v>
      </c>
    </row>
    <row r="303" spans="1:6" x14ac:dyDescent="0.3">
      <c r="A303" s="32" t="s">
        <v>1280</v>
      </c>
      <c r="B303">
        <v>12.30784242</v>
      </c>
      <c r="C303">
        <v>-8.4916301999999995</v>
      </c>
      <c r="E303" s="29">
        <f t="shared" si="4"/>
        <v>20.79947262</v>
      </c>
      <c r="F303" s="30">
        <v>42960</v>
      </c>
    </row>
    <row r="304" spans="1:6" x14ac:dyDescent="0.3">
      <c r="A304" s="32" t="s">
        <v>1281</v>
      </c>
      <c r="B304">
        <v>12.595739289999999</v>
      </c>
      <c r="C304">
        <v>-11.698766600000001</v>
      </c>
      <c r="E304" s="29">
        <f t="shared" si="4"/>
        <v>24.29450589</v>
      </c>
      <c r="F304" s="30">
        <v>42961</v>
      </c>
    </row>
    <row r="305" spans="1:6" x14ac:dyDescent="0.3">
      <c r="A305" s="32" t="s">
        <v>1282</v>
      </c>
      <c r="B305">
        <v>12.89894074</v>
      </c>
      <c r="C305">
        <v>-12.240820100000001</v>
      </c>
      <c r="E305" s="29">
        <f t="shared" si="4"/>
        <v>25.139760840000001</v>
      </c>
      <c r="F305" s="30">
        <v>42962</v>
      </c>
    </row>
    <row r="306" spans="1:6" x14ac:dyDescent="0.3">
      <c r="A306" s="32" t="s">
        <v>1283</v>
      </c>
      <c r="B306">
        <v>12.08453177</v>
      </c>
      <c r="C306">
        <v>-11.952537299999999</v>
      </c>
      <c r="E306" s="29">
        <f t="shared" si="4"/>
        <v>24.037069070000001</v>
      </c>
      <c r="F306" s="30">
        <v>42963</v>
      </c>
    </row>
    <row r="307" spans="1:6" x14ac:dyDescent="0.3">
      <c r="A307" s="32" t="s">
        <v>1284</v>
      </c>
      <c r="B307">
        <v>12.67902031</v>
      </c>
      <c r="C307">
        <v>-11.240739400000001</v>
      </c>
      <c r="E307" s="29">
        <f t="shared" si="4"/>
        <v>23.919759710000001</v>
      </c>
      <c r="F307" s="30">
        <v>42964</v>
      </c>
    </row>
    <row r="308" spans="1:6" x14ac:dyDescent="0.3">
      <c r="A308" s="32" t="s">
        <v>1285</v>
      </c>
      <c r="B308">
        <v>12.97142846</v>
      </c>
      <c r="C308">
        <v>-11.2018609</v>
      </c>
      <c r="E308" s="29">
        <f t="shared" si="4"/>
        <v>24.173289359999998</v>
      </c>
      <c r="F308" s="30">
        <v>42965</v>
      </c>
    </row>
    <row r="309" spans="1:6" x14ac:dyDescent="0.3">
      <c r="A309" s="32" t="s">
        <v>1286</v>
      </c>
      <c r="B309">
        <v>13.409586210000001</v>
      </c>
      <c r="C309">
        <v>-8.5074197999999992</v>
      </c>
      <c r="E309" s="29">
        <f t="shared" si="4"/>
        <v>21.917006010000001</v>
      </c>
      <c r="F309" s="30">
        <v>42966</v>
      </c>
    </row>
    <row r="310" spans="1:6" x14ac:dyDescent="0.3">
      <c r="A310" s="32" t="s">
        <v>1287</v>
      </c>
      <c r="B310">
        <v>11.88273708</v>
      </c>
      <c r="C310">
        <v>-7.5277447999999998</v>
      </c>
      <c r="E310" s="29">
        <f t="shared" si="4"/>
        <v>19.410481879999999</v>
      </c>
      <c r="F310" s="30">
        <v>42967</v>
      </c>
    </row>
    <row r="311" spans="1:6" x14ac:dyDescent="0.3">
      <c r="A311" s="32" t="s">
        <v>1288</v>
      </c>
      <c r="B311">
        <v>10.70992043</v>
      </c>
      <c r="C311">
        <v>-10.241068800000001</v>
      </c>
      <c r="E311" s="29">
        <f t="shared" si="4"/>
        <v>20.950989230000001</v>
      </c>
      <c r="F311" s="30">
        <v>42968</v>
      </c>
    </row>
    <row r="312" spans="1:6" x14ac:dyDescent="0.3">
      <c r="A312" s="32" t="s">
        <v>1289</v>
      </c>
      <c r="B312">
        <v>10.72035191</v>
      </c>
      <c r="C312">
        <v>-11.4468429</v>
      </c>
      <c r="E312" s="29">
        <f t="shared" si="4"/>
        <v>22.167194809999998</v>
      </c>
      <c r="F312" s="30">
        <v>42969</v>
      </c>
    </row>
    <row r="313" spans="1:6" x14ac:dyDescent="0.3">
      <c r="A313" s="32" t="s">
        <v>1290</v>
      </c>
      <c r="B313">
        <v>9.8296791599999995</v>
      </c>
      <c r="C313">
        <v>-11.400899000000001</v>
      </c>
      <c r="E313" s="29">
        <f t="shared" si="4"/>
        <v>21.23057816</v>
      </c>
      <c r="F313" s="30">
        <v>42970</v>
      </c>
    </row>
    <row r="314" spans="1:6" x14ac:dyDescent="0.3">
      <c r="A314" s="32" t="s">
        <v>1291</v>
      </c>
      <c r="B314">
        <v>9.1458862100000005</v>
      </c>
      <c r="C314">
        <v>-10.567274100000001</v>
      </c>
      <c r="E314" s="29">
        <f t="shared" si="4"/>
        <v>19.713160309999999</v>
      </c>
      <c r="F314" s="30">
        <v>42971</v>
      </c>
    </row>
    <row r="315" spans="1:6" x14ac:dyDescent="0.3">
      <c r="A315" s="32"/>
      <c r="F315" s="30"/>
    </row>
    <row r="316" spans="1:6" x14ac:dyDescent="0.3">
      <c r="A316" s="32"/>
      <c r="F316" s="30"/>
    </row>
    <row r="317" spans="1:6" x14ac:dyDescent="0.3">
      <c r="A317" s="32"/>
      <c r="F317" s="30"/>
    </row>
    <row r="318" spans="1:6" x14ac:dyDescent="0.3">
      <c r="A318" s="32"/>
      <c r="F318" s="30"/>
    </row>
    <row r="319" spans="1:6" x14ac:dyDescent="0.3">
      <c r="A319" s="32"/>
      <c r="F319" s="30"/>
    </row>
    <row r="320" spans="1:6" x14ac:dyDescent="0.3">
      <c r="A320" s="32"/>
      <c r="F320" s="30"/>
    </row>
    <row r="321" spans="1:6" x14ac:dyDescent="0.3">
      <c r="A321" s="32"/>
      <c r="F321" s="30"/>
    </row>
    <row r="322" spans="1:6" x14ac:dyDescent="0.3">
      <c r="A322" s="32"/>
      <c r="F322" s="30"/>
    </row>
    <row r="323" spans="1:6" x14ac:dyDescent="0.3">
      <c r="A323" s="32"/>
      <c r="F323" s="30"/>
    </row>
    <row r="324" spans="1:6" x14ac:dyDescent="0.3">
      <c r="A324" s="32"/>
      <c r="F324" s="30"/>
    </row>
    <row r="325" spans="1:6" x14ac:dyDescent="0.3">
      <c r="A325" s="32"/>
      <c r="F325" s="30"/>
    </row>
    <row r="326" spans="1:6" x14ac:dyDescent="0.3">
      <c r="A326" s="32"/>
      <c r="F326" s="30"/>
    </row>
    <row r="327" spans="1:6" x14ac:dyDescent="0.3">
      <c r="A327" s="32"/>
      <c r="F327" s="30"/>
    </row>
    <row r="328" spans="1:6" x14ac:dyDescent="0.3">
      <c r="A328" s="32"/>
      <c r="F328" s="30"/>
    </row>
    <row r="329" spans="1:6" x14ac:dyDescent="0.3">
      <c r="A329" s="32"/>
      <c r="F329" s="30"/>
    </row>
    <row r="330" spans="1:6" x14ac:dyDescent="0.3">
      <c r="A330" s="32"/>
      <c r="F330" s="30"/>
    </row>
    <row r="331" spans="1:6" x14ac:dyDescent="0.3">
      <c r="A331" s="32"/>
      <c r="F331" s="30"/>
    </row>
    <row r="332" spans="1:6" x14ac:dyDescent="0.3">
      <c r="A332" s="32"/>
      <c r="F332" s="30"/>
    </row>
    <row r="333" spans="1:6" x14ac:dyDescent="0.3">
      <c r="A333" s="32"/>
      <c r="F333" s="30"/>
    </row>
    <row r="334" spans="1:6" x14ac:dyDescent="0.3">
      <c r="A334" s="32"/>
      <c r="F334" s="30"/>
    </row>
    <row r="335" spans="1:6" x14ac:dyDescent="0.3">
      <c r="A335" s="32"/>
      <c r="F335" s="30"/>
    </row>
    <row r="336" spans="1:6" x14ac:dyDescent="0.3">
      <c r="A336" s="32"/>
      <c r="F336" s="30"/>
    </row>
    <row r="337" spans="1:6" x14ac:dyDescent="0.3">
      <c r="A337" s="32"/>
      <c r="F337" s="30"/>
    </row>
    <row r="338" spans="1:6" x14ac:dyDescent="0.3">
      <c r="F338" s="30"/>
    </row>
    <row r="339" spans="1:6" x14ac:dyDescent="0.3">
      <c r="F339" s="30"/>
    </row>
    <row r="340" spans="1:6" x14ac:dyDescent="0.3">
      <c r="F340" s="30"/>
    </row>
    <row r="341" spans="1:6" x14ac:dyDescent="0.3">
      <c r="F341" s="30"/>
    </row>
    <row r="342" spans="1:6" x14ac:dyDescent="0.3">
      <c r="F342" s="30"/>
    </row>
    <row r="343" spans="1:6" x14ac:dyDescent="0.3">
      <c r="F343" s="30"/>
    </row>
    <row r="344" spans="1:6" x14ac:dyDescent="0.3">
      <c r="F344" s="30"/>
    </row>
    <row r="345" spans="1:6" x14ac:dyDescent="0.3">
      <c r="A345" s="29" t="s">
        <v>763</v>
      </c>
      <c r="F345" s="30"/>
    </row>
    <row r="346" spans="1:6" x14ac:dyDescent="0.3">
      <c r="A346" s="29" t="s">
        <v>764</v>
      </c>
      <c r="F346" s="30"/>
    </row>
    <row r="347" spans="1:6" x14ac:dyDescent="0.3">
      <c r="A347" s="29" t="s">
        <v>765</v>
      </c>
      <c r="F347" s="30"/>
    </row>
    <row r="348" spans="1:6" x14ac:dyDescent="0.3">
      <c r="A348" s="29" t="s">
        <v>766</v>
      </c>
      <c r="F348" s="30"/>
    </row>
    <row r="349" spans="1:6" x14ac:dyDescent="0.3">
      <c r="A349" s="29" t="s">
        <v>767</v>
      </c>
      <c r="F349" s="30"/>
    </row>
    <row r="350" spans="1:6" x14ac:dyDescent="0.3">
      <c r="A350" s="29" t="s">
        <v>768</v>
      </c>
      <c r="F350" s="30"/>
    </row>
    <row r="351" spans="1:6" x14ac:dyDescent="0.3">
      <c r="A351" s="29" t="s">
        <v>769</v>
      </c>
      <c r="F351" s="30"/>
    </row>
    <row r="352" spans="1:6" x14ac:dyDescent="0.3">
      <c r="A352" s="29" t="s">
        <v>770</v>
      </c>
      <c r="F352" s="30"/>
    </row>
    <row r="353" spans="1:6" x14ac:dyDescent="0.3">
      <c r="A353" s="29" t="s">
        <v>771</v>
      </c>
      <c r="F353" s="30"/>
    </row>
    <row r="354" spans="1:6" x14ac:dyDescent="0.3">
      <c r="A354" s="29" t="s">
        <v>772</v>
      </c>
      <c r="F354" s="30"/>
    </row>
    <row r="355" spans="1:6" x14ac:dyDescent="0.3">
      <c r="A355" s="29" t="s">
        <v>773</v>
      </c>
      <c r="F355" s="30"/>
    </row>
    <row r="356" spans="1:6" x14ac:dyDescent="0.3">
      <c r="A356" s="29" t="s">
        <v>774</v>
      </c>
      <c r="F356" s="30"/>
    </row>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61CD3-3CCA-4213-B65C-24C9DF32FECB}">
  <sheetPr codeName="Sheet13"/>
  <dimension ref="A1:F356"/>
  <sheetViews>
    <sheetView topLeftCell="G318" workbookViewId="0">
      <selection activeCell="C21" sqref="C21"/>
    </sheetView>
  </sheetViews>
  <sheetFormatPr defaultRowHeight="14.4" x14ac:dyDescent="0.3"/>
  <cols>
    <col min="1" max="1" width="37.21875" style="29" bestFit="1" customWidth="1"/>
    <col min="4" max="5" width="8.88671875" style="29"/>
    <col min="6" max="6" width="9.88671875" style="29" bestFit="1" customWidth="1"/>
    <col min="7" max="16384" width="8.88671875" style="29"/>
  </cols>
  <sheetData>
    <row r="1" spans="1:6" x14ac:dyDescent="0.3">
      <c r="A1" s="32"/>
      <c r="E1" s="29" t="s">
        <v>776</v>
      </c>
      <c r="F1" s="29" t="s">
        <v>775</v>
      </c>
    </row>
    <row r="2" spans="1:6" x14ac:dyDescent="0.3">
      <c r="A2" s="32" t="s">
        <v>1960</v>
      </c>
      <c r="B2">
        <v>1.9364680999999999</v>
      </c>
      <c r="C2">
        <v>1.39731436</v>
      </c>
      <c r="E2" s="29">
        <f>B2-C2</f>
        <v>0.53915373999999994</v>
      </c>
      <c r="F2" s="30">
        <v>42659</v>
      </c>
    </row>
    <row r="3" spans="1:6" x14ac:dyDescent="0.3">
      <c r="A3" s="32" t="s">
        <v>1961</v>
      </c>
      <c r="B3">
        <v>3.4425460999999999</v>
      </c>
      <c r="C3">
        <v>1.74003153</v>
      </c>
      <c r="E3" s="29">
        <f t="shared" ref="E3:E66" si="0">B3-C3</f>
        <v>1.7025145699999999</v>
      </c>
      <c r="F3" s="30">
        <v>42660</v>
      </c>
    </row>
    <row r="4" spans="1:6" x14ac:dyDescent="0.3">
      <c r="A4" s="32" t="s">
        <v>1962</v>
      </c>
      <c r="B4">
        <v>2.5321083999999998</v>
      </c>
      <c r="C4">
        <v>0.99826813000000003</v>
      </c>
      <c r="E4" s="29">
        <f t="shared" si="0"/>
        <v>1.5338402699999998</v>
      </c>
      <c r="F4" s="30">
        <v>42661</v>
      </c>
    </row>
    <row r="5" spans="1:6" x14ac:dyDescent="0.3">
      <c r="A5" s="32" t="s">
        <v>1963</v>
      </c>
      <c r="B5">
        <v>1.5311969999999999</v>
      </c>
      <c r="C5">
        <v>-0.23558889999999999</v>
      </c>
      <c r="E5" s="29">
        <f t="shared" si="0"/>
        <v>1.7667858999999999</v>
      </c>
      <c r="F5" s="30">
        <v>42662</v>
      </c>
    </row>
    <row r="6" spans="1:6" x14ac:dyDescent="0.3">
      <c r="A6" s="32" t="s">
        <v>1964</v>
      </c>
      <c r="B6">
        <v>3.2232221000000001</v>
      </c>
      <c r="C6">
        <v>0.61764238000000005</v>
      </c>
      <c r="E6" s="29">
        <f t="shared" si="0"/>
        <v>2.6055797200000002</v>
      </c>
      <c r="F6" s="30">
        <v>42663</v>
      </c>
    </row>
    <row r="7" spans="1:6" x14ac:dyDescent="0.3">
      <c r="A7" s="32" t="s">
        <v>1965</v>
      </c>
      <c r="B7">
        <v>5.0599420000000004</v>
      </c>
      <c r="C7">
        <v>1.2227752999999999</v>
      </c>
      <c r="E7" s="29">
        <f t="shared" si="0"/>
        <v>3.8371667000000005</v>
      </c>
      <c r="F7" s="30">
        <v>42664</v>
      </c>
    </row>
    <row r="8" spans="1:6" x14ac:dyDescent="0.3">
      <c r="A8" s="32" t="s">
        <v>1966</v>
      </c>
      <c r="B8">
        <v>4.9986774</v>
      </c>
      <c r="C8">
        <v>0.84293627999999998</v>
      </c>
      <c r="E8" s="29">
        <f t="shared" si="0"/>
        <v>4.1557411200000001</v>
      </c>
      <c r="F8" s="30">
        <v>42665</v>
      </c>
    </row>
    <row r="9" spans="1:6" x14ac:dyDescent="0.3">
      <c r="A9" s="32" t="s">
        <v>1967</v>
      </c>
      <c r="B9">
        <v>4.0932465999999996</v>
      </c>
      <c r="C9">
        <v>0.30068268999999997</v>
      </c>
      <c r="E9" s="29">
        <f t="shared" si="0"/>
        <v>3.7925639099999997</v>
      </c>
      <c r="F9" s="30">
        <v>42666</v>
      </c>
    </row>
    <row r="10" spans="1:6" x14ac:dyDescent="0.3">
      <c r="A10" s="32" t="s">
        <v>1628</v>
      </c>
      <c r="B10">
        <v>7.2755464999999999</v>
      </c>
      <c r="C10">
        <v>1.0650274</v>
      </c>
      <c r="E10" s="29">
        <f t="shared" si="0"/>
        <v>6.2105191</v>
      </c>
      <c r="F10" s="30">
        <v>42667</v>
      </c>
    </row>
    <row r="11" spans="1:6" x14ac:dyDescent="0.3">
      <c r="A11" s="32" t="s">
        <v>1629</v>
      </c>
      <c r="B11">
        <v>8.2004290999999991</v>
      </c>
      <c r="C11">
        <v>0.49129124000000002</v>
      </c>
      <c r="E11" s="29">
        <f t="shared" si="0"/>
        <v>7.7091378599999993</v>
      </c>
      <c r="F11" s="30">
        <v>42668</v>
      </c>
    </row>
    <row r="12" spans="1:6" x14ac:dyDescent="0.3">
      <c r="A12" s="32" t="s">
        <v>1630</v>
      </c>
      <c r="B12">
        <v>7.3632814</v>
      </c>
      <c r="C12">
        <v>-0.22567118999999999</v>
      </c>
      <c r="E12" s="29">
        <f t="shared" si="0"/>
        <v>7.5889525899999999</v>
      </c>
      <c r="F12" s="30">
        <v>42669</v>
      </c>
    </row>
    <row r="13" spans="1:6" x14ac:dyDescent="0.3">
      <c r="A13" s="32" t="s">
        <v>1631</v>
      </c>
      <c r="B13">
        <v>6.9351221000000001</v>
      </c>
      <c r="C13">
        <v>-0.21139361000000001</v>
      </c>
      <c r="E13" s="29">
        <f t="shared" si="0"/>
        <v>7.1465157100000001</v>
      </c>
      <c r="F13" s="30">
        <v>42670</v>
      </c>
    </row>
    <row r="14" spans="1:6" x14ac:dyDescent="0.3">
      <c r="A14" s="32" t="s">
        <v>1632</v>
      </c>
      <c r="B14">
        <v>7.5909174000000004</v>
      </c>
      <c r="C14">
        <v>-3.200737E-2</v>
      </c>
      <c r="E14" s="29">
        <f t="shared" si="0"/>
        <v>7.62292477</v>
      </c>
      <c r="F14" s="30">
        <v>42671</v>
      </c>
    </row>
    <row r="15" spans="1:6" x14ac:dyDescent="0.3">
      <c r="A15" s="32" t="s">
        <v>1633</v>
      </c>
      <c r="B15">
        <v>8.1728117000000005</v>
      </c>
      <c r="C15">
        <v>-0.25075783000000001</v>
      </c>
      <c r="E15" s="29">
        <f t="shared" si="0"/>
        <v>8.42356953</v>
      </c>
      <c r="F15" s="30">
        <v>42672</v>
      </c>
    </row>
    <row r="16" spans="1:6" x14ac:dyDescent="0.3">
      <c r="A16" s="32" t="s">
        <v>1634</v>
      </c>
      <c r="B16">
        <v>9.0030383999999994</v>
      </c>
      <c r="C16">
        <v>1.2216886899999999</v>
      </c>
      <c r="E16" s="29">
        <f t="shared" si="0"/>
        <v>7.7813497099999998</v>
      </c>
      <c r="F16" s="30">
        <v>42673</v>
      </c>
    </row>
    <row r="17" spans="1:6" x14ac:dyDescent="0.3">
      <c r="A17" s="32" t="s">
        <v>1635</v>
      </c>
      <c r="B17">
        <v>10.5069388</v>
      </c>
      <c r="C17">
        <v>0.91455370999999996</v>
      </c>
      <c r="E17" s="29">
        <f t="shared" si="0"/>
        <v>9.5923850900000005</v>
      </c>
      <c r="F17" s="30">
        <v>42674</v>
      </c>
    </row>
    <row r="18" spans="1:6" x14ac:dyDescent="0.3">
      <c r="A18" s="32" t="s">
        <v>1636</v>
      </c>
      <c r="B18">
        <v>10.0519037</v>
      </c>
      <c r="C18">
        <v>-7.0941820000000003E-2</v>
      </c>
      <c r="E18" s="29">
        <f t="shared" si="0"/>
        <v>10.12284552</v>
      </c>
      <c r="F18" s="30">
        <v>42675</v>
      </c>
    </row>
    <row r="19" spans="1:6" x14ac:dyDescent="0.3">
      <c r="A19" s="32" t="s">
        <v>1637</v>
      </c>
      <c r="B19">
        <v>9.2607642999999999</v>
      </c>
      <c r="C19">
        <v>-0.97947213</v>
      </c>
      <c r="E19" s="29">
        <f t="shared" si="0"/>
        <v>10.24023643</v>
      </c>
      <c r="F19" s="30">
        <v>42676</v>
      </c>
    </row>
    <row r="20" spans="1:6" x14ac:dyDescent="0.3">
      <c r="A20" s="32" t="s">
        <v>1638</v>
      </c>
      <c r="B20">
        <v>7.3237674999999998</v>
      </c>
      <c r="C20">
        <v>-0.95045605</v>
      </c>
      <c r="E20" s="29">
        <f t="shared" si="0"/>
        <v>8.2742235500000003</v>
      </c>
      <c r="F20" s="30">
        <v>42677</v>
      </c>
    </row>
    <row r="21" spans="1:6" x14ac:dyDescent="0.3">
      <c r="A21" s="32" t="s">
        <v>1639</v>
      </c>
      <c r="B21">
        <v>7.7369268</v>
      </c>
      <c r="C21">
        <v>-0.34306267000000001</v>
      </c>
      <c r="E21" s="29">
        <f t="shared" si="0"/>
        <v>8.0799894699999992</v>
      </c>
      <c r="F21" s="30">
        <v>42678</v>
      </c>
    </row>
    <row r="22" spans="1:6" x14ac:dyDescent="0.3">
      <c r="A22" s="32" t="s">
        <v>1640</v>
      </c>
      <c r="B22">
        <v>8.3522251000000001</v>
      </c>
      <c r="C22">
        <v>-1.1505860999999999</v>
      </c>
      <c r="E22" s="29">
        <f t="shared" si="0"/>
        <v>9.5028112</v>
      </c>
      <c r="F22" s="30">
        <v>42679</v>
      </c>
    </row>
    <row r="23" spans="1:6" x14ac:dyDescent="0.3">
      <c r="A23" s="32" t="s">
        <v>1641</v>
      </c>
      <c r="B23">
        <v>7.7889141999999998</v>
      </c>
      <c r="C23">
        <v>1.08959158</v>
      </c>
      <c r="E23" s="29">
        <f t="shared" si="0"/>
        <v>6.6993226200000002</v>
      </c>
      <c r="F23" s="30">
        <v>42680</v>
      </c>
    </row>
    <row r="24" spans="1:6" x14ac:dyDescent="0.3">
      <c r="A24" s="32" t="s">
        <v>1642</v>
      </c>
      <c r="B24">
        <v>9.6533192999999997</v>
      </c>
      <c r="C24">
        <v>0.96835464999999998</v>
      </c>
      <c r="E24" s="29">
        <f t="shared" si="0"/>
        <v>8.6849646499999995</v>
      </c>
      <c r="F24" s="30">
        <v>42681</v>
      </c>
    </row>
    <row r="25" spans="1:6" x14ac:dyDescent="0.3">
      <c r="A25" s="32" t="s">
        <v>1643</v>
      </c>
      <c r="B25">
        <v>9.3967100000000006</v>
      </c>
      <c r="C25">
        <v>2.3863119199999998</v>
      </c>
      <c r="E25" s="29">
        <f t="shared" si="0"/>
        <v>7.0103980800000008</v>
      </c>
      <c r="F25" s="30">
        <v>42682</v>
      </c>
    </row>
    <row r="26" spans="1:6" x14ac:dyDescent="0.3">
      <c r="A26" s="32" t="s">
        <v>1644</v>
      </c>
      <c r="B26">
        <v>10.3759125</v>
      </c>
      <c r="C26">
        <v>2.7060596700000001</v>
      </c>
      <c r="E26" s="29">
        <f t="shared" si="0"/>
        <v>7.66985283</v>
      </c>
      <c r="F26" s="30">
        <v>42683</v>
      </c>
    </row>
    <row r="27" spans="1:6" x14ac:dyDescent="0.3">
      <c r="A27" s="32" t="s">
        <v>1645</v>
      </c>
      <c r="B27">
        <v>9.9754731000000003</v>
      </c>
      <c r="C27">
        <v>3.8245273000000002</v>
      </c>
      <c r="E27" s="29">
        <f t="shared" si="0"/>
        <v>6.1509458000000006</v>
      </c>
      <c r="F27" s="30">
        <v>42684</v>
      </c>
    </row>
    <row r="28" spans="1:6" x14ac:dyDescent="0.3">
      <c r="A28" s="32" t="s">
        <v>1646</v>
      </c>
      <c r="B28">
        <v>9.1962352999999997</v>
      </c>
      <c r="C28">
        <v>3.7273944600000002</v>
      </c>
      <c r="E28" s="29">
        <f t="shared" si="0"/>
        <v>5.4688408399999995</v>
      </c>
      <c r="F28" s="30">
        <v>42685</v>
      </c>
    </row>
    <row r="29" spans="1:6" x14ac:dyDescent="0.3">
      <c r="A29" s="32" t="s">
        <v>1647</v>
      </c>
      <c r="B29">
        <v>9.3964789</v>
      </c>
      <c r="C29">
        <v>4.3775443200000002</v>
      </c>
      <c r="E29" s="29">
        <f t="shared" si="0"/>
        <v>5.0189345799999998</v>
      </c>
      <c r="F29" s="30">
        <v>42686</v>
      </c>
    </row>
    <row r="30" spans="1:6" x14ac:dyDescent="0.3">
      <c r="A30" s="32" t="s">
        <v>1648</v>
      </c>
      <c r="B30">
        <v>8.8335162999999994</v>
      </c>
      <c r="C30">
        <v>4.0006924599999998</v>
      </c>
      <c r="E30" s="29">
        <f t="shared" si="0"/>
        <v>4.8328238399999996</v>
      </c>
      <c r="F30" s="30">
        <v>42687</v>
      </c>
    </row>
    <row r="31" spans="1:6" x14ac:dyDescent="0.3">
      <c r="A31" s="32" t="s">
        <v>1649</v>
      </c>
      <c r="B31">
        <v>7.2589997999999998</v>
      </c>
      <c r="C31">
        <v>3.4902206699999998</v>
      </c>
      <c r="E31" s="29">
        <f t="shared" si="0"/>
        <v>3.76877913</v>
      </c>
      <c r="F31" s="30">
        <v>42688</v>
      </c>
    </row>
    <row r="32" spans="1:6" x14ac:dyDescent="0.3">
      <c r="A32" s="32" t="s">
        <v>1650</v>
      </c>
      <c r="B32">
        <v>6.8864026000000003</v>
      </c>
      <c r="C32">
        <v>3.5115874100000002</v>
      </c>
      <c r="E32" s="29">
        <f t="shared" si="0"/>
        <v>3.3748151900000001</v>
      </c>
      <c r="F32" s="30">
        <v>42689</v>
      </c>
    </row>
    <row r="33" spans="1:6" x14ac:dyDescent="0.3">
      <c r="A33" s="32" t="s">
        <v>1651</v>
      </c>
      <c r="B33">
        <v>7.8108199999999997</v>
      </c>
      <c r="C33">
        <v>4.4947013299999998</v>
      </c>
      <c r="E33" s="29">
        <f t="shared" si="0"/>
        <v>3.3161186699999998</v>
      </c>
      <c r="F33" s="30">
        <v>42690</v>
      </c>
    </row>
    <row r="34" spans="1:6" x14ac:dyDescent="0.3">
      <c r="A34" s="32" t="s">
        <v>1652</v>
      </c>
      <c r="B34">
        <v>7.6634682999999999</v>
      </c>
      <c r="C34">
        <v>4.4140143700000003</v>
      </c>
      <c r="E34" s="29">
        <f t="shared" si="0"/>
        <v>3.2494539299999996</v>
      </c>
      <c r="F34" s="30">
        <v>42691</v>
      </c>
    </row>
    <row r="35" spans="1:6" x14ac:dyDescent="0.3">
      <c r="A35" s="32" t="s">
        <v>1653</v>
      </c>
      <c r="B35">
        <v>5.8672057000000004</v>
      </c>
      <c r="C35">
        <v>5.2693188900000001</v>
      </c>
      <c r="E35" s="29">
        <f t="shared" si="0"/>
        <v>0.59788681000000032</v>
      </c>
      <c r="F35" s="30">
        <v>42692</v>
      </c>
    </row>
    <row r="36" spans="1:6" x14ac:dyDescent="0.3">
      <c r="A36" s="32" t="s">
        <v>1654</v>
      </c>
      <c r="B36">
        <v>5.0178466999999998</v>
      </c>
      <c r="C36">
        <v>4.9134875899999999</v>
      </c>
      <c r="E36" s="29">
        <f t="shared" si="0"/>
        <v>0.10435910999999987</v>
      </c>
      <c r="F36" s="30">
        <v>42693</v>
      </c>
    </row>
    <row r="37" spans="1:6" x14ac:dyDescent="0.3">
      <c r="A37" s="32" t="s">
        <v>1655</v>
      </c>
      <c r="B37">
        <v>4.9968621999999998</v>
      </c>
      <c r="C37">
        <v>5.4909174800000002</v>
      </c>
      <c r="E37" s="29">
        <f t="shared" si="0"/>
        <v>-0.49405528000000043</v>
      </c>
      <c r="F37" s="30">
        <v>42694</v>
      </c>
    </row>
    <row r="38" spans="1:6" x14ac:dyDescent="0.3">
      <c r="A38" s="32" t="s">
        <v>1656</v>
      </c>
      <c r="B38">
        <v>2.9654465999999999</v>
      </c>
      <c r="C38">
        <v>5.9984592699999997</v>
      </c>
      <c r="E38" s="29">
        <f t="shared" si="0"/>
        <v>-3.0330126699999997</v>
      </c>
      <c r="F38" s="30">
        <v>42695</v>
      </c>
    </row>
    <row r="39" spans="1:6" x14ac:dyDescent="0.3">
      <c r="A39" s="32" t="s">
        <v>1657</v>
      </c>
      <c r="B39">
        <v>3.2136979000000001</v>
      </c>
      <c r="C39">
        <v>6.90199038</v>
      </c>
      <c r="E39" s="29">
        <f t="shared" si="0"/>
        <v>-3.6882924799999999</v>
      </c>
      <c r="F39" s="30">
        <v>42696</v>
      </c>
    </row>
    <row r="40" spans="1:6" x14ac:dyDescent="0.3">
      <c r="A40" s="32" t="s">
        <v>1658</v>
      </c>
      <c r="B40">
        <v>5.4855552999999997</v>
      </c>
      <c r="C40">
        <v>7.4796774700000004</v>
      </c>
      <c r="E40" s="29">
        <f t="shared" si="0"/>
        <v>-1.9941221700000007</v>
      </c>
      <c r="F40" s="30">
        <v>42697</v>
      </c>
    </row>
    <row r="41" spans="1:6" x14ac:dyDescent="0.3">
      <c r="A41" s="32" t="s">
        <v>1659</v>
      </c>
      <c r="B41">
        <v>4.1219158</v>
      </c>
      <c r="C41">
        <v>5.8833395199999998</v>
      </c>
      <c r="E41" s="29">
        <f t="shared" si="0"/>
        <v>-1.7614237199999998</v>
      </c>
      <c r="F41" s="30">
        <v>42698</v>
      </c>
    </row>
    <row r="42" spans="1:6" x14ac:dyDescent="0.3">
      <c r="A42" s="32" t="s">
        <v>1660</v>
      </c>
      <c r="B42">
        <v>4.9855783000000002</v>
      </c>
      <c r="C42">
        <v>5.04587144</v>
      </c>
      <c r="E42" s="29">
        <f t="shared" si="0"/>
        <v>-6.0293139999999745E-2</v>
      </c>
      <c r="F42" s="30">
        <v>42699</v>
      </c>
    </row>
    <row r="43" spans="1:6" x14ac:dyDescent="0.3">
      <c r="A43" s="32" t="s">
        <v>1661</v>
      </c>
      <c r="B43">
        <v>5.6767330999999999</v>
      </c>
      <c r="C43">
        <v>5.6109541099999998</v>
      </c>
      <c r="E43" s="29">
        <f t="shared" si="0"/>
        <v>6.5778990000000093E-2</v>
      </c>
      <c r="F43" s="30">
        <v>42700</v>
      </c>
    </row>
    <row r="44" spans="1:6" x14ac:dyDescent="0.3">
      <c r="A44" s="32" t="s">
        <v>1662</v>
      </c>
      <c r="B44">
        <v>6.8437251000000003</v>
      </c>
      <c r="C44">
        <v>4.62524464</v>
      </c>
      <c r="E44" s="29">
        <f t="shared" si="0"/>
        <v>2.2184804600000003</v>
      </c>
      <c r="F44" s="30">
        <v>42701</v>
      </c>
    </row>
    <row r="45" spans="1:6" x14ac:dyDescent="0.3">
      <c r="A45" s="32" t="s">
        <v>1663</v>
      </c>
      <c r="B45">
        <v>9.1104470000000006</v>
      </c>
      <c r="C45">
        <v>4.9458742300000003</v>
      </c>
      <c r="E45" s="29">
        <f t="shared" si="0"/>
        <v>4.1645727700000004</v>
      </c>
      <c r="F45" s="30">
        <v>42702</v>
      </c>
    </row>
    <row r="46" spans="1:6" x14ac:dyDescent="0.3">
      <c r="A46" s="32" t="s">
        <v>1664</v>
      </c>
      <c r="B46">
        <v>9.5442988</v>
      </c>
      <c r="C46">
        <v>5.00724473</v>
      </c>
      <c r="E46" s="29">
        <f t="shared" si="0"/>
        <v>4.5370540699999999</v>
      </c>
      <c r="F46" s="30">
        <v>42703</v>
      </c>
    </row>
    <row r="47" spans="1:6" x14ac:dyDescent="0.3">
      <c r="A47" s="32" t="s">
        <v>1665</v>
      </c>
      <c r="B47">
        <v>8.6194191</v>
      </c>
      <c r="C47">
        <v>3.3910522300000001</v>
      </c>
      <c r="E47" s="29">
        <f t="shared" si="0"/>
        <v>5.2283668700000003</v>
      </c>
      <c r="F47" s="30">
        <v>42704</v>
      </c>
    </row>
    <row r="48" spans="1:6" x14ac:dyDescent="0.3">
      <c r="A48" s="32" t="s">
        <v>1666</v>
      </c>
      <c r="B48">
        <v>10.5207693</v>
      </c>
      <c r="C48">
        <v>2.71292672</v>
      </c>
      <c r="E48" s="29">
        <f t="shared" si="0"/>
        <v>7.8078425799999991</v>
      </c>
      <c r="F48" s="30">
        <v>42705</v>
      </c>
    </row>
    <row r="49" spans="1:6" x14ac:dyDescent="0.3">
      <c r="A49" s="32" t="s">
        <v>1667</v>
      </c>
      <c r="B49">
        <v>11.3573997</v>
      </c>
      <c r="C49">
        <v>1.1345607099999999</v>
      </c>
      <c r="E49" s="29">
        <f t="shared" si="0"/>
        <v>10.22283899</v>
      </c>
      <c r="F49" s="30">
        <v>42706</v>
      </c>
    </row>
    <row r="50" spans="1:6" x14ac:dyDescent="0.3">
      <c r="A50" s="32" t="s">
        <v>1668</v>
      </c>
      <c r="B50">
        <v>12.602410300000001</v>
      </c>
      <c r="C50">
        <v>2.2218477499999998</v>
      </c>
      <c r="E50" s="29">
        <f t="shared" si="0"/>
        <v>10.38056255</v>
      </c>
      <c r="F50" s="30">
        <v>42707</v>
      </c>
    </row>
    <row r="51" spans="1:6" x14ac:dyDescent="0.3">
      <c r="A51" s="32" t="s">
        <v>1669</v>
      </c>
      <c r="B51">
        <v>13.8321004</v>
      </c>
      <c r="C51">
        <v>4.5533657300000003</v>
      </c>
      <c r="E51" s="29">
        <f t="shared" si="0"/>
        <v>9.2787346699999986</v>
      </c>
      <c r="F51" s="30">
        <v>42708</v>
      </c>
    </row>
    <row r="52" spans="1:6" x14ac:dyDescent="0.3">
      <c r="A52" s="32" t="s">
        <v>1670</v>
      </c>
      <c r="B52">
        <v>14.5235406</v>
      </c>
      <c r="C52">
        <v>5.0834497000000001</v>
      </c>
      <c r="E52" s="29">
        <f t="shared" si="0"/>
        <v>9.4400909000000013</v>
      </c>
      <c r="F52" s="30">
        <v>42709</v>
      </c>
    </row>
    <row r="53" spans="1:6" x14ac:dyDescent="0.3">
      <c r="A53" s="32" t="s">
        <v>1671</v>
      </c>
      <c r="B53">
        <v>13.916631199999999</v>
      </c>
      <c r="C53">
        <v>4.2482464200000001</v>
      </c>
      <c r="E53" s="29">
        <f t="shared" si="0"/>
        <v>9.6683847800000002</v>
      </c>
      <c r="F53" s="30">
        <v>42710</v>
      </c>
    </row>
    <row r="54" spans="1:6" x14ac:dyDescent="0.3">
      <c r="A54" s="32" t="s">
        <v>1672</v>
      </c>
      <c r="B54">
        <v>14.361985499999999</v>
      </c>
      <c r="C54">
        <v>4.21479348</v>
      </c>
      <c r="E54" s="29">
        <f t="shared" si="0"/>
        <v>10.147192019999999</v>
      </c>
      <c r="F54" s="30">
        <v>42711</v>
      </c>
    </row>
    <row r="55" spans="1:6" x14ac:dyDescent="0.3">
      <c r="A55" s="32" t="s">
        <v>1673</v>
      </c>
      <c r="B55">
        <v>14.302114899999999</v>
      </c>
      <c r="C55">
        <v>4.1706980700000003</v>
      </c>
      <c r="E55" s="29">
        <f t="shared" si="0"/>
        <v>10.131416829999999</v>
      </c>
      <c r="F55" s="30">
        <v>42712</v>
      </c>
    </row>
    <row r="56" spans="1:6" x14ac:dyDescent="0.3">
      <c r="A56" s="32" t="s">
        <v>1674</v>
      </c>
      <c r="B56">
        <v>12.5265077</v>
      </c>
      <c r="C56">
        <v>4.7902298999999999</v>
      </c>
      <c r="E56" s="29">
        <f t="shared" si="0"/>
        <v>7.7362777999999999</v>
      </c>
      <c r="F56" s="30">
        <v>42713</v>
      </c>
    </row>
    <row r="57" spans="1:6" x14ac:dyDescent="0.3">
      <c r="A57" s="32" t="s">
        <v>1675</v>
      </c>
      <c r="B57">
        <v>14.250000200000001</v>
      </c>
      <c r="C57">
        <v>3.70734853</v>
      </c>
      <c r="E57" s="29">
        <f t="shared" si="0"/>
        <v>10.542651670000001</v>
      </c>
      <c r="F57" s="30">
        <v>42714</v>
      </c>
    </row>
    <row r="58" spans="1:6" x14ac:dyDescent="0.3">
      <c r="A58" s="32" t="s">
        <v>1676</v>
      </c>
      <c r="B58">
        <v>15.024934399999999</v>
      </c>
      <c r="C58">
        <v>2.9319300500000001</v>
      </c>
      <c r="E58" s="29">
        <f t="shared" si="0"/>
        <v>12.093004349999999</v>
      </c>
      <c r="F58" s="30">
        <v>42715</v>
      </c>
    </row>
    <row r="59" spans="1:6" x14ac:dyDescent="0.3">
      <c r="A59" s="32" t="s">
        <v>1677</v>
      </c>
      <c r="B59">
        <v>16.150034600000001</v>
      </c>
      <c r="C59">
        <v>2.8129387499999998</v>
      </c>
      <c r="E59" s="29">
        <f t="shared" si="0"/>
        <v>13.337095850000001</v>
      </c>
      <c r="F59" s="30">
        <v>42716</v>
      </c>
    </row>
    <row r="60" spans="1:6" x14ac:dyDescent="0.3">
      <c r="A60" s="32" t="s">
        <v>1678</v>
      </c>
      <c r="B60">
        <v>14.6106392</v>
      </c>
      <c r="C60">
        <v>2.8667080700000001</v>
      </c>
      <c r="E60" s="29">
        <f t="shared" si="0"/>
        <v>11.74393113</v>
      </c>
      <c r="F60" s="30">
        <v>42717</v>
      </c>
    </row>
    <row r="61" spans="1:6" x14ac:dyDescent="0.3">
      <c r="A61" s="32" t="s">
        <v>1679</v>
      </c>
      <c r="B61">
        <v>16.418713499999999</v>
      </c>
      <c r="C61">
        <v>4.2948900999999999</v>
      </c>
      <c r="E61" s="29">
        <f t="shared" si="0"/>
        <v>12.123823399999999</v>
      </c>
      <c r="F61" s="30">
        <v>42718</v>
      </c>
    </row>
    <row r="62" spans="1:6" x14ac:dyDescent="0.3">
      <c r="A62" s="32" t="s">
        <v>1680</v>
      </c>
      <c r="B62">
        <v>17.358158</v>
      </c>
      <c r="C62">
        <v>4.6532279299999999</v>
      </c>
      <c r="E62" s="29">
        <f t="shared" si="0"/>
        <v>12.70493007</v>
      </c>
      <c r="F62" s="30">
        <v>42719</v>
      </c>
    </row>
    <row r="63" spans="1:6" x14ac:dyDescent="0.3">
      <c r="A63" s="32" t="s">
        <v>1681</v>
      </c>
      <c r="B63">
        <v>17.436775799999999</v>
      </c>
      <c r="C63">
        <v>6.17014452</v>
      </c>
      <c r="E63" s="29">
        <f t="shared" si="0"/>
        <v>11.266631279999999</v>
      </c>
      <c r="F63" s="30">
        <v>42720</v>
      </c>
    </row>
    <row r="64" spans="1:6" x14ac:dyDescent="0.3">
      <c r="A64" s="32" t="s">
        <v>1682</v>
      </c>
      <c r="B64">
        <v>16.9183339</v>
      </c>
      <c r="C64">
        <v>6.31481929</v>
      </c>
      <c r="E64" s="29">
        <f t="shared" si="0"/>
        <v>10.603514610000001</v>
      </c>
      <c r="F64" s="30">
        <v>42721</v>
      </c>
    </row>
    <row r="65" spans="1:6" x14ac:dyDescent="0.3">
      <c r="A65" s="32" t="s">
        <v>1683</v>
      </c>
      <c r="B65">
        <v>18.263607100000002</v>
      </c>
      <c r="C65">
        <v>7.5306724999999997</v>
      </c>
      <c r="E65" s="29">
        <f t="shared" si="0"/>
        <v>10.732934600000002</v>
      </c>
      <c r="F65" s="30">
        <v>42722</v>
      </c>
    </row>
    <row r="66" spans="1:6" x14ac:dyDescent="0.3">
      <c r="A66" s="32" t="s">
        <v>1684</v>
      </c>
      <c r="B66">
        <v>16.8434265</v>
      </c>
      <c r="C66">
        <v>6.45739295</v>
      </c>
      <c r="E66" s="29">
        <f t="shared" si="0"/>
        <v>10.386033550000001</v>
      </c>
      <c r="F66" s="30">
        <v>42723</v>
      </c>
    </row>
    <row r="67" spans="1:6" x14ac:dyDescent="0.3">
      <c r="A67" s="32" t="s">
        <v>1685</v>
      </c>
      <c r="B67">
        <v>15.957208700000001</v>
      </c>
      <c r="C67">
        <v>9.0301290600000002</v>
      </c>
      <c r="E67" s="29">
        <f t="shared" ref="E67:E130" si="1">B67-C67</f>
        <v>6.9270796400000005</v>
      </c>
      <c r="F67" s="30">
        <v>42724</v>
      </c>
    </row>
    <row r="68" spans="1:6" x14ac:dyDescent="0.3">
      <c r="A68" s="32" t="s">
        <v>1686</v>
      </c>
      <c r="B68">
        <v>16.5707737</v>
      </c>
      <c r="C68">
        <v>9.9637831499999994</v>
      </c>
      <c r="E68" s="29">
        <f t="shared" si="1"/>
        <v>6.6069905500000008</v>
      </c>
      <c r="F68" s="30">
        <v>42725</v>
      </c>
    </row>
    <row r="69" spans="1:6" x14ac:dyDescent="0.3">
      <c r="A69" s="32" t="s">
        <v>1687</v>
      </c>
      <c r="B69">
        <v>16.866882499999999</v>
      </c>
      <c r="C69">
        <v>9.4728808900000008</v>
      </c>
      <c r="E69" s="29">
        <f t="shared" si="1"/>
        <v>7.3940016099999983</v>
      </c>
      <c r="F69" s="30">
        <v>42726</v>
      </c>
    </row>
    <row r="70" spans="1:6" x14ac:dyDescent="0.3">
      <c r="A70" s="32" t="s">
        <v>1688</v>
      </c>
      <c r="B70">
        <v>16.209063</v>
      </c>
      <c r="C70">
        <v>11.09013221</v>
      </c>
      <c r="E70" s="29">
        <f t="shared" si="1"/>
        <v>5.1189307900000003</v>
      </c>
      <c r="F70" s="30">
        <v>42727</v>
      </c>
    </row>
    <row r="71" spans="1:6" x14ac:dyDescent="0.3">
      <c r="A71" s="32" t="s">
        <v>1689</v>
      </c>
      <c r="B71">
        <v>15.4335837</v>
      </c>
      <c r="C71">
        <v>10.569308400000001</v>
      </c>
      <c r="E71" s="29">
        <f t="shared" si="1"/>
        <v>4.8642752999999992</v>
      </c>
      <c r="F71" s="30">
        <v>42728</v>
      </c>
    </row>
    <row r="72" spans="1:6" x14ac:dyDescent="0.3">
      <c r="A72" s="32" t="s">
        <v>1690</v>
      </c>
      <c r="B72">
        <v>17.006551900000002</v>
      </c>
      <c r="C72">
        <v>10.60689827</v>
      </c>
      <c r="E72" s="29">
        <f t="shared" si="1"/>
        <v>6.3996536300000013</v>
      </c>
      <c r="F72" s="30">
        <v>42729</v>
      </c>
    </row>
    <row r="73" spans="1:6" x14ac:dyDescent="0.3">
      <c r="A73" s="32" t="s">
        <v>1691</v>
      </c>
      <c r="B73">
        <v>17.3803634</v>
      </c>
      <c r="C73">
        <v>10.86361043</v>
      </c>
      <c r="E73" s="29">
        <f t="shared" si="1"/>
        <v>6.5167529700000006</v>
      </c>
      <c r="F73" s="30">
        <v>42730</v>
      </c>
    </row>
    <row r="74" spans="1:6" x14ac:dyDescent="0.3">
      <c r="A74" s="32" t="s">
        <v>1692</v>
      </c>
      <c r="B74">
        <v>15.4718331</v>
      </c>
      <c r="C74">
        <v>11.512132899999999</v>
      </c>
      <c r="E74" s="29">
        <f t="shared" si="1"/>
        <v>3.9597002000000003</v>
      </c>
      <c r="F74" s="30">
        <v>42731</v>
      </c>
    </row>
    <row r="75" spans="1:6" x14ac:dyDescent="0.3">
      <c r="A75" s="32" t="s">
        <v>1693</v>
      </c>
      <c r="B75">
        <v>16.416126899999998</v>
      </c>
      <c r="C75">
        <v>11.113467549999999</v>
      </c>
      <c r="E75" s="29">
        <f t="shared" si="1"/>
        <v>5.302659349999999</v>
      </c>
      <c r="F75" s="30">
        <v>42732</v>
      </c>
    </row>
    <row r="76" spans="1:6" x14ac:dyDescent="0.3">
      <c r="A76" s="32" t="s">
        <v>1694</v>
      </c>
      <c r="B76">
        <v>16.545552099999998</v>
      </c>
      <c r="C76">
        <v>10.89487724</v>
      </c>
      <c r="E76" s="29">
        <f t="shared" si="1"/>
        <v>5.6506748599999987</v>
      </c>
      <c r="F76" s="30">
        <v>42733</v>
      </c>
    </row>
    <row r="77" spans="1:6" x14ac:dyDescent="0.3">
      <c r="A77" s="32" t="s">
        <v>1695</v>
      </c>
      <c r="B77">
        <v>15.2508693</v>
      </c>
      <c r="C77">
        <v>10.48614048</v>
      </c>
      <c r="E77" s="29">
        <f t="shared" si="1"/>
        <v>4.7647288200000002</v>
      </c>
      <c r="F77" s="30">
        <v>42734</v>
      </c>
    </row>
    <row r="78" spans="1:6" x14ac:dyDescent="0.3">
      <c r="A78" s="32" t="s">
        <v>1696</v>
      </c>
      <c r="B78">
        <v>15.167305799999999</v>
      </c>
      <c r="C78">
        <v>8.9383717499999999</v>
      </c>
      <c r="E78" s="29">
        <f t="shared" si="1"/>
        <v>6.2289340499999994</v>
      </c>
      <c r="F78" s="30">
        <v>42735</v>
      </c>
    </row>
    <row r="79" spans="1:6" x14ac:dyDescent="0.3">
      <c r="A79" s="32" t="s">
        <v>1697</v>
      </c>
      <c r="B79">
        <v>15.4327886</v>
      </c>
      <c r="C79">
        <v>8.1927524100000007</v>
      </c>
      <c r="E79" s="29">
        <f t="shared" si="1"/>
        <v>7.2400361899999996</v>
      </c>
      <c r="F79" s="30">
        <v>42736</v>
      </c>
    </row>
    <row r="80" spans="1:6" x14ac:dyDescent="0.3">
      <c r="A80" s="32" t="s">
        <v>1698</v>
      </c>
      <c r="B80">
        <v>15.6861161</v>
      </c>
      <c r="C80">
        <v>6.2415160199999997</v>
      </c>
      <c r="E80" s="29">
        <f t="shared" si="1"/>
        <v>9.4446000800000007</v>
      </c>
      <c r="F80" s="30">
        <v>42737</v>
      </c>
    </row>
    <row r="81" spans="1:6" x14ac:dyDescent="0.3">
      <c r="A81" s="32" t="s">
        <v>1699</v>
      </c>
      <c r="B81">
        <v>15.2666912</v>
      </c>
      <c r="C81">
        <v>5.8695683900000004</v>
      </c>
      <c r="E81" s="29">
        <f t="shared" si="1"/>
        <v>9.397122809999999</v>
      </c>
      <c r="F81" s="30">
        <v>42738</v>
      </c>
    </row>
    <row r="82" spans="1:6" x14ac:dyDescent="0.3">
      <c r="A82" s="32" t="s">
        <v>1700</v>
      </c>
      <c r="B82">
        <v>14.343969899999999</v>
      </c>
      <c r="C82">
        <v>5.9948563799999999</v>
      </c>
      <c r="E82" s="29">
        <f t="shared" si="1"/>
        <v>8.3491135199999995</v>
      </c>
      <c r="F82" s="30">
        <v>42739</v>
      </c>
    </row>
    <row r="83" spans="1:6" x14ac:dyDescent="0.3">
      <c r="A83" s="32" t="s">
        <v>1701</v>
      </c>
      <c r="B83">
        <v>15.9568783</v>
      </c>
      <c r="C83">
        <v>6.1150551200000001</v>
      </c>
      <c r="E83" s="29">
        <f t="shared" si="1"/>
        <v>9.8418231799999987</v>
      </c>
      <c r="F83" s="30">
        <v>42740</v>
      </c>
    </row>
    <row r="84" spans="1:6" x14ac:dyDescent="0.3">
      <c r="A84" s="32" t="s">
        <v>1702</v>
      </c>
      <c r="B84">
        <v>15.8646922</v>
      </c>
      <c r="C84">
        <v>7.3914006299999997</v>
      </c>
      <c r="E84" s="29">
        <f t="shared" si="1"/>
        <v>8.4732915700000007</v>
      </c>
      <c r="F84" s="30">
        <v>42741</v>
      </c>
    </row>
    <row r="85" spans="1:6" x14ac:dyDescent="0.3">
      <c r="A85" s="32" t="s">
        <v>1703</v>
      </c>
      <c r="B85">
        <v>16.639596999999998</v>
      </c>
      <c r="C85">
        <v>8.72388443</v>
      </c>
      <c r="E85" s="29">
        <f t="shared" si="1"/>
        <v>7.9157125699999984</v>
      </c>
      <c r="F85" s="30">
        <v>42742</v>
      </c>
    </row>
    <row r="86" spans="1:6" x14ac:dyDescent="0.3">
      <c r="A86" s="32" t="s">
        <v>1704</v>
      </c>
      <c r="B86">
        <v>16.7811314</v>
      </c>
      <c r="C86">
        <v>8.7015220800000002</v>
      </c>
      <c r="E86" s="29">
        <f t="shared" si="1"/>
        <v>8.0796093199999994</v>
      </c>
      <c r="F86" s="30">
        <v>42743</v>
      </c>
    </row>
    <row r="87" spans="1:6" x14ac:dyDescent="0.3">
      <c r="A87" s="32" t="s">
        <v>1705</v>
      </c>
      <c r="B87">
        <v>19.4268684</v>
      </c>
      <c r="C87">
        <v>10.47039279</v>
      </c>
      <c r="E87" s="29">
        <f t="shared" si="1"/>
        <v>8.95647561</v>
      </c>
      <c r="F87" s="30">
        <v>42744</v>
      </c>
    </row>
    <row r="88" spans="1:6" x14ac:dyDescent="0.3">
      <c r="A88" s="32" t="s">
        <v>1706</v>
      </c>
      <c r="B88">
        <v>19.545447299999999</v>
      </c>
      <c r="C88">
        <v>11.34345076</v>
      </c>
      <c r="E88" s="29">
        <f t="shared" si="1"/>
        <v>8.2019965399999997</v>
      </c>
      <c r="F88" s="30">
        <v>42745</v>
      </c>
    </row>
    <row r="89" spans="1:6" x14ac:dyDescent="0.3">
      <c r="A89" s="32" t="s">
        <v>1707</v>
      </c>
      <c r="B89">
        <v>20.4598567</v>
      </c>
      <c r="C89">
        <v>12.500733179999999</v>
      </c>
      <c r="E89" s="29">
        <f t="shared" si="1"/>
        <v>7.9591235200000003</v>
      </c>
      <c r="F89" s="30">
        <v>42746</v>
      </c>
    </row>
    <row r="90" spans="1:6" x14ac:dyDescent="0.3">
      <c r="A90" s="32" t="s">
        <v>1708</v>
      </c>
      <c r="B90">
        <v>21.1857501</v>
      </c>
      <c r="C90">
        <v>13.15565632</v>
      </c>
      <c r="E90" s="29">
        <f t="shared" si="1"/>
        <v>8.0300937799999996</v>
      </c>
      <c r="F90" s="30">
        <v>42747</v>
      </c>
    </row>
    <row r="91" spans="1:6" x14ac:dyDescent="0.3">
      <c r="A91" s="32" t="s">
        <v>1709</v>
      </c>
      <c r="B91">
        <v>22.982659600000002</v>
      </c>
      <c r="C91">
        <v>11.02078974</v>
      </c>
      <c r="E91" s="29">
        <f t="shared" si="1"/>
        <v>11.961869860000002</v>
      </c>
      <c r="F91" s="30">
        <v>42748</v>
      </c>
    </row>
    <row r="92" spans="1:6" x14ac:dyDescent="0.3">
      <c r="A92" s="32" t="s">
        <v>1710</v>
      </c>
      <c r="B92">
        <v>20.438148200000001</v>
      </c>
      <c r="C92">
        <v>11.52309569</v>
      </c>
      <c r="E92" s="29">
        <f t="shared" si="1"/>
        <v>8.9150525100000007</v>
      </c>
      <c r="F92" s="30">
        <v>42749</v>
      </c>
    </row>
    <row r="93" spans="1:6" x14ac:dyDescent="0.3">
      <c r="A93" s="32" t="s">
        <v>1711</v>
      </c>
      <c r="B93">
        <v>21.359348799999999</v>
      </c>
      <c r="C93">
        <v>11.706233040000001</v>
      </c>
      <c r="E93" s="29">
        <f t="shared" si="1"/>
        <v>9.6531157599999986</v>
      </c>
      <c r="F93" s="30">
        <v>42750</v>
      </c>
    </row>
    <row r="94" spans="1:6" x14ac:dyDescent="0.3">
      <c r="A94" s="32" t="s">
        <v>1712</v>
      </c>
      <c r="B94">
        <v>20.113258200000001</v>
      </c>
      <c r="C94">
        <v>11.02728505</v>
      </c>
      <c r="E94" s="29">
        <f t="shared" si="1"/>
        <v>9.0859731500000009</v>
      </c>
      <c r="F94" s="30">
        <v>42751</v>
      </c>
    </row>
    <row r="95" spans="1:6" x14ac:dyDescent="0.3">
      <c r="A95" s="32" t="s">
        <v>1713</v>
      </c>
      <c r="B95">
        <v>22.4156376</v>
      </c>
      <c r="C95">
        <v>10.75505265</v>
      </c>
      <c r="E95" s="29">
        <f t="shared" si="1"/>
        <v>11.660584950000001</v>
      </c>
      <c r="F95" s="30">
        <v>42752</v>
      </c>
    </row>
    <row r="96" spans="1:6" x14ac:dyDescent="0.3">
      <c r="A96" s="32" t="s">
        <v>1714</v>
      </c>
      <c r="B96">
        <v>22.068028600000002</v>
      </c>
      <c r="C96">
        <v>9.18229805</v>
      </c>
      <c r="E96" s="29">
        <f t="shared" si="1"/>
        <v>12.885730550000002</v>
      </c>
      <c r="F96" s="30">
        <v>42753</v>
      </c>
    </row>
    <row r="97" spans="1:6" x14ac:dyDescent="0.3">
      <c r="A97" s="32" t="s">
        <v>1715</v>
      </c>
      <c r="B97">
        <v>23.445398399999998</v>
      </c>
      <c r="C97">
        <v>8.4592848400000005</v>
      </c>
      <c r="E97" s="29">
        <f t="shared" si="1"/>
        <v>14.986113559999998</v>
      </c>
      <c r="F97" s="30">
        <v>42754</v>
      </c>
    </row>
    <row r="98" spans="1:6" x14ac:dyDescent="0.3">
      <c r="A98" s="32" t="s">
        <v>1716</v>
      </c>
      <c r="B98">
        <v>23.164964699999999</v>
      </c>
      <c r="C98">
        <v>8.0002397999999992</v>
      </c>
      <c r="E98" s="29">
        <f t="shared" si="1"/>
        <v>15.1647249</v>
      </c>
      <c r="F98" s="30">
        <v>42755</v>
      </c>
    </row>
    <row r="99" spans="1:6" x14ac:dyDescent="0.3">
      <c r="A99" s="32" t="s">
        <v>1717</v>
      </c>
      <c r="B99">
        <v>22.7049199</v>
      </c>
      <c r="C99">
        <v>7.2162329200000004</v>
      </c>
      <c r="E99" s="29">
        <f t="shared" si="1"/>
        <v>15.488686980000001</v>
      </c>
      <c r="F99" s="30">
        <v>42756</v>
      </c>
    </row>
    <row r="100" spans="1:6" x14ac:dyDescent="0.3">
      <c r="A100" s="32" t="s">
        <v>1718</v>
      </c>
      <c r="B100">
        <v>22.566403999999999</v>
      </c>
      <c r="C100">
        <v>9.1139165299999991</v>
      </c>
      <c r="E100" s="29">
        <f t="shared" si="1"/>
        <v>13.452487469999999</v>
      </c>
      <c r="F100" s="30">
        <v>42757</v>
      </c>
    </row>
    <row r="101" spans="1:6" x14ac:dyDescent="0.3">
      <c r="A101" s="32" t="s">
        <v>1719</v>
      </c>
      <c r="B101">
        <v>22.590489600000002</v>
      </c>
      <c r="C101">
        <v>9.7229418499999998</v>
      </c>
      <c r="E101" s="29">
        <f t="shared" si="1"/>
        <v>12.867547750000002</v>
      </c>
      <c r="F101" s="30">
        <v>42758</v>
      </c>
    </row>
    <row r="102" spans="1:6" x14ac:dyDescent="0.3">
      <c r="A102" s="32" t="s">
        <v>1720</v>
      </c>
      <c r="B102">
        <v>23.301487099999999</v>
      </c>
      <c r="C102">
        <v>11.7535676</v>
      </c>
      <c r="E102" s="29">
        <f t="shared" si="1"/>
        <v>11.547919499999999</v>
      </c>
      <c r="F102" s="30">
        <v>42759</v>
      </c>
    </row>
    <row r="103" spans="1:6" x14ac:dyDescent="0.3">
      <c r="A103" s="32" t="s">
        <v>1721</v>
      </c>
      <c r="B103">
        <v>25.773274799999999</v>
      </c>
      <c r="C103">
        <v>11.91562478</v>
      </c>
      <c r="E103" s="29">
        <f t="shared" si="1"/>
        <v>13.857650019999999</v>
      </c>
      <c r="F103" s="30">
        <v>42760</v>
      </c>
    </row>
    <row r="104" spans="1:6" x14ac:dyDescent="0.3">
      <c r="A104" s="32" t="s">
        <v>1722</v>
      </c>
      <c r="B104">
        <v>25.840025600000001</v>
      </c>
      <c r="C104">
        <v>11.86209745</v>
      </c>
      <c r="E104" s="29">
        <f t="shared" si="1"/>
        <v>13.97792815</v>
      </c>
      <c r="F104" s="30">
        <v>42761</v>
      </c>
    </row>
    <row r="105" spans="1:6" x14ac:dyDescent="0.3">
      <c r="A105" s="32" t="s">
        <v>1723</v>
      </c>
      <c r="B105">
        <v>25.931858399999999</v>
      </c>
      <c r="C105">
        <v>10.70781358</v>
      </c>
      <c r="E105" s="29">
        <f t="shared" si="1"/>
        <v>15.22404482</v>
      </c>
      <c r="F105" s="30">
        <v>42762</v>
      </c>
    </row>
    <row r="106" spans="1:6" x14ac:dyDescent="0.3">
      <c r="A106" s="32" t="s">
        <v>1724</v>
      </c>
      <c r="B106">
        <v>23.806942400000001</v>
      </c>
      <c r="C106">
        <v>11.19682351</v>
      </c>
      <c r="E106" s="29">
        <f t="shared" si="1"/>
        <v>12.610118890000001</v>
      </c>
      <c r="F106" s="30">
        <v>42763</v>
      </c>
    </row>
    <row r="107" spans="1:6" x14ac:dyDescent="0.3">
      <c r="A107" s="32" t="s">
        <v>1725</v>
      </c>
      <c r="B107">
        <v>26.439294400000001</v>
      </c>
      <c r="C107">
        <v>11.12459958</v>
      </c>
      <c r="E107" s="29">
        <f t="shared" si="1"/>
        <v>15.314694820000001</v>
      </c>
      <c r="F107" s="30">
        <v>42764</v>
      </c>
    </row>
    <row r="108" spans="1:6" x14ac:dyDescent="0.3">
      <c r="A108" s="32" t="s">
        <v>1726</v>
      </c>
      <c r="B108">
        <v>26.061140900000002</v>
      </c>
      <c r="C108">
        <v>11.505356389999999</v>
      </c>
      <c r="E108" s="29">
        <f t="shared" si="1"/>
        <v>14.555784510000002</v>
      </c>
      <c r="F108" s="30">
        <v>42765</v>
      </c>
    </row>
    <row r="109" spans="1:6" x14ac:dyDescent="0.3">
      <c r="A109" s="32" t="s">
        <v>1727</v>
      </c>
      <c r="B109">
        <v>27.121966</v>
      </c>
      <c r="C109">
        <v>10.82463752</v>
      </c>
      <c r="E109" s="29">
        <f t="shared" si="1"/>
        <v>16.297328480000001</v>
      </c>
      <c r="F109" s="30">
        <v>42766</v>
      </c>
    </row>
    <row r="110" spans="1:6" x14ac:dyDescent="0.3">
      <c r="A110" s="32" t="s">
        <v>1728</v>
      </c>
      <c r="B110">
        <v>27.3848579</v>
      </c>
      <c r="C110">
        <v>11.603271680000001</v>
      </c>
      <c r="E110" s="29">
        <f t="shared" si="1"/>
        <v>15.781586219999999</v>
      </c>
      <c r="F110" s="30">
        <v>42767</v>
      </c>
    </row>
    <row r="111" spans="1:6" x14ac:dyDescent="0.3">
      <c r="A111" s="32" t="s">
        <v>1729</v>
      </c>
      <c r="B111">
        <v>26.588798000000001</v>
      </c>
      <c r="C111">
        <v>13.54522517</v>
      </c>
      <c r="E111" s="29">
        <f t="shared" si="1"/>
        <v>13.04357283</v>
      </c>
      <c r="F111" s="30">
        <v>42768</v>
      </c>
    </row>
    <row r="112" spans="1:6" x14ac:dyDescent="0.3">
      <c r="A112" s="32" t="s">
        <v>1730</v>
      </c>
      <c r="B112">
        <v>27.721438500000001</v>
      </c>
      <c r="C112">
        <v>14.57739787</v>
      </c>
      <c r="E112" s="29">
        <f t="shared" si="1"/>
        <v>13.144040630000001</v>
      </c>
      <c r="F112" s="30">
        <v>42769</v>
      </c>
    </row>
    <row r="113" spans="1:6" x14ac:dyDescent="0.3">
      <c r="A113" s="32" t="s">
        <v>1731</v>
      </c>
      <c r="B113">
        <v>27.5185332</v>
      </c>
      <c r="C113">
        <v>14.22418268</v>
      </c>
      <c r="E113" s="29">
        <f t="shared" si="1"/>
        <v>13.29435052</v>
      </c>
      <c r="F113" s="30">
        <v>42770</v>
      </c>
    </row>
    <row r="114" spans="1:6" x14ac:dyDescent="0.3">
      <c r="A114" s="32" t="s">
        <v>1732</v>
      </c>
      <c r="B114">
        <v>27.450450799999999</v>
      </c>
      <c r="C114">
        <v>14.07507743</v>
      </c>
      <c r="E114" s="29">
        <f t="shared" si="1"/>
        <v>13.375373369999998</v>
      </c>
      <c r="F114" s="30">
        <v>42771</v>
      </c>
    </row>
    <row r="115" spans="1:6" x14ac:dyDescent="0.3">
      <c r="A115" s="32" t="s">
        <v>1733</v>
      </c>
      <c r="B115">
        <v>27.681089</v>
      </c>
      <c r="C115">
        <v>15.936173889999999</v>
      </c>
      <c r="E115" s="29">
        <f t="shared" si="1"/>
        <v>11.744915110000001</v>
      </c>
      <c r="F115" s="30">
        <v>42772</v>
      </c>
    </row>
    <row r="116" spans="1:6" x14ac:dyDescent="0.3">
      <c r="A116" s="32" t="s">
        <v>1734</v>
      </c>
      <c r="B116">
        <v>29.1359925</v>
      </c>
      <c r="C116">
        <v>14.756738390000001</v>
      </c>
      <c r="E116" s="29">
        <f t="shared" si="1"/>
        <v>14.37925411</v>
      </c>
      <c r="F116" s="30">
        <v>42773</v>
      </c>
    </row>
    <row r="117" spans="1:6" x14ac:dyDescent="0.3">
      <c r="A117" s="32" t="s">
        <v>1735</v>
      </c>
      <c r="B117">
        <v>26.768765899999998</v>
      </c>
      <c r="C117">
        <v>13.19106552</v>
      </c>
      <c r="E117" s="29">
        <f t="shared" si="1"/>
        <v>13.577700379999998</v>
      </c>
      <c r="F117" s="30">
        <v>42774</v>
      </c>
    </row>
    <row r="118" spans="1:6" x14ac:dyDescent="0.3">
      <c r="A118" s="32" t="s">
        <v>1736</v>
      </c>
      <c r="B118">
        <v>25.787733100000001</v>
      </c>
      <c r="C118">
        <v>13.541049470000001</v>
      </c>
      <c r="E118" s="29">
        <f t="shared" si="1"/>
        <v>12.24668363</v>
      </c>
      <c r="F118" s="30">
        <v>42775</v>
      </c>
    </row>
    <row r="119" spans="1:6" x14ac:dyDescent="0.3">
      <c r="A119" s="32" t="s">
        <v>1737</v>
      </c>
      <c r="B119">
        <v>25.2831698</v>
      </c>
      <c r="C119">
        <v>14.95251386</v>
      </c>
      <c r="E119" s="29">
        <f t="shared" si="1"/>
        <v>10.33065594</v>
      </c>
      <c r="F119" s="30">
        <v>42776</v>
      </c>
    </row>
    <row r="120" spans="1:6" x14ac:dyDescent="0.3">
      <c r="A120" s="32" t="s">
        <v>1738</v>
      </c>
      <c r="B120">
        <v>27.1009542</v>
      </c>
      <c r="C120">
        <v>14.33366794</v>
      </c>
      <c r="E120" s="29">
        <f t="shared" si="1"/>
        <v>12.767286260000001</v>
      </c>
      <c r="F120" s="30">
        <v>42777</v>
      </c>
    </row>
    <row r="121" spans="1:6" x14ac:dyDescent="0.3">
      <c r="A121" s="32" t="s">
        <v>1739</v>
      </c>
      <c r="B121">
        <v>27.872803399999999</v>
      </c>
      <c r="C121">
        <v>14.80177492</v>
      </c>
      <c r="E121" s="29">
        <f t="shared" si="1"/>
        <v>13.071028479999999</v>
      </c>
      <c r="F121" s="30">
        <v>42778</v>
      </c>
    </row>
    <row r="122" spans="1:6" x14ac:dyDescent="0.3">
      <c r="A122" s="32" t="s">
        <v>1740</v>
      </c>
      <c r="B122">
        <v>27.843807399999999</v>
      </c>
      <c r="C122">
        <v>15.67707341</v>
      </c>
      <c r="E122" s="29">
        <f t="shared" si="1"/>
        <v>12.166733989999999</v>
      </c>
      <c r="F122" s="30">
        <v>42779</v>
      </c>
    </row>
    <row r="123" spans="1:6" x14ac:dyDescent="0.3">
      <c r="A123" s="32" t="s">
        <v>1741</v>
      </c>
      <c r="B123">
        <v>26.826216599999999</v>
      </c>
      <c r="C123">
        <v>15.604260180000001</v>
      </c>
      <c r="E123" s="29">
        <f t="shared" si="1"/>
        <v>11.221956419999998</v>
      </c>
      <c r="F123" s="30">
        <v>42780</v>
      </c>
    </row>
    <row r="124" spans="1:6" x14ac:dyDescent="0.3">
      <c r="A124" s="32" t="s">
        <v>1742</v>
      </c>
      <c r="B124">
        <v>28.2824098</v>
      </c>
      <c r="C124">
        <v>14.705387869999999</v>
      </c>
      <c r="E124" s="29">
        <f t="shared" si="1"/>
        <v>13.577021930000001</v>
      </c>
      <c r="F124" s="30">
        <v>42781</v>
      </c>
    </row>
    <row r="125" spans="1:6" x14ac:dyDescent="0.3">
      <c r="A125" s="32" t="s">
        <v>1743</v>
      </c>
      <c r="B125">
        <v>28.3001027</v>
      </c>
      <c r="C125">
        <v>14.126692780000001</v>
      </c>
      <c r="E125" s="29">
        <f t="shared" si="1"/>
        <v>14.173409919999999</v>
      </c>
      <c r="F125" s="30">
        <v>42782</v>
      </c>
    </row>
    <row r="126" spans="1:6" x14ac:dyDescent="0.3">
      <c r="A126" s="32" t="s">
        <v>1744</v>
      </c>
      <c r="B126">
        <v>29.151891599999999</v>
      </c>
      <c r="C126">
        <v>14.393875639999999</v>
      </c>
      <c r="E126" s="29">
        <f t="shared" si="1"/>
        <v>14.75801596</v>
      </c>
      <c r="F126" s="30">
        <v>42783</v>
      </c>
    </row>
    <row r="127" spans="1:6" x14ac:dyDescent="0.3">
      <c r="A127" s="32" t="s">
        <v>1745</v>
      </c>
      <c r="B127">
        <v>28.759116899999999</v>
      </c>
      <c r="C127">
        <v>14.78849099</v>
      </c>
      <c r="E127" s="29">
        <f t="shared" si="1"/>
        <v>13.970625909999999</v>
      </c>
      <c r="F127" s="30">
        <v>42784</v>
      </c>
    </row>
    <row r="128" spans="1:6" x14ac:dyDescent="0.3">
      <c r="A128" s="32" t="s">
        <v>1746</v>
      </c>
      <c r="B128">
        <v>31.4532141</v>
      </c>
      <c r="C128">
        <v>15.397000820000001</v>
      </c>
      <c r="E128" s="29">
        <f t="shared" si="1"/>
        <v>16.056213280000001</v>
      </c>
      <c r="F128" s="30">
        <v>42785</v>
      </c>
    </row>
    <row r="129" spans="1:6" x14ac:dyDescent="0.3">
      <c r="A129" s="32" t="s">
        <v>1747</v>
      </c>
      <c r="B129">
        <v>30.485121299999999</v>
      </c>
      <c r="C129">
        <v>16.646117619999998</v>
      </c>
      <c r="E129" s="29">
        <f t="shared" si="1"/>
        <v>13.839003680000001</v>
      </c>
      <c r="F129" s="30">
        <v>42786</v>
      </c>
    </row>
    <row r="130" spans="1:6" x14ac:dyDescent="0.3">
      <c r="A130" s="32" t="s">
        <v>1748</v>
      </c>
      <c r="B130">
        <v>30.654634300000001</v>
      </c>
      <c r="C130">
        <v>16.63134483</v>
      </c>
      <c r="E130" s="29">
        <f t="shared" si="1"/>
        <v>14.023289470000002</v>
      </c>
      <c r="F130" s="30">
        <v>42787</v>
      </c>
    </row>
    <row r="131" spans="1:6" x14ac:dyDescent="0.3">
      <c r="A131" s="32" t="s">
        <v>1749</v>
      </c>
      <c r="B131">
        <v>31.180149700000001</v>
      </c>
      <c r="C131">
        <v>16.29945588</v>
      </c>
      <c r="E131" s="29">
        <f t="shared" ref="E131:E194" si="2">B131-C131</f>
        <v>14.880693820000001</v>
      </c>
      <c r="F131" s="30">
        <v>42788</v>
      </c>
    </row>
    <row r="132" spans="1:6" x14ac:dyDescent="0.3">
      <c r="A132" s="32" t="s">
        <v>1750</v>
      </c>
      <c r="B132">
        <v>30.761896199999999</v>
      </c>
      <c r="C132">
        <v>15.044750369999999</v>
      </c>
      <c r="E132" s="29">
        <f t="shared" si="2"/>
        <v>15.71714583</v>
      </c>
      <c r="F132" s="30">
        <v>42789</v>
      </c>
    </row>
    <row r="133" spans="1:6" x14ac:dyDescent="0.3">
      <c r="A133" s="32" t="s">
        <v>1751</v>
      </c>
      <c r="B133">
        <v>32.395570999999997</v>
      </c>
      <c r="C133">
        <v>12.88035745</v>
      </c>
      <c r="E133" s="29">
        <f t="shared" si="2"/>
        <v>19.515213549999999</v>
      </c>
      <c r="F133" s="30">
        <v>42790</v>
      </c>
    </row>
    <row r="134" spans="1:6" x14ac:dyDescent="0.3">
      <c r="A134" s="32" t="s">
        <v>1752</v>
      </c>
      <c r="B134">
        <v>32.613455199999997</v>
      </c>
      <c r="C134">
        <v>12.435310790000001</v>
      </c>
      <c r="E134" s="29">
        <f t="shared" si="2"/>
        <v>20.178144409999994</v>
      </c>
      <c r="F134" s="30">
        <v>42791</v>
      </c>
    </row>
    <row r="135" spans="1:6" x14ac:dyDescent="0.3">
      <c r="A135" s="32" t="s">
        <v>1753</v>
      </c>
      <c r="B135">
        <v>32.121426200000002</v>
      </c>
      <c r="C135">
        <v>13.181512359999999</v>
      </c>
      <c r="E135" s="29">
        <f t="shared" si="2"/>
        <v>18.939913840000003</v>
      </c>
      <c r="F135" s="30">
        <v>42792</v>
      </c>
    </row>
    <row r="136" spans="1:6" x14ac:dyDescent="0.3">
      <c r="A136" s="32" t="s">
        <v>1754</v>
      </c>
      <c r="B136">
        <v>31.785014499999999</v>
      </c>
      <c r="C136">
        <v>13.000135670000001</v>
      </c>
      <c r="E136" s="29">
        <f t="shared" si="2"/>
        <v>18.784878829999997</v>
      </c>
      <c r="F136" s="30">
        <v>42793</v>
      </c>
    </row>
    <row r="137" spans="1:6" x14ac:dyDescent="0.3">
      <c r="A137" s="32" t="s">
        <v>1755</v>
      </c>
      <c r="B137">
        <v>31.631250999999999</v>
      </c>
      <c r="C137">
        <v>11.74727599</v>
      </c>
      <c r="E137" s="29">
        <f t="shared" si="2"/>
        <v>19.88397501</v>
      </c>
      <c r="F137" s="30">
        <v>42794</v>
      </c>
    </row>
    <row r="138" spans="1:6" x14ac:dyDescent="0.3">
      <c r="A138" s="32" t="s">
        <v>1756</v>
      </c>
      <c r="B138">
        <v>32.4479246</v>
      </c>
      <c r="C138">
        <v>13.30509887</v>
      </c>
      <c r="E138" s="29">
        <f t="shared" si="2"/>
        <v>19.142825729999998</v>
      </c>
      <c r="F138" s="30">
        <v>42795</v>
      </c>
    </row>
    <row r="139" spans="1:6" x14ac:dyDescent="0.3">
      <c r="A139" s="32" t="s">
        <v>1757</v>
      </c>
      <c r="B139">
        <v>32.792799899999999</v>
      </c>
      <c r="C139">
        <v>14.05470964</v>
      </c>
      <c r="E139" s="29">
        <f t="shared" si="2"/>
        <v>18.73809026</v>
      </c>
      <c r="F139" s="30">
        <v>42796</v>
      </c>
    </row>
    <row r="140" spans="1:6" x14ac:dyDescent="0.3">
      <c r="A140" s="32" t="s">
        <v>1758</v>
      </c>
      <c r="B140">
        <v>33.329432400000002</v>
      </c>
      <c r="C140">
        <v>17.63967757</v>
      </c>
      <c r="E140" s="29">
        <f t="shared" si="2"/>
        <v>15.689754830000002</v>
      </c>
      <c r="F140" s="30">
        <v>42797</v>
      </c>
    </row>
    <row r="141" spans="1:6" x14ac:dyDescent="0.3">
      <c r="A141" s="32" t="s">
        <v>1759</v>
      </c>
      <c r="B141">
        <v>32.107697000000002</v>
      </c>
      <c r="C141">
        <v>16.309607020000001</v>
      </c>
      <c r="E141" s="29">
        <f t="shared" si="2"/>
        <v>15.79808998</v>
      </c>
      <c r="F141" s="30">
        <v>42798</v>
      </c>
    </row>
    <row r="142" spans="1:6" x14ac:dyDescent="0.3">
      <c r="A142" s="32" t="s">
        <v>1760</v>
      </c>
      <c r="B142">
        <v>30.669020199999999</v>
      </c>
      <c r="C142">
        <v>15.822531659999999</v>
      </c>
      <c r="E142" s="29">
        <f t="shared" si="2"/>
        <v>14.846488539999999</v>
      </c>
      <c r="F142" s="30">
        <v>42799</v>
      </c>
    </row>
    <row r="143" spans="1:6" x14ac:dyDescent="0.3">
      <c r="A143" s="32" t="s">
        <v>1761</v>
      </c>
      <c r="B143">
        <v>30.4866186</v>
      </c>
      <c r="C143">
        <v>16.479789799999999</v>
      </c>
      <c r="E143" s="29">
        <f t="shared" si="2"/>
        <v>14.006828800000001</v>
      </c>
      <c r="F143" s="30">
        <v>42800</v>
      </c>
    </row>
    <row r="144" spans="1:6" x14ac:dyDescent="0.3">
      <c r="A144" s="32" t="s">
        <v>1762</v>
      </c>
      <c r="B144">
        <v>32.301394999999999</v>
      </c>
      <c r="C144">
        <v>16.21406906</v>
      </c>
      <c r="E144" s="29">
        <f t="shared" si="2"/>
        <v>16.087325939999999</v>
      </c>
      <c r="F144" s="30">
        <v>42801</v>
      </c>
    </row>
    <row r="145" spans="1:6" x14ac:dyDescent="0.3">
      <c r="A145" s="32" t="s">
        <v>1763</v>
      </c>
      <c r="B145">
        <v>34.164469500000003</v>
      </c>
      <c r="C145">
        <v>16.657721689999999</v>
      </c>
      <c r="E145" s="29">
        <f t="shared" si="2"/>
        <v>17.506747810000004</v>
      </c>
      <c r="F145" s="30">
        <v>42802</v>
      </c>
    </row>
    <row r="146" spans="1:6" x14ac:dyDescent="0.3">
      <c r="A146" s="32" t="s">
        <v>1764</v>
      </c>
      <c r="B146">
        <v>32.911417999999998</v>
      </c>
      <c r="C146">
        <v>18.258071829999999</v>
      </c>
      <c r="E146" s="29">
        <f t="shared" si="2"/>
        <v>14.653346169999999</v>
      </c>
      <c r="F146" s="30">
        <v>42803</v>
      </c>
    </row>
    <row r="147" spans="1:6" x14ac:dyDescent="0.3">
      <c r="A147" s="32" t="s">
        <v>1765</v>
      </c>
      <c r="B147">
        <v>34.773925900000002</v>
      </c>
      <c r="C147">
        <v>18.123551559999999</v>
      </c>
      <c r="E147" s="29">
        <f t="shared" si="2"/>
        <v>16.650374340000003</v>
      </c>
      <c r="F147" s="30">
        <v>42804</v>
      </c>
    </row>
    <row r="148" spans="1:6" x14ac:dyDescent="0.3">
      <c r="A148" s="32" t="s">
        <v>1766</v>
      </c>
      <c r="B148">
        <v>33.683096800000001</v>
      </c>
      <c r="C148">
        <v>18.205964909999999</v>
      </c>
      <c r="E148" s="29">
        <f t="shared" si="2"/>
        <v>15.477131890000003</v>
      </c>
      <c r="F148" s="30">
        <v>42805</v>
      </c>
    </row>
    <row r="149" spans="1:6" x14ac:dyDescent="0.3">
      <c r="A149" s="32" t="s">
        <v>1767</v>
      </c>
      <c r="B149">
        <v>33.674665900000001</v>
      </c>
      <c r="C149">
        <v>18.340387140000001</v>
      </c>
      <c r="E149" s="29">
        <f t="shared" si="2"/>
        <v>15.33427876</v>
      </c>
      <c r="F149" s="30">
        <v>42806</v>
      </c>
    </row>
    <row r="150" spans="1:6" x14ac:dyDescent="0.3">
      <c r="A150" s="32" t="s">
        <v>1768</v>
      </c>
      <c r="B150">
        <v>34.248858400000003</v>
      </c>
      <c r="C150">
        <v>18.93800186</v>
      </c>
      <c r="E150" s="29">
        <f t="shared" si="2"/>
        <v>15.310856540000003</v>
      </c>
      <c r="F150" s="30">
        <v>42807</v>
      </c>
    </row>
    <row r="151" spans="1:6" x14ac:dyDescent="0.3">
      <c r="A151" s="32" t="s">
        <v>1769</v>
      </c>
      <c r="B151">
        <v>32.946318400000003</v>
      </c>
      <c r="C151">
        <v>19.393960750000002</v>
      </c>
      <c r="E151" s="29">
        <f t="shared" si="2"/>
        <v>13.552357650000001</v>
      </c>
      <c r="F151" s="30">
        <v>42808</v>
      </c>
    </row>
    <row r="152" spans="1:6" x14ac:dyDescent="0.3">
      <c r="A152" s="32" t="s">
        <v>1770</v>
      </c>
      <c r="B152">
        <v>32.888352699999999</v>
      </c>
      <c r="C152">
        <v>18.034613310000001</v>
      </c>
      <c r="E152" s="29">
        <f t="shared" si="2"/>
        <v>14.853739389999998</v>
      </c>
      <c r="F152" s="30">
        <v>42809</v>
      </c>
    </row>
    <row r="153" spans="1:6" x14ac:dyDescent="0.3">
      <c r="A153" s="32" t="s">
        <v>1771</v>
      </c>
      <c r="B153">
        <v>32.3853145</v>
      </c>
      <c r="C153">
        <v>18.00660237</v>
      </c>
      <c r="E153" s="29">
        <f t="shared" si="2"/>
        <v>14.37871213</v>
      </c>
      <c r="F153" s="30">
        <v>42810</v>
      </c>
    </row>
    <row r="154" spans="1:6" x14ac:dyDescent="0.3">
      <c r="A154" s="32" t="s">
        <v>1772</v>
      </c>
      <c r="B154">
        <v>32.141458999999998</v>
      </c>
      <c r="C154">
        <v>20.435852749999999</v>
      </c>
      <c r="E154" s="29">
        <f t="shared" si="2"/>
        <v>11.705606249999999</v>
      </c>
      <c r="F154" s="30">
        <v>42811</v>
      </c>
    </row>
    <row r="155" spans="1:6" x14ac:dyDescent="0.3">
      <c r="A155" s="32" t="s">
        <v>1773</v>
      </c>
      <c r="B155">
        <v>32.4729472</v>
      </c>
      <c r="C155">
        <v>20.1465186</v>
      </c>
      <c r="E155" s="29">
        <f t="shared" si="2"/>
        <v>12.3264286</v>
      </c>
      <c r="F155" s="30">
        <v>42812</v>
      </c>
    </row>
    <row r="156" spans="1:6" x14ac:dyDescent="0.3">
      <c r="A156" s="32" t="s">
        <v>1774</v>
      </c>
      <c r="B156">
        <v>31.154487499999998</v>
      </c>
      <c r="C156">
        <v>20.2888333</v>
      </c>
      <c r="E156" s="29">
        <f t="shared" si="2"/>
        <v>10.865654199999998</v>
      </c>
      <c r="F156" s="30">
        <v>42813</v>
      </c>
    </row>
    <row r="157" spans="1:6" x14ac:dyDescent="0.3">
      <c r="A157" s="32" t="s">
        <v>1775</v>
      </c>
      <c r="B157">
        <v>32.314666099999997</v>
      </c>
      <c r="C157">
        <v>21.2225742</v>
      </c>
      <c r="E157" s="29">
        <f t="shared" si="2"/>
        <v>11.092091899999996</v>
      </c>
      <c r="F157" s="30">
        <v>42814</v>
      </c>
    </row>
    <row r="158" spans="1:6" x14ac:dyDescent="0.3">
      <c r="A158" s="32" t="s">
        <v>1776</v>
      </c>
      <c r="B158">
        <v>33.097319499999998</v>
      </c>
      <c r="C158">
        <v>21.375130259999999</v>
      </c>
      <c r="E158" s="29">
        <f t="shared" si="2"/>
        <v>11.722189239999999</v>
      </c>
      <c r="F158" s="30">
        <v>42815</v>
      </c>
    </row>
    <row r="159" spans="1:6" x14ac:dyDescent="0.3">
      <c r="A159" s="32" t="s">
        <v>1777</v>
      </c>
      <c r="B159">
        <v>32.544953200000002</v>
      </c>
      <c r="C159">
        <v>20.605868910000002</v>
      </c>
      <c r="E159" s="29">
        <f t="shared" si="2"/>
        <v>11.93908429</v>
      </c>
      <c r="F159" s="30">
        <v>42816</v>
      </c>
    </row>
    <row r="160" spans="1:6" x14ac:dyDescent="0.3">
      <c r="A160" s="32" t="s">
        <v>1778</v>
      </c>
      <c r="B160">
        <v>32.068417500000002</v>
      </c>
      <c r="C160">
        <v>19.82660109</v>
      </c>
      <c r="E160" s="29">
        <f t="shared" si="2"/>
        <v>12.241816410000002</v>
      </c>
      <c r="F160" s="30">
        <v>42817</v>
      </c>
    </row>
    <row r="161" spans="1:6" x14ac:dyDescent="0.3">
      <c r="A161" s="32" t="s">
        <v>1779</v>
      </c>
      <c r="B161">
        <v>31.717284200000002</v>
      </c>
      <c r="C161">
        <v>19.497280759999999</v>
      </c>
      <c r="E161" s="29">
        <f t="shared" si="2"/>
        <v>12.220003440000003</v>
      </c>
      <c r="F161" s="30">
        <v>42818</v>
      </c>
    </row>
    <row r="162" spans="1:6" x14ac:dyDescent="0.3">
      <c r="A162" s="32" t="s">
        <v>1780</v>
      </c>
      <c r="B162">
        <v>32.309843499999999</v>
      </c>
      <c r="C162">
        <v>20.779708159999998</v>
      </c>
      <c r="E162" s="29">
        <f t="shared" si="2"/>
        <v>11.530135340000001</v>
      </c>
      <c r="F162" s="30">
        <v>42819</v>
      </c>
    </row>
    <row r="163" spans="1:6" x14ac:dyDescent="0.3">
      <c r="A163" s="32" t="s">
        <v>1781</v>
      </c>
      <c r="B163">
        <v>32.5266564</v>
      </c>
      <c r="C163">
        <v>19.907311010000001</v>
      </c>
      <c r="E163" s="29">
        <f t="shared" si="2"/>
        <v>12.619345389999999</v>
      </c>
      <c r="F163" s="30">
        <v>42820</v>
      </c>
    </row>
    <row r="164" spans="1:6" x14ac:dyDescent="0.3">
      <c r="A164" s="32" t="s">
        <v>1782</v>
      </c>
      <c r="B164">
        <v>34.081757500000002</v>
      </c>
      <c r="C164">
        <v>20.39309098</v>
      </c>
      <c r="E164" s="29">
        <f t="shared" si="2"/>
        <v>13.688666520000002</v>
      </c>
      <c r="F164" s="30">
        <v>42821</v>
      </c>
    </row>
    <row r="165" spans="1:6" x14ac:dyDescent="0.3">
      <c r="A165" s="32" t="s">
        <v>1783</v>
      </c>
      <c r="B165">
        <v>34.113055000000003</v>
      </c>
      <c r="C165">
        <v>18.95786579</v>
      </c>
      <c r="E165" s="29">
        <f t="shared" si="2"/>
        <v>15.155189210000003</v>
      </c>
      <c r="F165" s="30">
        <v>42822</v>
      </c>
    </row>
    <row r="166" spans="1:6" x14ac:dyDescent="0.3">
      <c r="A166" s="32" t="s">
        <v>1784</v>
      </c>
      <c r="B166">
        <v>32.815148999999998</v>
      </c>
      <c r="C166">
        <v>18.9001226</v>
      </c>
      <c r="E166" s="29">
        <f t="shared" si="2"/>
        <v>13.915026399999999</v>
      </c>
      <c r="F166" s="30">
        <v>42823</v>
      </c>
    </row>
    <row r="167" spans="1:6" x14ac:dyDescent="0.3">
      <c r="A167" s="32" t="s">
        <v>1785</v>
      </c>
      <c r="B167">
        <v>32.543086500000001</v>
      </c>
      <c r="C167">
        <v>19.047667910000001</v>
      </c>
      <c r="E167" s="29">
        <f t="shared" si="2"/>
        <v>13.49541859</v>
      </c>
      <c r="F167" s="30">
        <v>42824</v>
      </c>
    </row>
    <row r="168" spans="1:6" x14ac:dyDescent="0.3">
      <c r="A168" s="32" t="s">
        <v>1786</v>
      </c>
      <c r="B168">
        <v>33.0780666</v>
      </c>
      <c r="C168">
        <v>18.794402850000001</v>
      </c>
      <c r="E168" s="29">
        <f t="shared" si="2"/>
        <v>14.283663749999999</v>
      </c>
      <c r="F168" s="30">
        <v>42825</v>
      </c>
    </row>
    <row r="169" spans="1:6" x14ac:dyDescent="0.3">
      <c r="A169" s="32" t="s">
        <v>1787</v>
      </c>
      <c r="B169">
        <v>32.398962099999999</v>
      </c>
      <c r="C169">
        <v>17.529625710000001</v>
      </c>
      <c r="E169" s="29">
        <f t="shared" si="2"/>
        <v>14.869336389999997</v>
      </c>
      <c r="F169" s="30">
        <v>42826</v>
      </c>
    </row>
    <row r="170" spans="1:6" x14ac:dyDescent="0.3">
      <c r="A170" s="32" t="s">
        <v>1788</v>
      </c>
      <c r="B170">
        <v>32.035083999999998</v>
      </c>
      <c r="C170">
        <v>16.339668</v>
      </c>
      <c r="E170" s="29">
        <f t="shared" si="2"/>
        <v>15.695415999999998</v>
      </c>
      <c r="F170" s="30">
        <v>42827</v>
      </c>
    </row>
    <row r="171" spans="1:6" x14ac:dyDescent="0.3">
      <c r="A171" s="32" t="s">
        <v>1789</v>
      </c>
      <c r="B171">
        <v>32.273404599999999</v>
      </c>
      <c r="C171">
        <v>17.120374900000002</v>
      </c>
      <c r="E171" s="29">
        <f t="shared" si="2"/>
        <v>15.153029699999998</v>
      </c>
      <c r="F171" s="30">
        <v>42828</v>
      </c>
    </row>
    <row r="172" spans="1:6" x14ac:dyDescent="0.3">
      <c r="A172" s="32" t="s">
        <v>1790</v>
      </c>
      <c r="B172">
        <v>30.873017900000001</v>
      </c>
      <c r="C172">
        <v>18.904257390000001</v>
      </c>
      <c r="E172" s="29">
        <f t="shared" si="2"/>
        <v>11.968760509999999</v>
      </c>
      <c r="F172" s="30">
        <v>42829</v>
      </c>
    </row>
    <row r="173" spans="1:6" x14ac:dyDescent="0.3">
      <c r="A173" s="32" t="s">
        <v>1791</v>
      </c>
      <c r="B173">
        <v>29.724825500000001</v>
      </c>
      <c r="C173">
        <v>18.277215470000002</v>
      </c>
      <c r="E173" s="29">
        <f t="shared" si="2"/>
        <v>11.44761003</v>
      </c>
      <c r="F173" s="30">
        <v>42830</v>
      </c>
    </row>
    <row r="174" spans="1:6" x14ac:dyDescent="0.3">
      <c r="A174" s="32" t="s">
        <v>1792</v>
      </c>
      <c r="B174">
        <v>29.231229800000001</v>
      </c>
      <c r="C174">
        <v>16.832320249999999</v>
      </c>
      <c r="E174" s="29">
        <f t="shared" si="2"/>
        <v>12.398909550000003</v>
      </c>
      <c r="F174" s="30">
        <v>42831</v>
      </c>
    </row>
    <row r="175" spans="1:6" x14ac:dyDescent="0.3">
      <c r="A175" s="32" t="s">
        <v>1793</v>
      </c>
      <c r="B175">
        <v>29.110988899999999</v>
      </c>
      <c r="C175">
        <v>17.382494229999999</v>
      </c>
      <c r="E175" s="29">
        <f t="shared" si="2"/>
        <v>11.72849467</v>
      </c>
      <c r="F175" s="30">
        <v>42832</v>
      </c>
    </row>
    <row r="176" spans="1:6" x14ac:dyDescent="0.3">
      <c r="A176" s="32" t="s">
        <v>1794</v>
      </c>
      <c r="B176">
        <v>29.4560602</v>
      </c>
      <c r="C176">
        <v>18.241121540000002</v>
      </c>
      <c r="E176" s="29">
        <f t="shared" si="2"/>
        <v>11.214938659999998</v>
      </c>
      <c r="F176" s="30">
        <v>42833</v>
      </c>
    </row>
    <row r="177" spans="1:6" x14ac:dyDescent="0.3">
      <c r="A177" s="32" t="s">
        <v>1795</v>
      </c>
      <c r="B177">
        <v>28.528531600000001</v>
      </c>
      <c r="C177">
        <v>17.166465290000001</v>
      </c>
      <c r="E177" s="29">
        <f t="shared" si="2"/>
        <v>11.362066309999999</v>
      </c>
      <c r="F177" s="30">
        <v>42834</v>
      </c>
    </row>
    <row r="178" spans="1:6" x14ac:dyDescent="0.3">
      <c r="A178" s="32" t="s">
        <v>1796</v>
      </c>
      <c r="B178">
        <v>28.442421800000002</v>
      </c>
      <c r="C178">
        <v>16.96141742</v>
      </c>
      <c r="E178" s="29">
        <f t="shared" si="2"/>
        <v>11.481004380000002</v>
      </c>
      <c r="F178" s="30">
        <v>42835</v>
      </c>
    </row>
    <row r="179" spans="1:6" x14ac:dyDescent="0.3">
      <c r="A179" s="32" t="s">
        <v>1797</v>
      </c>
      <c r="B179">
        <v>28.250255800000001</v>
      </c>
      <c r="C179">
        <v>16.732906060000001</v>
      </c>
      <c r="E179" s="29">
        <f t="shared" si="2"/>
        <v>11.51734974</v>
      </c>
      <c r="F179" s="30">
        <v>42836</v>
      </c>
    </row>
    <row r="180" spans="1:6" x14ac:dyDescent="0.3">
      <c r="A180" s="32" t="s">
        <v>1798</v>
      </c>
      <c r="B180">
        <v>29.360430999999998</v>
      </c>
      <c r="C180">
        <v>19.282183069999999</v>
      </c>
      <c r="E180" s="29">
        <f t="shared" si="2"/>
        <v>10.07824793</v>
      </c>
      <c r="F180" s="30">
        <v>42837</v>
      </c>
    </row>
    <row r="181" spans="1:6" x14ac:dyDescent="0.3">
      <c r="A181" s="32" t="s">
        <v>1799</v>
      </c>
      <c r="B181">
        <v>28.7852025</v>
      </c>
      <c r="C181">
        <v>18.217098020000002</v>
      </c>
      <c r="E181" s="29">
        <f t="shared" si="2"/>
        <v>10.568104479999999</v>
      </c>
      <c r="F181" s="30">
        <v>42838</v>
      </c>
    </row>
    <row r="182" spans="1:6" x14ac:dyDescent="0.3">
      <c r="A182" s="32" t="s">
        <v>1800</v>
      </c>
      <c r="B182">
        <v>29.805596399999999</v>
      </c>
      <c r="C182">
        <v>19.493697180000002</v>
      </c>
      <c r="E182" s="29">
        <f t="shared" si="2"/>
        <v>10.311899219999997</v>
      </c>
      <c r="F182" s="30">
        <v>42839</v>
      </c>
    </row>
    <row r="183" spans="1:6" x14ac:dyDescent="0.3">
      <c r="A183" s="32" t="s">
        <v>1801</v>
      </c>
      <c r="B183">
        <v>31.287001100000001</v>
      </c>
      <c r="C183">
        <v>19.38436544</v>
      </c>
      <c r="E183" s="29">
        <f t="shared" si="2"/>
        <v>11.902635660000001</v>
      </c>
      <c r="F183" s="30">
        <v>42840</v>
      </c>
    </row>
    <row r="184" spans="1:6" x14ac:dyDescent="0.3">
      <c r="A184" s="32" t="s">
        <v>1802</v>
      </c>
      <c r="B184">
        <v>33.1166141</v>
      </c>
      <c r="C184">
        <v>19.32368301</v>
      </c>
      <c r="E184" s="29">
        <f t="shared" si="2"/>
        <v>13.79293109</v>
      </c>
      <c r="F184" s="30">
        <v>42841</v>
      </c>
    </row>
    <row r="185" spans="1:6" x14ac:dyDescent="0.3">
      <c r="A185" s="32" t="s">
        <v>1803</v>
      </c>
      <c r="B185">
        <v>33.7065968</v>
      </c>
      <c r="C185">
        <v>18.59734765</v>
      </c>
      <c r="E185" s="29">
        <f t="shared" si="2"/>
        <v>15.10924915</v>
      </c>
      <c r="F185" s="30">
        <v>42842</v>
      </c>
    </row>
    <row r="186" spans="1:6" x14ac:dyDescent="0.3">
      <c r="A186" s="32" t="s">
        <v>1804</v>
      </c>
      <c r="B186">
        <v>32.936108300000001</v>
      </c>
      <c r="C186">
        <v>18.103579289999999</v>
      </c>
      <c r="E186" s="29">
        <f t="shared" si="2"/>
        <v>14.832529010000002</v>
      </c>
      <c r="F186" s="30">
        <v>42843</v>
      </c>
    </row>
    <row r="187" spans="1:6" x14ac:dyDescent="0.3">
      <c r="A187" s="32" t="s">
        <v>1805</v>
      </c>
      <c r="B187">
        <v>33.963699300000002</v>
      </c>
      <c r="C187">
        <v>17.803828549999999</v>
      </c>
      <c r="E187" s="29">
        <f t="shared" si="2"/>
        <v>16.159870750000003</v>
      </c>
      <c r="F187" s="30">
        <v>42844</v>
      </c>
    </row>
    <row r="188" spans="1:6" x14ac:dyDescent="0.3">
      <c r="A188" s="32" t="s">
        <v>1806</v>
      </c>
      <c r="B188">
        <v>32.043683799999997</v>
      </c>
      <c r="C188">
        <v>18.767172689999999</v>
      </c>
      <c r="E188" s="29">
        <f t="shared" si="2"/>
        <v>13.276511109999998</v>
      </c>
      <c r="F188" s="30">
        <v>42845</v>
      </c>
    </row>
    <row r="189" spans="1:6" x14ac:dyDescent="0.3">
      <c r="A189" s="32" t="s">
        <v>1807</v>
      </c>
      <c r="B189">
        <v>31.466800899999999</v>
      </c>
      <c r="C189">
        <v>20.20913221</v>
      </c>
      <c r="E189" s="29">
        <f t="shared" si="2"/>
        <v>11.257668689999999</v>
      </c>
      <c r="F189" s="30">
        <v>42846</v>
      </c>
    </row>
    <row r="190" spans="1:6" x14ac:dyDescent="0.3">
      <c r="A190" s="32" t="s">
        <v>1808</v>
      </c>
      <c r="B190">
        <v>30.432611099999999</v>
      </c>
      <c r="C190">
        <v>20.51999623</v>
      </c>
      <c r="E190" s="29">
        <f t="shared" si="2"/>
        <v>9.9126148699999987</v>
      </c>
      <c r="F190" s="30">
        <v>42847</v>
      </c>
    </row>
    <row r="191" spans="1:6" x14ac:dyDescent="0.3">
      <c r="A191" s="32" t="s">
        <v>1809</v>
      </c>
      <c r="B191">
        <v>29.447665400000002</v>
      </c>
      <c r="C191">
        <v>21.86549033</v>
      </c>
      <c r="E191" s="29">
        <f t="shared" si="2"/>
        <v>7.5821750700000017</v>
      </c>
      <c r="F191" s="30">
        <v>42848</v>
      </c>
    </row>
    <row r="192" spans="1:6" x14ac:dyDescent="0.3">
      <c r="A192" s="32" t="s">
        <v>1810</v>
      </c>
      <c r="B192">
        <v>28.708260800000001</v>
      </c>
      <c r="C192">
        <v>22.139233730000001</v>
      </c>
      <c r="E192" s="29">
        <f t="shared" si="2"/>
        <v>6.5690270700000006</v>
      </c>
      <c r="F192" s="30">
        <v>42849</v>
      </c>
    </row>
    <row r="193" spans="1:6" x14ac:dyDescent="0.3">
      <c r="A193" s="32" t="s">
        <v>1811</v>
      </c>
      <c r="B193">
        <v>30.137088500000001</v>
      </c>
      <c r="C193">
        <v>21.155668129999999</v>
      </c>
      <c r="E193" s="29">
        <f t="shared" si="2"/>
        <v>8.9814203700000022</v>
      </c>
      <c r="F193" s="30">
        <v>42850</v>
      </c>
    </row>
    <row r="194" spans="1:6" x14ac:dyDescent="0.3">
      <c r="A194" s="32" t="s">
        <v>1812</v>
      </c>
      <c r="B194">
        <v>30.1093422</v>
      </c>
      <c r="C194">
        <v>22.174691660000001</v>
      </c>
      <c r="E194" s="29">
        <f t="shared" si="2"/>
        <v>7.9346505399999998</v>
      </c>
      <c r="F194" s="30">
        <v>42851</v>
      </c>
    </row>
    <row r="195" spans="1:6" x14ac:dyDescent="0.3">
      <c r="A195" s="32" t="s">
        <v>1813</v>
      </c>
      <c r="B195">
        <v>30.545501399999999</v>
      </c>
      <c r="C195">
        <v>21.0423334</v>
      </c>
      <c r="E195" s="29">
        <f t="shared" ref="E195:E258" si="3">B195-C195</f>
        <v>9.5031679999999987</v>
      </c>
      <c r="F195" s="30">
        <v>42852</v>
      </c>
    </row>
    <row r="196" spans="1:6" x14ac:dyDescent="0.3">
      <c r="A196" s="32" t="s">
        <v>1814</v>
      </c>
      <c r="B196">
        <v>30.172242600000001</v>
      </c>
      <c r="C196">
        <v>21.21002812</v>
      </c>
      <c r="E196" s="29">
        <f t="shared" si="3"/>
        <v>8.9622144800000001</v>
      </c>
      <c r="F196" s="30">
        <v>42853</v>
      </c>
    </row>
    <row r="197" spans="1:6" x14ac:dyDescent="0.3">
      <c r="A197" s="32" t="s">
        <v>1815</v>
      </c>
      <c r="B197">
        <v>29.5745237</v>
      </c>
      <c r="C197">
        <v>20.554989719999998</v>
      </c>
      <c r="E197" s="29">
        <f t="shared" si="3"/>
        <v>9.0195339800000021</v>
      </c>
      <c r="F197" s="30">
        <v>42854</v>
      </c>
    </row>
    <row r="198" spans="1:6" x14ac:dyDescent="0.3">
      <c r="A198" s="32" t="s">
        <v>1816</v>
      </c>
      <c r="B198">
        <v>28.690791399999998</v>
      </c>
      <c r="C198">
        <v>18.77925664</v>
      </c>
      <c r="E198" s="29">
        <f t="shared" si="3"/>
        <v>9.9115347599999986</v>
      </c>
      <c r="F198" s="30">
        <v>42855</v>
      </c>
    </row>
    <row r="199" spans="1:6" x14ac:dyDescent="0.3">
      <c r="A199" s="32" t="s">
        <v>1817</v>
      </c>
      <c r="B199">
        <v>29.754978999999999</v>
      </c>
      <c r="C199">
        <v>17.24280817</v>
      </c>
      <c r="E199" s="29">
        <f t="shared" si="3"/>
        <v>12.512170829999999</v>
      </c>
      <c r="F199" s="30">
        <v>42856</v>
      </c>
    </row>
    <row r="200" spans="1:6" x14ac:dyDescent="0.3">
      <c r="A200" s="32" t="s">
        <v>1818</v>
      </c>
      <c r="B200">
        <v>28.996685599999999</v>
      </c>
      <c r="C200">
        <v>16.796519660000001</v>
      </c>
      <c r="E200" s="29">
        <f t="shared" si="3"/>
        <v>12.200165939999998</v>
      </c>
      <c r="F200" s="30">
        <v>42857</v>
      </c>
    </row>
    <row r="201" spans="1:6" x14ac:dyDescent="0.3">
      <c r="A201" s="32" t="s">
        <v>1819</v>
      </c>
      <c r="B201">
        <v>30.215435800000002</v>
      </c>
      <c r="C201">
        <v>17.411266779999998</v>
      </c>
      <c r="E201" s="29">
        <f t="shared" si="3"/>
        <v>12.804169020000003</v>
      </c>
      <c r="F201" s="30">
        <v>42858</v>
      </c>
    </row>
    <row r="202" spans="1:6" x14ac:dyDescent="0.3">
      <c r="A202" s="32" t="s">
        <v>1820</v>
      </c>
      <c r="B202">
        <v>30.222362400000002</v>
      </c>
      <c r="C202">
        <v>16.61505652</v>
      </c>
      <c r="E202" s="29">
        <f t="shared" si="3"/>
        <v>13.607305880000002</v>
      </c>
      <c r="F202" s="30">
        <v>42859</v>
      </c>
    </row>
    <row r="203" spans="1:6" x14ac:dyDescent="0.3">
      <c r="A203" s="32" t="s">
        <v>1821</v>
      </c>
      <c r="B203">
        <v>29.4655208</v>
      </c>
      <c r="C203">
        <v>18.168251779999999</v>
      </c>
      <c r="E203" s="29">
        <f t="shared" si="3"/>
        <v>11.297269020000002</v>
      </c>
      <c r="F203" s="30">
        <v>42860</v>
      </c>
    </row>
    <row r="204" spans="1:6" x14ac:dyDescent="0.3">
      <c r="A204" s="32" t="s">
        <v>1822</v>
      </c>
      <c r="B204">
        <v>30.203950299999999</v>
      </c>
      <c r="C204">
        <v>18.679304640000002</v>
      </c>
      <c r="E204" s="29">
        <f t="shared" si="3"/>
        <v>11.524645659999997</v>
      </c>
      <c r="F204" s="30">
        <v>42861</v>
      </c>
    </row>
    <row r="205" spans="1:6" x14ac:dyDescent="0.3">
      <c r="A205" s="32" t="s">
        <v>1823</v>
      </c>
      <c r="B205">
        <v>29.315762599999999</v>
      </c>
      <c r="C205">
        <v>17.946219509999999</v>
      </c>
      <c r="E205" s="29">
        <f t="shared" si="3"/>
        <v>11.369543090000001</v>
      </c>
      <c r="F205" s="30">
        <v>42862</v>
      </c>
    </row>
    <row r="206" spans="1:6" x14ac:dyDescent="0.3">
      <c r="A206" s="32" t="s">
        <v>1824</v>
      </c>
      <c r="B206">
        <v>28.6866065</v>
      </c>
      <c r="C206">
        <v>17.166383400000001</v>
      </c>
      <c r="E206" s="29">
        <f t="shared" si="3"/>
        <v>11.520223099999999</v>
      </c>
      <c r="F206" s="30">
        <v>42863</v>
      </c>
    </row>
    <row r="207" spans="1:6" x14ac:dyDescent="0.3">
      <c r="A207" s="32" t="s">
        <v>1825</v>
      </c>
      <c r="B207">
        <v>28.954856899999999</v>
      </c>
      <c r="C207">
        <v>17.852155310000001</v>
      </c>
      <c r="E207" s="29">
        <f t="shared" si="3"/>
        <v>11.102701589999999</v>
      </c>
      <c r="F207" s="30">
        <v>42864</v>
      </c>
    </row>
    <row r="208" spans="1:6" x14ac:dyDescent="0.3">
      <c r="A208" s="32" t="s">
        <v>1826</v>
      </c>
      <c r="B208">
        <v>29.616645599999998</v>
      </c>
      <c r="C208">
        <v>17.227969590000001</v>
      </c>
      <c r="E208" s="29">
        <f t="shared" si="3"/>
        <v>12.388676009999998</v>
      </c>
      <c r="F208" s="30">
        <v>42865</v>
      </c>
    </row>
    <row r="209" spans="1:6" x14ac:dyDescent="0.3">
      <c r="A209" s="32" t="s">
        <v>1827</v>
      </c>
      <c r="B209">
        <v>31.481545199999999</v>
      </c>
      <c r="C209">
        <v>15.315448399999999</v>
      </c>
      <c r="E209" s="29">
        <f t="shared" si="3"/>
        <v>16.166096799999998</v>
      </c>
      <c r="F209" s="30">
        <v>42866</v>
      </c>
    </row>
    <row r="210" spans="1:6" x14ac:dyDescent="0.3">
      <c r="A210" s="32" t="s">
        <v>1828</v>
      </c>
      <c r="B210">
        <v>31.6437086</v>
      </c>
      <c r="C210">
        <v>15.26350109</v>
      </c>
      <c r="E210" s="29">
        <f t="shared" si="3"/>
        <v>16.380207509999998</v>
      </c>
      <c r="F210" s="30">
        <v>42867</v>
      </c>
    </row>
    <row r="211" spans="1:6" x14ac:dyDescent="0.3">
      <c r="A211" s="32" t="s">
        <v>1829</v>
      </c>
      <c r="B211">
        <v>29.239546600000001</v>
      </c>
      <c r="C211">
        <v>13.71600933</v>
      </c>
      <c r="E211" s="29">
        <f t="shared" si="3"/>
        <v>15.52353727</v>
      </c>
      <c r="F211" s="30">
        <v>42868</v>
      </c>
    </row>
    <row r="212" spans="1:6" x14ac:dyDescent="0.3">
      <c r="A212" s="32" t="s">
        <v>1830</v>
      </c>
      <c r="B212">
        <v>26.846696999999999</v>
      </c>
      <c r="C212">
        <v>13.88646123</v>
      </c>
      <c r="E212" s="29">
        <f t="shared" si="3"/>
        <v>12.960235769999999</v>
      </c>
      <c r="F212" s="30">
        <v>42869</v>
      </c>
    </row>
    <row r="213" spans="1:6" x14ac:dyDescent="0.3">
      <c r="A213" s="32" t="s">
        <v>1831</v>
      </c>
      <c r="B213">
        <v>28.327582</v>
      </c>
      <c r="C213">
        <v>12.593906909999999</v>
      </c>
      <c r="E213" s="29">
        <f t="shared" si="3"/>
        <v>15.73367509</v>
      </c>
      <c r="F213" s="30">
        <v>42870</v>
      </c>
    </row>
    <row r="214" spans="1:6" x14ac:dyDescent="0.3">
      <c r="A214" s="32" t="s">
        <v>1832</v>
      </c>
      <c r="B214">
        <v>28.147507300000001</v>
      </c>
      <c r="C214">
        <v>12.112880090000001</v>
      </c>
      <c r="E214" s="29">
        <f t="shared" si="3"/>
        <v>16.03462721</v>
      </c>
      <c r="F214" s="30">
        <v>42871</v>
      </c>
    </row>
    <row r="215" spans="1:6" x14ac:dyDescent="0.3">
      <c r="A215" s="32" t="s">
        <v>1833</v>
      </c>
      <c r="B215">
        <v>25.7688302</v>
      </c>
      <c r="C215">
        <v>12.89589908</v>
      </c>
      <c r="E215" s="29">
        <f t="shared" si="3"/>
        <v>12.872931120000001</v>
      </c>
      <c r="F215" s="30">
        <v>42872</v>
      </c>
    </row>
    <row r="216" spans="1:6" x14ac:dyDescent="0.3">
      <c r="A216" s="32" t="s">
        <v>1834</v>
      </c>
      <c r="B216">
        <v>25.917271299999999</v>
      </c>
      <c r="C216">
        <v>12.34484262</v>
      </c>
      <c r="E216" s="29">
        <f t="shared" si="3"/>
        <v>13.57242868</v>
      </c>
      <c r="F216" s="30">
        <v>42873</v>
      </c>
    </row>
    <row r="217" spans="1:6" x14ac:dyDescent="0.3">
      <c r="A217" s="32" t="s">
        <v>1835</v>
      </c>
      <c r="B217">
        <v>26.991293899999999</v>
      </c>
      <c r="C217">
        <v>13.63354204</v>
      </c>
      <c r="E217" s="29">
        <f t="shared" si="3"/>
        <v>13.357751859999999</v>
      </c>
      <c r="F217" s="30">
        <v>42874</v>
      </c>
    </row>
    <row r="218" spans="1:6" x14ac:dyDescent="0.3">
      <c r="A218" s="32" t="s">
        <v>1836</v>
      </c>
      <c r="B218">
        <v>26.558220899999998</v>
      </c>
      <c r="C218">
        <v>12.71626741</v>
      </c>
      <c r="E218" s="29">
        <f t="shared" si="3"/>
        <v>13.841953489999998</v>
      </c>
      <c r="F218" s="30">
        <v>42875</v>
      </c>
    </row>
    <row r="219" spans="1:6" x14ac:dyDescent="0.3">
      <c r="A219" s="32" t="s">
        <v>1837</v>
      </c>
      <c r="B219">
        <v>25.1474531</v>
      </c>
      <c r="C219">
        <v>12.26942891</v>
      </c>
      <c r="E219" s="29">
        <f t="shared" si="3"/>
        <v>12.87802419</v>
      </c>
      <c r="F219" s="30">
        <v>42876</v>
      </c>
    </row>
    <row r="220" spans="1:6" x14ac:dyDescent="0.3">
      <c r="A220" s="32" t="s">
        <v>1838</v>
      </c>
      <c r="B220">
        <v>25.649335199999999</v>
      </c>
      <c r="C220">
        <v>12.85352037</v>
      </c>
      <c r="E220" s="29">
        <f t="shared" si="3"/>
        <v>12.795814829999999</v>
      </c>
      <c r="F220" s="30">
        <v>42877</v>
      </c>
    </row>
    <row r="221" spans="1:6" x14ac:dyDescent="0.3">
      <c r="A221" s="32" t="s">
        <v>1839</v>
      </c>
      <c r="B221">
        <v>26.6334543</v>
      </c>
      <c r="C221">
        <v>11.92076999</v>
      </c>
      <c r="E221" s="29">
        <f t="shared" si="3"/>
        <v>14.71268431</v>
      </c>
      <c r="F221" s="30">
        <v>42878</v>
      </c>
    </row>
    <row r="222" spans="1:6" x14ac:dyDescent="0.3">
      <c r="A222" s="32" t="s">
        <v>1840</v>
      </c>
      <c r="B222">
        <v>28.266651700000001</v>
      </c>
      <c r="C222">
        <v>10.26610986</v>
      </c>
      <c r="E222" s="29">
        <f t="shared" si="3"/>
        <v>18.00054184</v>
      </c>
      <c r="F222" s="30">
        <v>42879</v>
      </c>
    </row>
    <row r="223" spans="1:6" x14ac:dyDescent="0.3">
      <c r="A223" s="32" t="s">
        <v>1841</v>
      </c>
      <c r="B223">
        <v>27.954688000000001</v>
      </c>
      <c r="C223">
        <v>9.9484346299999995</v>
      </c>
      <c r="E223" s="29">
        <f t="shared" si="3"/>
        <v>18.006253370000003</v>
      </c>
      <c r="F223" s="30">
        <v>42880</v>
      </c>
    </row>
    <row r="224" spans="1:6" x14ac:dyDescent="0.3">
      <c r="A224" s="32" t="s">
        <v>1842</v>
      </c>
      <c r="B224">
        <v>27.4636365</v>
      </c>
      <c r="C224">
        <v>9.9354957600000002</v>
      </c>
      <c r="E224" s="29">
        <f t="shared" si="3"/>
        <v>17.528140739999998</v>
      </c>
      <c r="F224" s="30">
        <v>42881</v>
      </c>
    </row>
    <row r="225" spans="1:6" x14ac:dyDescent="0.3">
      <c r="A225" s="32" t="s">
        <v>1843</v>
      </c>
      <c r="B225">
        <v>29.493073599999999</v>
      </c>
      <c r="C225">
        <v>10.569284400000001</v>
      </c>
      <c r="E225" s="29">
        <f t="shared" si="3"/>
        <v>18.923789199999998</v>
      </c>
      <c r="F225" s="30">
        <v>42882</v>
      </c>
    </row>
    <row r="226" spans="1:6" x14ac:dyDescent="0.3">
      <c r="A226" s="32" t="s">
        <v>1844</v>
      </c>
      <c r="B226">
        <v>30.5202244</v>
      </c>
      <c r="C226">
        <v>10.298601100000001</v>
      </c>
      <c r="E226" s="29">
        <f t="shared" si="3"/>
        <v>20.221623299999997</v>
      </c>
      <c r="F226" s="30">
        <v>42883</v>
      </c>
    </row>
    <row r="227" spans="1:6" x14ac:dyDescent="0.3">
      <c r="A227" s="32" t="s">
        <v>1845</v>
      </c>
      <c r="B227">
        <v>31.444659399999999</v>
      </c>
      <c r="C227">
        <v>11.03584274</v>
      </c>
      <c r="E227" s="29">
        <f t="shared" si="3"/>
        <v>20.408816659999999</v>
      </c>
      <c r="F227" s="30">
        <v>42884</v>
      </c>
    </row>
    <row r="228" spans="1:6" x14ac:dyDescent="0.3">
      <c r="A228" s="32" t="s">
        <v>1846</v>
      </c>
      <c r="B228">
        <v>32.069021200000002</v>
      </c>
      <c r="C228">
        <v>10.354125140000001</v>
      </c>
      <c r="E228" s="29">
        <f t="shared" si="3"/>
        <v>21.714896060000001</v>
      </c>
      <c r="F228" s="30">
        <v>42885</v>
      </c>
    </row>
    <row r="229" spans="1:6" x14ac:dyDescent="0.3">
      <c r="A229" s="32" t="s">
        <v>1847</v>
      </c>
      <c r="B229">
        <v>33.184790499999998</v>
      </c>
      <c r="C229">
        <v>9.7266763399999991</v>
      </c>
      <c r="E229" s="29">
        <f t="shared" si="3"/>
        <v>23.458114160000001</v>
      </c>
      <c r="F229" s="30">
        <v>42886</v>
      </c>
    </row>
    <row r="230" spans="1:6" x14ac:dyDescent="0.3">
      <c r="A230" s="32" t="s">
        <v>1848</v>
      </c>
      <c r="B230">
        <v>32.398740099999998</v>
      </c>
      <c r="C230">
        <v>9.2218576700000003</v>
      </c>
      <c r="E230" s="29">
        <f t="shared" si="3"/>
        <v>23.176882429999999</v>
      </c>
      <c r="F230" s="30">
        <v>42887</v>
      </c>
    </row>
    <row r="231" spans="1:6" x14ac:dyDescent="0.3">
      <c r="A231" s="32" t="s">
        <v>1849</v>
      </c>
      <c r="B231">
        <v>31.441410999999999</v>
      </c>
      <c r="C231">
        <v>10.30764922</v>
      </c>
      <c r="E231" s="29">
        <f t="shared" si="3"/>
        <v>21.13376178</v>
      </c>
      <c r="F231" s="30">
        <v>42888</v>
      </c>
    </row>
    <row r="232" spans="1:6" x14ac:dyDescent="0.3">
      <c r="A232" s="32" t="s">
        <v>1850</v>
      </c>
      <c r="B232">
        <v>32.932990199999999</v>
      </c>
      <c r="C232">
        <v>10.14776915</v>
      </c>
      <c r="E232" s="29">
        <f t="shared" si="3"/>
        <v>22.785221049999997</v>
      </c>
      <c r="F232" s="30">
        <v>42889</v>
      </c>
    </row>
    <row r="233" spans="1:6" x14ac:dyDescent="0.3">
      <c r="A233" s="32" t="s">
        <v>1851</v>
      </c>
      <c r="B233">
        <v>32.796866199999997</v>
      </c>
      <c r="C233">
        <v>9.1088992900000001</v>
      </c>
      <c r="E233" s="29">
        <f t="shared" si="3"/>
        <v>23.687966909999997</v>
      </c>
      <c r="F233" s="30">
        <v>42890</v>
      </c>
    </row>
    <row r="234" spans="1:6" x14ac:dyDescent="0.3">
      <c r="A234" s="32" t="s">
        <v>1852</v>
      </c>
      <c r="B234">
        <v>32.7097938</v>
      </c>
      <c r="C234">
        <v>10.35980838</v>
      </c>
      <c r="E234" s="29">
        <f t="shared" si="3"/>
        <v>22.349985419999999</v>
      </c>
      <c r="F234" s="30">
        <v>42891</v>
      </c>
    </row>
    <row r="235" spans="1:6" x14ac:dyDescent="0.3">
      <c r="A235" s="32" t="s">
        <v>1853</v>
      </c>
      <c r="B235">
        <v>34.643732200000002</v>
      </c>
      <c r="C235">
        <v>9.7594264600000002</v>
      </c>
      <c r="E235" s="29">
        <f t="shared" si="3"/>
        <v>24.884305740000002</v>
      </c>
      <c r="F235" s="30">
        <v>42892</v>
      </c>
    </row>
    <row r="236" spans="1:6" x14ac:dyDescent="0.3">
      <c r="A236" s="32" t="s">
        <v>1854</v>
      </c>
      <c r="B236">
        <v>34.774600200000002</v>
      </c>
      <c r="C236">
        <v>9.8484314600000005</v>
      </c>
      <c r="E236" s="29">
        <f t="shared" si="3"/>
        <v>24.926168740000001</v>
      </c>
      <c r="F236" s="30">
        <v>42893</v>
      </c>
    </row>
    <row r="237" spans="1:6" x14ac:dyDescent="0.3">
      <c r="A237" s="32" t="s">
        <v>1855</v>
      </c>
      <c r="B237">
        <v>34.435127199999997</v>
      </c>
      <c r="C237">
        <v>8.6361698100000002</v>
      </c>
      <c r="E237" s="29">
        <f t="shared" si="3"/>
        <v>25.798957389999998</v>
      </c>
      <c r="F237" s="30">
        <v>42894</v>
      </c>
    </row>
    <row r="238" spans="1:6" x14ac:dyDescent="0.3">
      <c r="A238" s="32" t="s">
        <v>1856</v>
      </c>
      <c r="B238">
        <v>34.879564500000001</v>
      </c>
      <c r="C238">
        <v>7.9619933100000004</v>
      </c>
      <c r="E238" s="29">
        <f t="shared" si="3"/>
        <v>26.91757119</v>
      </c>
      <c r="F238" s="30">
        <v>42895</v>
      </c>
    </row>
    <row r="239" spans="1:6" x14ac:dyDescent="0.3">
      <c r="A239" s="32" t="s">
        <v>1857</v>
      </c>
      <c r="B239">
        <v>33.434656199999999</v>
      </c>
      <c r="C239">
        <v>9.31933422</v>
      </c>
      <c r="E239" s="29">
        <f t="shared" si="3"/>
        <v>24.115321979999997</v>
      </c>
      <c r="F239" s="30">
        <v>42896</v>
      </c>
    </row>
    <row r="240" spans="1:6" x14ac:dyDescent="0.3">
      <c r="A240" s="32" t="s">
        <v>1858</v>
      </c>
      <c r="B240">
        <v>30.859189199999999</v>
      </c>
      <c r="C240">
        <v>10.53367355</v>
      </c>
      <c r="E240" s="29">
        <f t="shared" si="3"/>
        <v>20.32551565</v>
      </c>
      <c r="F240" s="30">
        <v>42897</v>
      </c>
    </row>
    <row r="241" spans="1:6" x14ac:dyDescent="0.3">
      <c r="A241" s="32" t="s">
        <v>1859</v>
      </c>
      <c r="B241">
        <v>31.2356716</v>
      </c>
      <c r="C241">
        <v>7.8445345599999996</v>
      </c>
      <c r="E241" s="29">
        <f t="shared" si="3"/>
        <v>23.39113704</v>
      </c>
      <c r="F241" s="30">
        <v>42898</v>
      </c>
    </row>
    <row r="242" spans="1:6" x14ac:dyDescent="0.3">
      <c r="A242" s="32" t="s">
        <v>1860</v>
      </c>
      <c r="B242">
        <v>31.640885600000001</v>
      </c>
      <c r="C242">
        <v>8.5477965900000008</v>
      </c>
      <c r="E242" s="29">
        <f t="shared" si="3"/>
        <v>23.09308901</v>
      </c>
      <c r="F242" s="30">
        <v>42899</v>
      </c>
    </row>
    <row r="243" spans="1:6" x14ac:dyDescent="0.3">
      <c r="A243" s="32" t="s">
        <v>1861</v>
      </c>
      <c r="B243">
        <v>31.412227300000001</v>
      </c>
      <c r="C243">
        <v>7.9191457200000004</v>
      </c>
      <c r="E243" s="29">
        <f t="shared" si="3"/>
        <v>23.493081580000002</v>
      </c>
      <c r="F243" s="30">
        <v>42900</v>
      </c>
    </row>
    <row r="244" spans="1:6" x14ac:dyDescent="0.3">
      <c r="A244" s="32" t="s">
        <v>1862</v>
      </c>
      <c r="B244">
        <v>32.273245000000003</v>
      </c>
      <c r="C244">
        <v>8.6038034299999993</v>
      </c>
      <c r="E244" s="29">
        <f t="shared" si="3"/>
        <v>23.669441570000004</v>
      </c>
      <c r="F244" s="30">
        <v>42901</v>
      </c>
    </row>
    <row r="245" spans="1:6" x14ac:dyDescent="0.3">
      <c r="A245" s="32" t="s">
        <v>1863</v>
      </c>
      <c r="B245">
        <v>32.457413299999999</v>
      </c>
      <c r="C245">
        <v>6.3043235600000003</v>
      </c>
      <c r="E245" s="29">
        <f t="shared" si="3"/>
        <v>26.153089739999999</v>
      </c>
      <c r="F245" s="30">
        <v>42902</v>
      </c>
    </row>
    <row r="246" spans="1:6" x14ac:dyDescent="0.3">
      <c r="A246" s="32" t="s">
        <v>1864</v>
      </c>
      <c r="B246">
        <v>31.882838599999999</v>
      </c>
      <c r="C246">
        <v>6.3170203799999998</v>
      </c>
      <c r="E246" s="29">
        <f t="shared" si="3"/>
        <v>25.565818220000001</v>
      </c>
      <c r="F246" s="30">
        <v>42903</v>
      </c>
    </row>
    <row r="247" spans="1:6" x14ac:dyDescent="0.3">
      <c r="A247" s="32" t="s">
        <v>1865</v>
      </c>
      <c r="B247">
        <v>31.841235600000001</v>
      </c>
      <c r="C247">
        <v>7.08919166</v>
      </c>
      <c r="E247" s="29">
        <f t="shared" si="3"/>
        <v>24.75204394</v>
      </c>
      <c r="F247" s="30">
        <v>42904</v>
      </c>
    </row>
    <row r="248" spans="1:6" x14ac:dyDescent="0.3">
      <c r="A248" s="32" t="s">
        <v>1866</v>
      </c>
      <c r="B248">
        <v>33.549106600000002</v>
      </c>
      <c r="C248">
        <v>8.4227588699999991</v>
      </c>
      <c r="E248" s="29">
        <f t="shared" si="3"/>
        <v>25.126347730000003</v>
      </c>
      <c r="F248" s="30">
        <v>42905</v>
      </c>
    </row>
    <row r="249" spans="1:6" x14ac:dyDescent="0.3">
      <c r="A249" s="32" t="s">
        <v>1867</v>
      </c>
      <c r="B249">
        <v>33.493828700000002</v>
      </c>
      <c r="C249">
        <v>7.6907306499999999</v>
      </c>
      <c r="E249" s="29">
        <f t="shared" si="3"/>
        <v>25.803098050000003</v>
      </c>
      <c r="F249" s="30">
        <v>42906</v>
      </c>
    </row>
    <row r="250" spans="1:6" x14ac:dyDescent="0.3">
      <c r="A250" s="32" t="s">
        <v>1868</v>
      </c>
      <c r="B250">
        <v>32.790503000000001</v>
      </c>
      <c r="C250">
        <v>7.2037027399999998</v>
      </c>
      <c r="E250" s="29">
        <f t="shared" si="3"/>
        <v>25.58680026</v>
      </c>
      <c r="F250" s="30">
        <v>42907</v>
      </c>
    </row>
    <row r="251" spans="1:6" x14ac:dyDescent="0.3">
      <c r="A251" s="32" t="s">
        <v>1869</v>
      </c>
      <c r="B251">
        <v>33.747956500000001</v>
      </c>
      <c r="C251">
        <v>6.6190017799999996</v>
      </c>
      <c r="E251" s="29">
        <f t="shared" si="3"/>
        <v>27.128954720000003</v>
      </c>
      <c r="F251" s="30">
        <v>42908</v>
      </c>
    </row>
    <row r="252" spans="1:6" x14ac:dyDescent="0.3">
      <c r="A252" s="32" t="s">
        <v>1870</v>
      </c>
      <c r="B252">
        <v>32.431090300000001</v>
      </c>
      <c r="C252">
        <v>4.7541683299999997</v>
      </c>
      <c r="E252" s="29">
        <f t="shared" si="3"/>
        <v>27.676921970000002</v>
      </c>
      <c r="F252" s="30">
        <v>42909</v>
      </c>
    </row>
    <row r="253" spans="1:6" x14ac:dyDescent="0.3">
      <c r="A253" s="32" t="s">
        <v>1871</v>
      </c>
      <c r="B253">
        <v>33.562691399999999</v>
      </c>
      <c r="C253">
        <v>2.8998465000000002</v>
      </c>
      <c r="E253" s="29">
        <f t="shared" si="3"/>
        <v>30.6628449</v>
      </c>
      <c r="F253" s="30">
        <v>42910</v>
      </c>
    </row>
    <row r="254" spans="1:6" x14ac:dyDescent="0.3">
      <c r="A254" s="32" t="s">
        <v>1872</v>
      </c>
      <c r="B254">
        <v>32.221192299999998</v>
      </c>
      <c r="C254">
        <v>4.3486072699999996</v>
      </c>
      <c r="E254" s="29">
        <f t="shared" si="3"/>
        <v>27.87258503</v>
      </c>
      <c r="F254" s="30">
        <v>42911</v>
      </c>
    </row>
    <row r="255" spans="1:6" x14ac:dyDescent="0.3">
      <c r="A255" s="32" t="s">
        <v>1873</v>
      </c>
      <c r="B255">
        <v>33.679069599999998</v>
      </c>
      <c r="C255">
        <v>3.9419545600000001</v>
      </c>
      <c r="E255" s="29">
        <f t="shared" si="3"/>
        <v>29.737115039999999</v>
      </c>
      <c r="F255" s="30">
        <v>42912</v>
      </c>
    </row>
    <row r="256" spans="1:6" x14ac:dyDescent="0.3">
      <c r="A256" s="32" t="s">
        <v>1874</v>
      </c>
      <c r="B256">
        <v>34.036014100000003</v>
      </c>
      <c r="C256">
        <v>5.9483837399999997</v>
      </c>
      <c r="E256" s="29">
        <f t="shared" si="3"/>
        <v>28.087630360000002</v>
      </c>
      <c r="F256" s="30">
        <v>42913</v>
      </c>
    </row>
    <row r="257" spans="1:6" x14ac:dyDescent="0.3">
      <c r="A257" s="32" t="s">
        <v>1875</v>
      </c>
      <c r="B257">
        <v>34.253444399999999</v>
      </c>
      <c r="C257">
        <v>6.8282611400000004</v>
      </c>
      <c r="E257" s="29">
        <f t="shared" si="3"/>
        <v>27.425183259999997</v>
      </c>
      <c r="F257" s="30">
        <v>42914</v>
      </c>
    </row>
    <row r="258" spans="1:6" x14ac:dyDescent="0.3">
      <c r="A258" s="32" t="s">
        <v>1876</v>
      </c>
      <c r="B258">
        <v>33.629497800000003</v>
      </c>
      <c r="C258">
        <v>6.5558343900000002</v>
      </c>
      <c r="E258" s="29">
        <f t="shared" si="3"/>
        <v>27.073663410000002</v>
      </c>
      <c r="F258" s="30">
        <v>42915</v>
      </c>
    </row>
    <row r="259" spans="1:6" x14ac:dyDescent="0.3">
      <c r="A259" s="32" t="s">
        <v>1877</v>
      </c>
      <c r="B259">
        <v>33.932663699999999</v>
      </c>
      <c r="C259">
        <v>7.1095802700000004</v>
      </c>
      <c r="E259" s="29">
        <f t="shared" ref="E259:E322" si="4">B259-C259</f>
        <v>26.823083429999997</v>
      </c>
      <c r="F259" s="30">
        <v>42916</v>
      </c>
    </row>
    <row r="260" spans="1:6" x14ac:dyDescent="0.3">
      <c r="A260" s="32" t="s">
        <v>1878</v>
      </c>
      <c r="B260">
        <v>34.519081900000003</v>
      </c>
      <c r="C260">
        <v>8.1022760300000005</v>
      </c>
      <c r="E260" s="29">
        <f t="shared" si="4"/>
        <v>26.416805870000005</v>
      </c>
      <c r="F260" s="30">
        <v>42917</v>
      </c>
    </row>
    <row r="261" spans="1:6" x14ac:dyDescent="0.3">
      <c r="A261" s="32" t="s">
        <v>1879</v>
      </c>
      <c r="B261">
        <v>34.874735100000002</v>
      </c>
      <c r="C261">
        <v>9.4448654600000008</v>
      </c>
      <c r="E261" s="29">
        <f t="shared" si="4"/>
        <v>25.42986964</v>
      </c>
      <c r="F261" s="30">
        <v>42918</v>
      </c>
    </row>
    <row r="262" spans="1:6" x14ac:dyDescent="0.3">
      <c r="A262" s="32" t="s">
        <v>1880</v>
      </c>
      <c r="B262">
        <v>35.718265899999999</v>
      </c>
      <c r="C262">
        <v>7.8892182699999998</v>
      </c>
      <c r="E262" s="29">
        <f t="shared" si="4"/>
        <v>27.829047629999998</v>
      </c>
      <c r="F262" s="30">
        <v>42919</v>
      </c>
    </row>
    <row r="263" spans="1:6" x14ac:dyDescent="0.3">
      <c r="A263" s="32" t="s">
        <v>1881</v>
      </c>
      <c r="B263">
        <v>38.110852600000001</v>
      </c>
      <c r="C263">
        <v>8.3041110400000004</v>
      </c>
      <c r="E263" s="29">
        <f t="shared" si="4"/>
        <v>29.806741559999999</v>
      </c>
      <c r="F263" s="30">
        <v>42920</v>
      </c>
    </row>
    <row r="264" spans="1:6" x14ac:dyDescent="0.3">
      <c r="A264" s="32" t="s">
        <v>1882</v>
      </c>
      <c r="B264">
        <v>37.1471163</v>
      </c>
      <c r="C264">
        <v>8.1375222300000001</v>
      </c>
      <c r="E264" s="29">
        <f t="shared" si="4"/>
        <v>29.009594069999999</v>
      </c>
      <c r="F264" s="30">
        <v>42921</v>
      </c>
    </row>
    <row r="265" spans="1:6" x14ac:dyDescent="0.3">
      <c r="A265" s="32" t="s">
        <v>1883</v>
      </c>
      <c r="B265">
        <v>37.487401400000003</v>
      </c>
      <c r="C265">
        <v>8.4363857800000002</v>
      </c>
      <c r="E265" s="29">
        <f t="shared" si="4"/>
        <v>29.051015620000001</v>
      </c>
      <c r="F265" s="30">
        <v>42922</v>
      </c>
    </row>
    <row r="266" spans="1:6" x14ac:dyDescent="0.3">
      <c r="A266" s="32" t="s">
        <v>1884</v>
      </c>
      <c r="B266">
        <v>37.3546932</v>
      </c>
      <c r="C266">
        <v>9.7620666000000007</v>
      </c>
      <c r="E266" s="29">
        <f t="shared" si="4"/>
        <v>27.592626599999999</v>
      </c>
      <c r="F266" s="30">
        <v>42923</v>
      </c>
    </row>
    <row r="267" spans="1:6" x14ac:dyDescent="0.3">
      <c r="A267" s="32" t="s">
        <v>1885</v>
      </c>
      <c r="B267">
        <v>36.4612081</v>
      </c>
      <c r="C267">
        <v>9.4852496899999998</v>
      </c>
      <c r="E267" s="29">
        <f t="shared" si="4"/>
        <v>26.97595841</v>
      </c>
      <c r="F267" s="30">
        <v>42924</v>
      </c>
    </row>
    <row r="268" spans="1:6" x14ac:dyDescent="0.3">
      <c r="A268" s="32" t="s">
        <v>1886</v>
      </c>
      <c r="B268">
        <v>35.095523499999999</v>
      </c>
      <c r="C268">
        <v>7.1585869300000002</v>
      </c>
      <c r="E268" s="29">
        <f t="shared" si="4"/>
        <v>27.93693657</v>
      </c>
      <c r="F268" s="30">
        <v>42925</v>
      </c>
    </row>
    <row r="269" spans="1:6" x14ac:dyDescent="0.3">
      <c r="A269" s="32" t="s">
        <v>1887</v>
      </c>
      <c r="B269">
        <v>33.879878099999999</v>
      </c>
      <c r="C269">
        <v>7.2220816399999999</v>
      </c>
      <c r="E269" s="29">
        <f t="shared" si="4"/>
        <v>26.65779646</v>
      </c>
      <c r="F269" s="30">
        <v>42926</v>
      </c>
    </row>
    <row r="270" spans="1:6" x14ac:dyDescent="0.3">
      <c r="A270" s="32" t="s">
        <v>1888</v>
      </c>
      <c r="B270">
        <v>34.245909599999997</v>
      </c>
      <c r="C270">
        <v>6.4062666899999998</v>
      </c>
      <c r="E270" s="29">
        <f t="shared" si="4"/>
        <v>27.839642909999998</v>
      </c>
      <c r="F270" s="30">
        <v>42927</v>
      </c>
    </row>
    <row r="271" spans="1:6" x14ac:dyDescent="0.3">
      <c r="A271" s="32" t="s">
        <v>1889</v>
      </c>
      <c r="B271">
        <v>34.940337599999999</v>
      </c>
      <c r="C271">
        <v>6.3663605700000003</v>
      </c>
      <c r="E271" s="29">
        <f t="shared" si="4"/>
        <v>28.573977029999998</v>
      </c>
      <c r="F271" s="30">
        <v>42928</v>
      </c>
    </row>
    <row r="272" spans="1:6" x14ac:dyDescent="0.3">
      <c r="A272" s="32" t="s">
        <v>1890</v>
      </c>
      <c r="B272">
        <v>34.017101099999998</v>
      </c>
      <c r="C272">
        <v>6.1449096599999997</v>
      </c>
      <c r="E272" s="29">
        <f t="shared" si="4"/>
        <v>27.872191439999998</v>
      </c>
      <c r="F272" s="30">
        <v>42929</v>
      </c>
    </row>
    <row r="273" spans="1:6" x14ac:dyDescent="0.3">
      <c r="A273" s="32" t="s">
        <v>1891</v>
      </c>
      <c r="B273">
        <v>35.270224800000001</v>
      </c>
      <c r="C273">
        <v>8.3536159899999998</v>
      </c>
      <c r="E273" s="29">
        <f t="shared" si="4"/>
        <v>26.91660881</v>
      </c>
      <c r="F273" s="30">
        <v>42930</v>
      </c>
    </row>
    <row r="274" spans="1:6" x14ac:dyDescent="0.3">
      <c r="A274" s="32" t="s">
        <v>1892</v>
      </c>
      <c r="B274">
        <v>34.949209799999998</v>
      </c>
      <c r="C274">
        <v>9.4351705999999993</v>
      </c>
      <c r="E274" s="29">
        <f t="shared" si="4"/>
        <v>25.514039199999999</v>
      </c>
      <c r="F274" s="30">
        <v>42931</v>
      </c>
    </row>
    <row r="275" spans="1:6" x14ac:dyDescent="0.3">
      <c r="A275" s="32" t="s">
        <v>1893</v>
      </c>
      <c r="B275">
        <v>33.869852999999999</v>
      </c>
      <c r="C275">
        <v>8.9923472800000006</v>
      </c>
      <c r="E275" s="29">
        <f t="shared" si="4"/>
        <v>24.877505719999998</v>
      </c>
      <c r="F275" s="30">
        <v>42932</v>
      </c>
    </row>
    <row r="276" spans="1:6" x14ac:dyDescent="0.3">
      <c r="A276" s="32" t="s">
        <v>1894</v>
      </c>
      <c r="B276">
        <v>32.6998648</v>
      </c>
      <c r="C276">
        <v>8.6480300299999993</v>
      </c>
      <c r="E276" s="29">
        <f t="shared" si="4"/>
        <v>24.051834769999999</v>
      </c>
      <c r="F276" s="30">
        <v>42933</v>
      </c>
    </row>
    <row r="277" spans="1:6" x14ac:dyDescent="0.3">
      <c r="A277" s="32" t="s">
        <v>1895</v>
      </c>
      <c r="B277">
        <v>32.845472200000003</v>
      </c>
      <c r="C277">
        <v>9.3790270699999994</v>
      </c>
      <c r="E277" s="29">
        <f t="shared" si="4"/>
        <v>23.466445130000004</v>
      </c>
      <c r="F277" s="30">
        <v>42934</v>
      </c>
    </row>
    <row r="278" spans="1:6" x14ac:dyDescent="0.3">
      <c r="A278" s="32" t="s">
        <v>1896</v>
      </c>
      <c r="B278">
        <v>33.5797521</v>
      </c>
      <c r="C278">
        <v>11.20921497</v>
      </c>
      <c r="E278" s="29">
        <f t="shared" si="4"/>
        <v>22.370537130000002</v>
      </c>
      <c r="F278" s="30">
        <v>42935</v>
      </c>
    </row>
    <row r="279" spans="1:6" x14ac:dyDescent="0.3">
      <c r="A279" s="32" t="s">
        <v>1897</v>
      </c>
      <c r="B279">
        <v>34.081590300000002</v>
      </c>
      <c r="C279">
        <v>10.648145400000001</v>
      </c>
      <c r="E279" s="29">
        <f t="shared" si="4"/>
        <v>23.433444900000001</v>
      </c>
      <c r="F279" s="30">
        <v>42936</v>
      </c>
    </row>
    <row r="280" spans="1:6" x14ac:dyDescent="0.3">
      <c r="A280" s="32" t="s">
        <v>1898</v>
      </c>
      <c r="B280">
        <v>32.677638399999999</v>
      </c>
      <c r="C280">
        <v>11.069295439999999</v>
      </c>
      <c r="E280" s="29">
        <f t="shared" si="4"/>
        <v>21.608342960000002</v>
      </c>
      <c r="F280" s="30">
        <v>42937</v>
      </c>
    </row>
    <row r="281" spans="1:6" x14ac:dyDescent="0.3">
      <c r="A281" s="32" t="s">
        <v>1899</v>
      </c>
      <c r="B281">
        <v>32.243760899999998</v>
      </c>
      <c r="C281">
        <v>12.489962630000001</v>
      </c>
      <c r="E281" s="29">
        <f t="shared" si="4"/>
        <v>19.753798269999997</v>
      </c>
      <c r="F281" s="30">
        <v>42938</v>
      </c>
    </row>
    <row r="282" spans="1:6" x14ac:dyDescent="0.3">
      <c r="A282" s="32" t="s">
        <v>1900</v>
      </c>
      <c r="B282">
        <v>31.9877672</v>
      </c>
      <c r="C282">
        <v>11.41004296</v>
      </c>
      <c r="E282" s="29">
        <f t="shared" si="4"/>
        <v>20.577724240000002</v>
      </c>
      <c r="F282" s="30">
        <v>42939</v>
      </c>
    </row>
    <row r="283" spans="1:6" x14ac:dyDescent="0.3">
      <c r="A283" s="32" t="s">
        <v>1901</v>
      </c>
      <c r="B283">
        <v>32.315179499999999</v>
      </c>
      <c r="C283">
        <v>10.40645069</v>
      </c>
      <c r="E283" s="29">
        <f t="shared" si="4"/>
        <v>21.908728809999999</v>
      </c>
      <c r="F283" s="30">
        <v>42940</v>
      </c>
    </row>
    <row r="284" spans="1:6" x14ac:dyDescent="0.3">
      <c r="A284" s="32" t="s">
        <v>1902</v>
      </c>
      <c r="B284">
        <v>32.493740000000003</v>
      </c>
      <c r="C284">
        <v>9.8677172300000002</v>
      </c>
      <c r="E284" s="29">
        <f t="shared" si="4"/>
        <v>22.626022770000002</v>
      </c>
      <c r="F284" s="30">
        <v>42941</v>
      </c>
    </row>
    <row r="285" spans="1:6" x14ac:dyDescent="0.3">
      <c r="A285" s="32" t="s">
        <v>1903</v>
      </c>
      <c r="B285">
        <v>32.218617700000003</v>
      </c>
      <c r="C285">
        <v>10.097479509999999</v>
      </c>
      <c r="E285" s="29">
        <f t="shared" si="4"/>
        <v>22.121138190000003</v>
      </c>
      <c r="F285" s="30">
        <v>42942</v>
      </c>
    </row>
    <row r="286" spans="1:6" x14ac:dyDescent="0.3">
      <c r="A286" s="32" t="s">
        <v>1904</v>
      </c>
      <c r="B286">
        <v>31.088469499999999</v>
      </c>
      <c r="C286">
        <v>9.5715823699999998</v>
      </c>
      <c r="E286" s="29">
        <f t="shared" si="4"/>
        <v>21.516887130000001</v>
      </c>
      <c r="F286" s="30">
        <v>42943</v>
      </c>
    </row>
    <row r="287" spans="1:6" x14ac:dyDescent="0.3">
      <c r="A287" s="32" t="s">
        <v>1905</v>
      </c>
      <c r="B287">
        <v>31.9881934</v>
      </c>
      <c r="C287">
        <v>10.316389539999999</v>
      </c>
      <c r="E287" s="29">
        <f t="shared" si="4"/>
        <v>21.671803860000001</v>
      </c>
      <c r="F287" s="30">
        <v>42944</v>
      </c>
    </row>
    <row r="288" spans="1:6" x14ac:dyDescent="0.3">
      <c r="A288" s="32" t="s">
        <v>1906</v>
      </c>
      <c r="B288">
        <v>31.7601087</v>
      </c>
      <c r="C288">
        <v>10.236377490000001</v>
      </c>
      <c r="E288" s="29">
        <f t="shared" si="4"/>
        <v>21.523731210000001</v>
      </c>
      <c r="F288" s="30">
        <v>42945</v>
      </c>
    </row>
    <row r="289" spans="1:6" x14ac:dyDescent="0.3">
      <c r="A289" s="32" t="s">
        <v>1907</v>
      </c>
      <c r="B289">
        <v>31.314561000000001</v>
      </c>
      <c r="C289">
        <v>9.8777045500000007</v>
      </c>
      <c r="E289" s="29">
        <f t="shared" si="4"/>
        <v>21.436856450000001</v>
      </c>
      <c r="F289" s="30">
        <v>42946</v>
      </c>
    </row>
    <row r="290" spans="1:6" x14ac:dyDescent="0.3">
      <c r="A290" s="32" t="s">
        <v>1908</v>
      </c>
      <c r="B290">
        <v>32.724192299999999</v>
      </c>
      <c r="C290">
        <v>9.8052976199999993</v>
      </c>
      <c r="E290" s="29">
        <f t="shared" si="4"/>
        <v>22.918894680000001</v>
      </c>
      <c r="F290" s="30">
        <v>42947</v>
      </c>
    </row>
    <row r="291" spans="1:6" x14ac:dyDescent="0.3">
      <c r="A291" s="32" t="s">
        <v>1909</v>
      </c>
      <c r="B291">
        <v>32.948983300000002</v>
      </c>
      <c r="C291">
        <v>11.21210919</v>
      </c>
      <c r="E291" s="29">
        <f t="shared" si="4"/>
        <v>21.736874110000002</v>
      </c>
      <c r="F291" s="30">
        <v>42948</v>
      </c>
    </row>
    <row r="292" spans="1:6" x14ac:dyDescent="0.3">
      <c r="A292" s="32" t="s">
        <v>1910</v>
      </c>
      <c r="B292">
        <v>32.889961</v>
      </c>
      <c r="C292">
        <v>10.8531333</v>
      </c>
      <c r="E292" s="29">
        <f t="shared" si="4"/>
        <v>22.0368277</v>
      </c>
      <c r="F292" s="30">
        <v>42949</v>
      </c>
    </row>
    <row r="293" spans="1:6" x14ac:dyDescent="0.3">
      <c r="A293" s="32" t="s">
        <v>1911</v>
      </c>
      <c r="B293">
        <v>32.272782499999998</v>
      </c>
      <c r="C293">
        <v>12.17125315</v>
      </c>
      <c r="E293" s="29">
        <f t="shared" si="4"/>
        <v>20.10152935</v>
      </c>
      <c r="F293" s="30">
        <v>42950</v>
      </c>
    </row>
    <row r="294" spans="1:6" x14ac:dyDescent="0.3">
      <c r="A294" s="32" t="s">
        <v>1912</v>
      </c>
      <c r="B294">
        <v>32.694378800000003</v>
      </c>
      <c r="C294">
        <v>13.387039209999999</v>
      </c>
      <c r="E294" s="29">
        <f t="shared" si="4"/>
        <v>19.307339590000005</v>
      </c>
      <c r="F294" s="30">
        <v>42951</v>
      </c>
    </row>
    <row r="295" spans="1:6" x14ac:dyDescent="0.3">
      <c r="A295" s="32" t="s">
        <v>1913</v>
      </c>
      <c r="B295">
        <v>31.048011200000001</v>
      </c>
      <c r="C295">
        <v>13.077224299999999</v>
      </c>
      <c r="E295" s="29">
        <f t="shared" si="4"/>
        <v>17.9707869</v>
      </c>
      <c r="F295" s="30">
        <v>42952</v>
      </c>
    </row>
    <row r="296" spans="1:6" x14ac:dyDescent="0.3">
      <c r="A296" s="32" t="s">
        <v>1914</v>
      </c>
      <c r="B296">
        <v>29.7637426</v>
      </c>
      <c r="C296">
        <v>14.97174693</v>
      </c>
      <c r="E296" s="29">
        <f t="shared" si="4"/>
        <v>14.79199567</v>
      </c>
      <c r="F296" s="30">
        <v>42953</v>
      </c>
    </row>
    <row r="297" spans="1:6" x14ac:dyDescent="0.3">
      <c r="A297" s="32" t="s">
        <v>1915</v>
      </c>
      <c r="B297">
        <v>30.2815914</v>
      </c>
      <c r="C297">
        <v>15.75813739</v>
      </c>
      <c r="E297" s="29">
        <f t="shared" si="4"/>
        <v>14.52345401</v>
      </c>
      <c r="F297" s="30">
        <v>42954</v>
      </c>
    </row>
    <row r="298" spans="1:6" x14ac:dyDescent="0.3">
      <c r="A298" s="32" t="s">
        <v>1916</v>
      </c>
      <c r="B298">
        <v>29.703406699999999</v>
      </c>
      <c r="C298">
        <v>15.720736430000001</v>
      </c>
      <c r="E298" s="29">
        <f t="shared" si="4"/>
        <v>13.982670269999998</v>
      </c>
      <c r="F298" s="30">
        <v>42955</v>
      </c>
    </row>
    <row r="299" spans="1:6" x14ac:dyDescent="0.3">
      <c r="A299" s="32" t="s">
        <v>1917</v>
      </c>
      <c r="B299">
        <v>29.597096499999999</v>
      </c>
      <c r="C299">
        <v>15.035630599999999</v>
      </c>
      <c r="E299" s="29">
        <f t="shared" si="4"/>
        <v>14.5614659</v>
      </c>
      <c r="F299" s="30">
        <v>42956</v>
      </c>
    </row>
    <row r="300" spans="1:6" x14ac:dyDescent="0.3">
      <c r="A300" s="32" t="s">
        <v>1918</v>
      </c>
      <c r="B300">
        <v>29.832538</v>
      </c>
      <c r="C300">
        <v>14.35570147</v>
      </c>
      <c r="E300" s="29">
        <f t="shared" si="4"/>
        <v>15.47683653</v>
      </c>
      <c r="F300" s="30">
        <v>42957</v>
      </c>
    </row>
    <row r="301" spans="1:6" x14ac:dyDescent="0.3">
      <c r="A301" s="32" t="s">
        <v>1919</v>
      </c>
      <c r="B301">
        <v>29.3360995</v>
      </c>
      <c r="C301">
        <v>14.953069109999999</v>
      </c>
      <c r="E301" s="29">
        <f t="shared" si="4"/>
        <v>14.38303039</v>
      </c>
      <c r="F301" s="30">
        <v>42958</v>
      </c>
    </row>
    <row r="302" spans="1:6" x14ac:dyDescent="0.3">
      <c r="A302" s="32" t="s">
        <v>1920</v>
      </c>
      <c r="B302">
        <v>29.335195299999999</v>
      </c>
      <c r="C302">
        <v>15.652213339999999</v>
      </c>
      <c r="E302" s="29">
        <f t="shared" si="4"/>
        <v>13.682981959999999</v>
      </c>
      <c r="F302" s="30">
        <v>42959</v>
      </c>
    </row>
    <row r="303" spans="1:6" x14ac:dyDescent="0.3">
      <c r="A303" s="32" t="s">
        <v>1921</v>
      </c>
      <c r="B303">
        <v>30.309696500000001</v>
      </c>
      <c r="C303">
        <v>14.72461635</v>
      </c>
      <c r="E303" s="29">
        <f t="shared" si="4"/>
        <v>15.585080150000001</v>
      </c>
      <c r="F303" s="30">
        <v>42960</v>
      </c>
    </row>
    <row r="304" spans="1:6" x14ac:dyDescent="0.3">
      <c r="A304" s="32" t="s">
        <v>1922</v>
      </c>
      <c r="B304">
        <v>30.8818223</v>
      </c>
      <c r="C304">
        <v>14.60537523</v>
      </c>
      <c r="E304" s="29">
        <f t="shared" si="4"/>
        <v>16.27644707</v>
      </c>
      <c r="F304" s="30">
        <v>42961</v>
      </c>
    </row>
    <row r="305" spans="1:6" x14ac:dyDescent="0.3">
      <c r="A305" s="32" t="s">
        <v>1923</v>
      </c>
      <c r="B305">
        <v>31.581289200000001</v>
      </c>
      <c r="C305">
        <v>15.914029230000001</v>
      </c>
      <c r="E305" s="29">
        <f t="shared" si="4"/>
        <v>15.66725997</v>
      </c>
      <c r="F305" s="30">
        <v>42962</v>
      </c>
    </row>
    <row r="306" spans="1:6" x14ac:dyDescent="0.3">
      <c r="A306" s="32" t="s">
        <v>1924</v>
      </c>
      <c r="B306">
        <v>30.727093</v>
      </c>
      <c r="C306">
        <v>16.138220749999999</v>
      </c>
      <c r="E306" s="29">
        <f t="shared" si="4"/>
        <v>14.588872250000001</v>
      </c>
      <c r="F306" s="30">
        <v>42963</v>
      </c>
    </row>
    <row r="307" spans="1:6" x14ac:dyDescent="0.3">
      <c r="A307" s="32" t="s">
        <v>1925</v>
      </c>
      <c r="B307">
        <v>29.8660146</v>
      </c>
      <c r="C307">
        <v>16.932785079999999</v>
      </c>
      <c r="E307" s="29">
        <f t="shared" si="4"/>
        <v>12.933229520000001</v>
      </c>
      <c r="F307" s="30">
        <v>42964</v>
      </c>
    </row>
    <row r="308" spans="1:6" x14ac:dyDescent="0.3">
      <c r="A308" s="32" t="s">
        <v>1926</v>
      </c>
      <c r="B308">
        <v>29.3136294</v>
      </c>
      <c r="C308">
        <v>17.949303870000001</v>
      </c>
      <c r="E308" s="29">
        <f t="shared" si="4"/>
        <v>11.364325529999999</v>
      </c>
      <c r="F308" s="30">
        <v>42965</v>
      </c>
    </row>
    <row r="309" spans="1:6" x14ac:dyDescent="0.3">
      <c r="A309" s="32" t="s">
        <v>1927</v>
      </c>
      <c r="B309">
        <v>28.9052395</v>
      </c>
      <c r="C309">
        <v>18.82201435</v>
      </c>
      <c r="E309" s="29">
        <f t="shared" si="4"/>
        <v>10.083225150000001</v>
      </c>
      <c r="F309" s="30">
        <v>42966</v>
      </c>
    </row>
    <row r="310" spans="1:6" x14ac:dyDescent="0.3">
      <c r="A310" s="32" t="s">
        <v>1928</v>
      </c>
      <c r="B310">
        <v>28.689333399999999</v>
      </c>
      <c r="C310">
        <v>18.02936274</v>
      </c>
      <c r="E310" s="29">
        <f t="shared" si="4"/>
        <v>10.659970659999999</v>
      </c>
      <c r="F310" s="30">
        <v>42967</v>
      </c>
    </row>
    <row r="311" spans="1:6" x14ac:dyDescent="0.3">
      <c r="A311" s="32" t="s">
        <v>1929</v>
      </c>
      <c r="B311">
        <v>27.406676699999998</v>
      </c>
      <c r="C311">
        <v>18.402722860000001</v>
      </c>
      <c r="E311" s="29">
        <f t="shared" si="4"/>
        <v>9.0039538399999977</v>
      </c>
      <c r="F311" s="30">
        <v>42968</v>
      </c>
    </row>
    <row r="312" spans="1:6" x14ac:dyDescent="0.3">
      <c r="A312" s="32" t="s">
        <v>1930</v>
      </c>
      <c r="B312">
        <v>27.941163400000001</v>
      </c>
      <c r="C312">
        <v>18.445235180000001</v>
      </c>
      <c r="E312" s="29">
        <f t="shared" si="4"/>
        <v>9.4959282199999997</v>
      </c>
      <c r="F312" s="30">
        <v>42969</v>
      </c>
    </row>
    <row r="313" spans="1:6" x14ac:dyDescent="0.3">
      <c r="A313" s="32" t="s">
        <v>1931</v>
      </c>
      <c r="B313">
        <v>29.834370799999999</v>
      </c>
      <c r="C313">
        <v>17.25183973</v>
      </c>
      <c r="E313" s="29">
        <f t="shared" si="4"/>
        <v>12.582531069999998</v>
      </c>
      <c r="F313" s="30">
        <v>42970</v>
      </c>
    </row>
    <row r="314" spans="1:6" x14ac:dyDescent="0.3">
      <c r="A314" s="32" t="s">
        <v>1932</v>
      </c>
      <c r="B314">
        <v>31.516592500000002</v>
      </c>
      <c r="C314">
        <v>18.285964960000001</v>
      </c>
      <c r="E314" s="29">
        <f t="shared" si="4"/>
        <v>13.23062754</v>
      </c>
      <c r="F314" s="30">
        <v>42971</v>
      </c>
    </row>
    <row r="315" spans="1:6" x14ac:dyDescent="0.3">
      <c r="A315" s="32" t="s">
        <v>1933</v>
      </c>
      <c r="B315">
        <v>32.718470600000003</v>
      </c>
      <c r="C315">
        <v>18.92481656</v>
      </c>
      <c r="E315" s="29">
        <f t="shared" si="4"/>
        <v>13.793654040000003</v>
      </c>
      <c r="F315" s="30">
        <v>42972</v>
      </c>
    </row>
    <row r="316" spans="1:6" x14ac:dyDescent="0.3">
      <c r="A316" s="32" t="s">
        <v>1934</v>
      </c>
      <c r="B316">
        <v>33.564355499999998</v>
      </c>
      <c r="C316">
        <v>18.111376379999999</v>
      </c>
      <c r="E316" s="29">
        <f t="shared" si="4"/>
        <v>15.452979119999998</v>
      </c>
      <c r="F316" s="30">
        <v>42973</v>
      </c>
    </row>
    <row r="317" spans="1:6" x14ac:dyDescent="0.3">
      <c r="A317" s="32" t="s">
        <v>1935</v>
      </c>
      <c r="B317">
        <v>34.4811263</v>
      </c>
      <c r="C317">
        <v>18.22819346</v>
      </c>
      <c r="E317" s="29">
        <f t="shared" si="4"/>
        <v>16.25293284</v>
      </c>
      <c r="F317" s="30">
        <v>42974</v>
      </c>
    </row>
    <row r="318" spans="1:6" x14ac:dyDescent="0.3">
      <c r="A318" s="32" t="s">
        <v>1936</v>
      </c>
      <c r="B318">
        <v>32.554655199999999</v>
      </c>
      <c r="C318">
        <v>18.404878969999999</v>
      </c>
      <c r="E318" s="29">
        <f t="shared" si="4"/>
        <v>14.149776230000001</v>
      </c>
      <c r="F318" s="30">
        <v>42975</v>
      </c>
    </row>
    <row r="319" spans="1:6" x14ac:dyDescent="0.3">
      <c r="A319" s="32" t="s">
        <v>1937</v>
      </c>
      <c r="B319">
        <v>31.861913300000001</v>
      </c>
      <c r="C319">
        <v>17.876877180000001</v>
      </c>
      <c r="E319" s="29">
        <f t="shared" si="4"/>
        <v>13.98503612</v>
      </c>
      <c r="F319" s="30">
        <v>42976</v>
      </c>
    </row>
    <row r="320" spans="1:6" x14ac:dyDescent="0.3">
      <c r="A320" s="32" t="s">
        <v>1938</v>
      </c>
      <c r="B320">
        <v>31.914616599999999</v>
      </c>
      <c r="C320">
        <v>17.76865862</v>
      </c>
      <c r="E320" s="29">
        <f t="shared" si="4"/>
        <v>14.145957979999999</v>
      </c>
      <c r="F320" s="30">
        <v>42977</v>
      </c>
    </row>
    <row r="321" spans="1:6" x14ac:dyDescent="0.3">
      <c r="A321" s="32" t="s">
        <v>1939</v>
      </c>
      <c r="B321">
        <v>30.4633024</v>
      </c>
      <c r="C321">
        <v>17.06827831</v>
      </c>
      <c r="E321" s="29">
        <f t="shared" si="4"/>
        <v>13.39502409</v>
      </c>
      <c r="F321" s="30">
        <v>42978</v>
      </c>
    </row>
    <row r="322" spans="1:6" x14ac:dyDescent="0.3">
      <c r="A322" s="32" t="s">
        <v>1940</v>
      </c>
      <c r="B322">
        <v>31.224080099999998</v>
      </c>
      <c r="C322">
        <v>18.141258990000001</v>
      </c>
      <c r="E322" s="29">
        <f t="shared" si="4"/>
        <v>13.082821109999998</v>
      </c>
      <c r="F322" s="30">
        <v>42979</v>
      </c>
    </row>
    <row r="323" spans="1:6" x14ac:dyDescent="0.3">
      <c r="A323" s="32" t="s">
        <v>1941</v>
      </c>
      <c r="B323">
        <v>29.8761294</v>
      </c>
      <c r="C323">
        <v>17.310520220000001</v>
      </c>
      <c r="E323" s="29">
        <f t="shared" ref="E323:E341" si="5">B323-C323</f>
        <v>12.565609179999999</v>
      </c>
      <c r="F323" s="30">
        <v>42980</v>
      </c>
    </row>
    <row r="324" spans="1:6" x14ac:dyDescent="0.3">
      <c r="A324" s="32" t="s">
        <v>1942</v>
      </c>
      <c r="B324">
        <v>31.178147500000001</v>
      </c>
      <c r="C324">
        <v>16.15038629</v>
      </c>
      <c r="E324" s="29">
        <f t="shared" si="5"/>
        <v>15.027761210000001</v>
      </c>
      <c r="F324" s="30">
        <v>42981</v>
      </c>
    </row>
    <row r="325" spans="1:6" x14ac:dyDescent="0.3">
      <c r="A325" s="32" t="s">
        <v>1943</v>
      </c>
      <c r="B325">
        <v>31.0158244</v>
      </c>
      <c r="C325">
        <v>16.172911450000001</v>
      </c>
      <c r="E325" s="29">
        <f t="shared" si="5"/>
        <v>14.842912949999999</v>
      </c>
      <c r="F325" s="30">
        <v>42982</v>
      </c>
    </row>
    <row r="326" spans="1:6" x14ac:dyDescent="0.3">
      <c r="A326" s="32" t="s">
        <v>1944</v>
      </c>
      <c r="B326">
        <v>30.527211900000001</v>
      </c>
      <c r="C326">
        <v>16.54197254</v>
      </c>
      <c r="E326" s="29">
        <f t="shared" si="5"/>
        <v>13.985239360000001</v>
      </c>
      <c r="F326" s="30">
        <v>42983</v>
      </c>
    </row>
    <row r="327" spans="1:6" x14ac:dyDescent="0.3">
      <c r="A327" s="32" t="s">
        <v>1945</v>
      </c>
      <c r="B327">
        <v>31.7503326</v>
      </c>
      <c r="C327">
        <v>17.693071870000001</v>
      </c>
      <c r="E327" s="29">
        <f t="shared" si="5"/>
        <v>14.057260729999999</v>
      </c>
      <c r="F327" s="30">
        <v>42984</v>
      </c>
    </row>
    <row r="328" spans="1:6" x14ac:dyDescent="0.3">
      <c r="A328" s="32" t="s">
        <v>1946</v>
      </c>
      <c r="B328">
        <v>32.014267500000003</v>
      </c>
      <c r="C328">
        <v>17.155741039999999</v>
      </c>
      <c r="E328" s="29">
        <f t="shared" si="5"/>
        <v>14.858526460000004</v>
      </c>
      <c r="F328" s="30">
        <v>42985</v>
      </c>
    </row>
    <row r="329" spans="1:6" x14ac:dyDescent="0.3">
      <c r="A329" s="32" t="s">
        <v>1947</v>
      </c>
      <c r="B329">
        <v>31.743068300000001</v>
      </c>
      <c r="C329">
        <v>16.34193801</v>
      </c>
      <c r="E329" s="29">
        <f t="shared" si="5"/>
        <v>15.401130290000001</v>
      </c>
      <c r="F329" s="30">
        <v>42986</v>
      </c>
    </row>
    <row r="330" spans="1:6" x14ac:dyDescent="0.3">
      <c r="A330" s="32" t="s">
        <v>1948</v>
      </c>
      <c r="B330">
        <v>30.436181999999999</v>
      </c>
      <c r="C330">
        <v>15.32666749</v>
      </c>
      <c r="E330" s="29">
        <f t="shared" si="5"/>
        <v>15.109514509999999</v>
      </c>
      <c r="F330" s="30">
        <v>42987</v>
      </c>
    </row>
    <row r="331" spans="1:6" x14ac:dyDescent="0.3">
      <c r="A331" s="32" t="s">
        <v>1949</v>
      </c>
      <c r="B331">
        <v>31.331073700000001</v>
      </c>
      <c r="C331">
        <v>14.656965939999999</v>
      </c>
      <c r="E331" s="29">
        <f t="shared" si="5"/>
        <v>16.674107760000002</v>
      </c>
      <c r="F331" s="30">
        <v>42988</v>
      </c>
    </row>
    <row r="332" spans="1:6" x14ac:dyDescent="0.3">
      <c r="A332" s="32" t="s">
        <v>1950</v>
      </c>
      <c r="B332">
        <v>31.117230299999999</v>
      </c>
      <c r="C332">
        <v>14.64530892</v>
      </c>
      <c r="E332" s="29">
        <f t="shared" si="5"/>
        <v>16.471921379999998</v>
      </c>
      <c r="F332" s="30">
        <v>42989</v>
      </c>
    </row>
    <row r="333" spans="1:6" x14ac:dyDescent="0.3">
      <c r="A333" s="32" t="s">
        <v>1951</v>
      </c>
      <c r="B333">
        <v>32.9829443</v>
      </c>
      <c r="C333">
        <v>12.78627431</v>
      </c>
      <c r="E333" s="29">
        <f t="shared" si="5"/>
        <v>20.19666999</v>
      </c>
      <c r="F333" s="30">
        <v>42990</v>
      </c>
    </row>
    <row r="334" spans="1:6" x14ac:dyDescent="0.3">
      <c r="A334" s="32" t="s">
        <v>1952</v>
      </c>
      <c r="B334">
        <v>31.094037799999999</v>
      </c>
      <c r="C334">
        <v>14.921554629999999</v>
      </c>
      <c r="E334" s="29">
        <f t="shared" si="5"/>
        <v>16.17248317</v>
      </c>
      <c r="F334" s="30">
        <v>42991</v>
      </c>
    </row>
    <row r="335" spans="1:6" x14ac:dyDescent="0.3">
      <c r="A335" s="32" t="s">
        <v>1953</v>
      </c>
      <c r="B335">
        <v>31.838073600000001</v>
      </c>
      <c r="C335">
        <v>12.811767870000001</v>
      </c>
      <c r="E335" s="29">
        <f t="shared" si="5"/>
        <v>19.026305730000001</v>
      </c>
      <c r="F335" s="30">
        <v>42992</v>
      </c>
    </row>
    <row r="336" spans="1:6" x14ac:dyDescent="0.3">
      <c r="A336" s="32" t="s">
        <v>1954</v>
      </c>
      <c r="B336">
        <v>33.7450531</v>
      </c>
      <c r="C336">
        <v>12.7717489</v>
      </c>
      <c r="E336" s="29">
        <f t="shared" si="5"/>
        <v>20.973304200000001</v>
      </c>
      <c r="F336" s="30">
        <v>42993</v>
      </c>
    </row>
    <row r="337" spans="1:6" x14ac:dyDescent="0.3">
      <c r="A337" s="32" t="s">
        <v>1955</v>
      </c>
      <c r="B337">
        <v>34.0123672</v>
      </c>
      <c r="C337">
        <v>12.60618369</v>
      </c>
      <c r="E337" s="29">
        <f t="shared" si="5"/>
        <v>21.406183509999998</v>
      </c>
      <c r="F337" s="30">
        <v>42994</v>
      </c>
    </row>
    <row r="338" spans="1:6" x14ac:dyDescent="0.3">
      <c r="A338" s="32" t="s">
        <v>1956</v>
      </c>
      <c r="B338">
        <v>34.069146199999999</v>
      </c>
      <c r="C338">
        <v>12.237983379999999</v>
      </c>
      <c r="E338" s="29">
        <f t="shared" si="5"/>
        <v>21.831162819999999</v>
      </c>
      <c r="F338" s="30">
        <v>42995</v>
      </c>
    </row>
    <row r="339" spans="1:6" x14ac:dyDescent="0.3">
      <c r="A339" s="32" t="s">
        <v>1957</v>
      </c>
      <c r="B339">
        <v>34.751234500000002</v>
      </c>
      <c r="C339">
        <v>12.07550812</v>
      </c>
      <c r="E339" s="29">
        <f t="shared" si="5"/>
        <v>22.67572638</v>
      </c>
      <c r="F339" s="30">
        <v>42996</v>
      </c>
    </row>
    <row r="340" spans="1:6" x14ac:dyDescent="0.3">
      <c r="A340" s="32" t="s">
        <v>1958</v>
      </c>
      <c r="B340">
        <v>36.6258932</v>
      </c>
      <c r="C340">
        <v>11.884302</v>
      </c>
      <c r="E340" s="29">
        <f t="shared" si="5"/>
        <v>24.741591200000002</v>
      </c>
      <c r="F340" s="30">
        <v>42997</v>
      </c>
    </row>
    <row r="341" spans="1:6" x14ac:dyDescent="0.3">
      <c r="A341" s="32" t="s">
        <v>1959</v>
      </c>
      <c r="B341">
        <v>34.485272700000003</v>
      </c>
      <c r="C341">
        <v>11.456723909999999</v>
      </c>
      <c r="E341" s="29">
        <f t="shared" si="5"/>
        <v>23.028548790000002</v>
      </c>
      <c r="F341" s="30">
        <v>42998</v>
      </c>
    </row>
    <row r="342" spans="1:6" x14ac:dyDescent="0.3">
      <c r="F342" s="30"/>
    </row>
    <row r="343" spans="1:6" x14ac:dyDescent="0.3">
      <c r="F343" s="30"/>
    </row>
    <row r="344" spans="1:6" x14ac:dyDescent="0.3">
      <c r="F344" s="30"/>
    </row>
    <row r="345" spans="1:6" x14ac:dyDescent="0.3">
      <c r="A345" s="29" t="s">
        <v>763</v>
      </c>
      <c r="F345" s="30"/>
    </row>
    <row r="346" spans="1:6" x14ac:dyDescent="0.3">
      <c r="A346" s="29" t="s">
        <v>764</v>
      </c>
      <c r="F346" s="30"/>
    </row>
    <row r="347" spans="1:6" x14ac:dyDescent="0.3">
      <c r="A347" s="29" t="s">
        <v>765</v>
      </c>
      <c r="F347" s="30"/>
    </row>
    <row r="348" spans="1:6" x14ac:dyDescent="0.3">
      <c r="A348" s="29" t="s">
        <v>766</v>
      </c>
      <c r="F348" s="30"/>
    </row>
    <row r="349" spans="1:6" x14ac:dyDescent="0.3">
      <c r="A349" s="29" t="s">
        <v>767</v>
      </c>
      <c r="F349" s="30"/>
    </row>
    <row r="350" spans="1:6" x14ac:dyDescent="0.3">
      <c r="A350" s="29" t="s">
        <v>768</v>
      </c>
      <c r="F350" s="30"/>
    </row>
    <row r="351" spans="1:6" x14ac:dyDescent="0.3">
      <c r="A351" s="29" t="s">
        <v>769</v>
      </c>
      <c r="F351" s="30"/>
    </row>
    <row r="352" spans="1:6" x14ac:dyDescent="0.3">
      <c r="A352" s="29" t="s">
        <v>770</v>
      </c>
      <c r="F352" s="30"/>
    </row>
    <row r="353" spans="1:6" x14ac:dyDescent="0.3">
      <c r="A353" s="29" t="s">
        <v>771</v>
      </c>
      <c r="F353" s="30"/>
    </row>
    <row r="354" spans="1:6" x14ac:dyDescent="0.3">
      <c r="A354" s="29" t="s">
        <v>772</v>
      </c>
      <c r="F354" s="30"/>
    </row>
    <row r="355" spans="1:6" x14ac:dyDescent="0.3">
      <c r="A355" s="29" t="s">
        <v>773</v>
      </c>
      <c r="F355" s="30"/>
    </row>
    <row r="356" spans="1:6" x14ac:dyDescent="0.3">
      <c r="A356" s="29" t="s">
        <v>774</v>
      </c>
      <c r="F356" s="30"/>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D38FF5-7E0B-47F0-BAEF-21B92795534D}">
  <sheetPr codeName="Sheet14"/>
  <dimension ref="A1:F356"/>
  <sheetViews>
    <sheetView topLeftCell="G314" workbookViewId="0">
      <selection activeCell="G345" sqref="G345"/>
    </sheetView>
  </sheetViews>
  <sheetFormatPr defaultRowHeight="14.4" x14ac:dyDescent="0.3"/>
  <cols>
    <col min="1" max="1" width="37.21875" style="29" bestFit="1" customWidth="1"/>
    <col min="4" max="5" width="8.88671875" style="29"/>
    <col min="6" max="6" width="9.88671875" style="29" bestFit="1" customWidth="1"/>
    <col min="7" max="16384" width="8.88671875" style="29"/>
  </cols>
  <sheetData>
    <row r="1" spans="1:6" x14ac:dyDescent="0.3">
      <c r="A1" s="32"/>
      <c r="E1" s="29" t="s">
        <v>776</v>
      </c>
      <c r="F1" s="29" t="s">
        <v>775</v>
      </c>
    </row>
    <row r="2" spans="1:6" x14ac:dyDescent="0.3">
      <c r="A2" s="32" t="s">
        <v>1968</v>
      </c>
      <c r="B2">
        <v>-1.40857316</v>
      </c>
      <c r="C2">
        <v>2.8858877999999999</v>
      </c>
      <c r="E2" s="29">
        <f>B2-C2</f>
        <v>-4.2944609600000003</v>
      </c>
      <c r="F2" s="30">
        <v>42659</v>
      </c>
    </row>
    <row r="3" spans="1:6" x14ac:dyDescent="0.3">
      <c r="A3" s="32" t="s">
        <v>1969</v>
      </c>
      <c r="B3">
        <v>-1.33785566</v>
      </c>
      <c r="C3">
        <v>2.3815556999999998</v>
      </c>
      <c r="E3" s="29">
        <f t="shared" ref="E3:E66" si="0">B3-C3</f>
        <v>-3.7194113599999996</v>
      </c>
      <c r="F3" s="30">
        <v>42660</v>
      </c>
    </row>
    <row r="4" spans="1:6" x14ac:dyDescent="0.3">
      <c r="A4" s="32" t="s">
        <v>1970</v>
      </c>
      <c r="B4">
        <v>-2.3839237199999999</v>
      </c>
      <c r="C4">
        <v>1.2871840999999999</v>
      </c>
      <c r="E4" s="29">
        <f t="shared" si="0"/>
        <v>-3.6711078199999996</v>
      </c>
      <c r="F4" s="30">
        <v>42661</v>
      </c>
    </row>
    <row r="5" spans="1:6" x14ac:dyDescent="0.3">
      <c r="A5" s="32" t="s">
        <v>1971</v>
      </c>
      <c r="B5">
        <v>-2.5107305900000001</v>
      </c>
      <c r="C5">
        <v>0.80031039999999998</v>
      </c>
      <c r="E5" s="29">
        <f t="shared" si="0"/>
        <v>-3.31104099</v>
      </c>
      <c r="F5" s="30">
        <v>42662</v>
      </c>
    </row>
    <row r="6" spans="1:6" x14ac:dyDescent="0.3">
      <c r="A6" s="32" t="s">
        <v>1972</v>
      </c>
      <c r="B6">
        <v>-1.7230333499999999</v>
      </c>
      <c r="C6">
        <v>1.6519870000000001</v>
      </c>
      <c r="E6" s="29">
        <f t="shared" si="0"/>
        <v>-3.3750203499999998</v>
      </c>
      <c r="F6" s="30">
        <v>42663</v>
      </c>
    </row>
    <row r="7" spans="1:6" x14ac:dyDescent="0.3">
      <c r="A7" s="32" t="s">
        <v>962</v>
      </c>
      <c r="B7">
        <v>-1.46588864</v>
      </c>
      <c r="C7">
        <v>2.2730652999999998</v>
      </c>
      <c r="E7" s="29">
        <f t="shared" si="0"/>
        <v>-3.73895394</v>
      </c>
      <c r="F7" s="30">
        <v>42664</v>
      </c>
    </row>
    <row r="8" spans="1:6" x14ac:dyDescent="0.3">
      <c r="A8" s="32" t="s">
        <v>963</v>
      </c>
      <c r="B8">
        <v>-1.19214401</v>
      </c>
      <c r="C8">
        <v>1.755638</v>
      </c>
      <c r="E8" s="29">
        <f t="shared" si="0"/>
        <v>-2.9477820100000001</v>
      </c>
      <c r="F8" s="30">
        <v>42665</v>
      </c>
    </row>
    <row r="9" spans="1:6" x14ac:dyDescent="0.3">
      <c r="A9" s="32" t="s">
        <v>964</v>
      </c>
      <c r="B9">
        <v>-1.76408795</v>
      </c>
      <c r="C9">
        <v>1.0977774</v>
      </c>
      <c r="E9" s="29">
        <f t="shared" si="0"/>
        <v>-2.86186535</v>
      </c>
      <c r="F9" s="30">
        <v>42666</v>
      </c>
    </row>
    <row r="10" spans="1:6" x14ac:dyDescent="0.3">
      <c r="A10" s="32" t="s">
        <v>965</v>
      </c>
      <c r="B10">
        <v>-1.0659227600000001</v>
      </c>
      <c r="C10">
        <v>3.3540616999999999</v>
      </c>
      <c r="E10" s="29">
        <f t="shared" si="0"/>
        <v>-4.4199844600000002</v>
      </c>
      <c r="F10" s="30">
        <v>42667</v>
      </c>
    </row>
    <row r="11" spans="1:6" x14ac:dyDescent="0.3">
      <c r="A11" s="32" t="s">
        <v>966</v>
      </c>
      <c r="B11">
        <v>-1.0889093599999999</v>
      </c>
      <c r="C11">
        <v>2.1100854</v>
      </c>
      <c r="E11" s="29">
        <f t="shared" si="0"/>
        <v>-3.1989947599999997</v>
      </c>
      <c r="F11" s="30">
        <v>42668</v>
      </c>
    </row>
    <row r="12" spans="1:6" x14ac:dyDescent="0.3">
      <c r="A12" s="32" t="s">
        <v>967</v>
      </c>
      <c r="B12">
        <v>-1.6285591800000001</v>
      </c>
      <c r="C12">
        <v>3.0907369999999998</v>
      </c>
      <c r="E12" s="29">
        <f t="shared" si="0"/>
        <v>-4.7192961799999997</v>
      </c>
      <c r="F12" s="30">
        <v>42669</v>
      </c>
    </row>
    <row r="13" spans="1:6" x14ac:dyDescent="0.3">
      <c r="A13" s="32" t="s">
        <v>968</v>
      </c>
      <c r="B13">
        <v>-2.6589152</v>
      </c>
      <c r="C13">
        <v>2.7965879</v>
      </c>
      <c r="E13" s="29">
        <f t="shared" si="0"/>
        <v>-5.4555030999999996</v>
      </c>
      <c r="F13" s="30">
        <v>42670</v>
      </c>
    </row>
    <row r="14" spans="1:6" x14ac:dyDescent="0.3">
      <c r="A14" s="32" t="s">
        <v>969</v>
      </c>
      <c r="B14">
        <v>-2.4740777999999999</v>
      </c>
      <c r="C14">
        <v>1.0891384</v>
      </c>
      <c r="E14" s="29">
        <f t="shared" si="0"/>
        <v>-3.5632161999999998</v>
      </c>
      <c r="F14" s="30">
        <v>42671</v>
      </c>
    </row>
    <row r="15" spans="1:6" x14ac:dyDescent="0.3">
      <c r="A15" s="32" t="s">
        <v>970</v>
      </c>
      <c r="B15">
        <v>-2.71110636</v>
      </c>
      <c r="C15">
        <v>0.84896930000000004</v>
      </c>
      <c r="E15" s="29">
        <f t="shared" si="0"/>
        <v>-3.5600756599999999</v>
      </c>
      <c r="F15" s="30">
        <v>42672</v>
      </c>
    </row>
    <row r="16" spans="1:6" x14ac:dyDescent="0.3">
      <c r="A16" s="32" t="s">
        <v>971</v>
      </c>
      <c r="B16">
        <v>-3.6227653599999998</v>
      </c>
      <c r="C16">
        <v>0.26937519999999998</v>
      </c>
      <c r="E16" s="29">
        <f t="shared" si="0"/>
        <v>-3.8921405599999996</v>
      </c>
      <c r="F16" s="30">
        <v>42673</v>
      </c>
    </row>
    <row r="17" spans="1:6" x14ac:dyDescent="0.3">
      <c r="A17" s="32" t="s">
        <v>972</v>
      </c>
      <c r="B17">
        <v>-3.4572474299999998</v>
      </c>
      <c r="C17">
        <v>-1.3566297</v>
      </c>
      <c r="E17" s="29">
        <f t="shared" si="0"/>
        <v>-2.1006177299999997</v>
      </c>
      <c r="F17" s="30">
        <v>42674</v>
      </c>
    </row>
    <row r="18" spans="1:6" x14ac:dyDescent="0.3">
      <c r="A18" s="32" t="s">
        <v>973</v>
      </c>
      <c r="B18">
        <v>-4.9293698199999998</v>
      </c>
      <c r="C18">
        <v>-2.0304340999999999</v>
      </c>
      <c r="E18" s="29">
        <f t="shared" si="0"/>
        <v>-2.8989357199999999</v>
      </c>
      <c r="F18" s="30">
        <v>42675</v>
      </c>
    </row>
    <row r="19" spans="1:6" x14ac:dyDescent="0.3">
      <c r="A19" s="32" t="s">
        <v>974</v>
      </c>
      <c r="B19">
        <v>-3.5050056700000001</v>
      </c>
      <c r="C19">
        <v>-2.0124088000000002</v>
      </c>
      <c r="E19" s="29">
        <f t="shared" si="0"/>
        <v>-1.4925968699999999</v>
      </c>
      <c r="F19" s="30">
        <v>42676</v>
      </c>
    </row>
    <row r="20" spans="1:6" x14ac:dyDescent="0.3">
      <c r="A20" s="32" t="s">
        <v>975</v>
      </c>
      <c r="B20">
        <v>-4.6820198</v>
      </c>
      <c r="C20">
        <v>-2.3446340000000001</v>
      </c>
      <c r="E20" s="29">
        <f t="shared" si="0"/>
        <v>-2.3373857999999998</v>
      </c>
      <c r="F20" s="30">
        <v>42677</v>
      </c>
    </row>
    <row r="21" spans="1:6" x14ac:dyDescent="0.3">
      <c r="A21" s="32" t="s">
        <v>976</v>
      </c>
      <c r="B21">
        <v>-4.1941107500000001</v>
      </c>
      <c r="C21">
        <v>-2.0195726000000001</v>
      </c>
      <c r="E21" s="29">
        <f t="shared" si="0"/>
        <v>-2.1745381500000001</v>
      </c>
      <c r="F21" s="30">
        <v>42678</v>
      </c>
    </row>
    <row r="22" spans="1:6" x14ac:dyDescent="0.3">
      <c r="A22" s="32" t="s">
        <v>977</v>
      </c>
      <c r="B22">
        <v>-3.36844937</v>
      </c>
      <c r="C22">
        <v>-2.2730272999999999</v>
      </c>
      <c r="E22" s="29">
        <f t="shared" si="0"/>
        <v>-1.0954220700000001</v>
      </c>
      <c r="F22" s="30">
        <v>42679</v>
      </c>
    </row>
    <row r="23" spans="1:6" x14ac:dyDescent="0.3">
      <c r="A23" s="32" t="s">
        <v>978</v>
      </c>
      <c r="B23">
        <v>-2.9896612</v>
      </c>
      <c r="C23">
        <v>-2.2664662</v>
      </c>
      <c r="E23" s="29">
        <f t="shared" si="0"/>
        <v>-0.72319500000000003</v>
      </c>
      <c r="F23" s="30">
        <v>42680</v>
      </c>
    </row>
    <row r="24" spans="1:6" x14ac:dyDescent="0.3">
      <c r="A24" s="32" t="s">
        <v>979</v>
      </c>
      <c r="B24">
        <v>-3.6294098899999998</v>
      </c>
      <c r="C24">
        <v>-3.2270458999999998</v>
      </c>
      <c r="E24" s="29">
        <f t="shared" si="0"/>
        <v>-0.40236399</v>
      </c>
      <c r="F24" s="30">
        <v>42681</v>
      </c>
    </row>
    <row r="25" spans="1:6" x14ac:dyDescent="0.3">
      <c r="A25" s="32" t="s">
        <v>980</v>
      </c>
      <c r="B25">
        <v>-4.1482639499999996</v>
      </c>
      <c r="C25">
        <v>-3.430895</v>
      </c>
      <c r="E25" s="29">
        <f t="shared" si="0"/>
        <v>-0.71736894999999956</v>
      </c>
      <c r="F25" s="30">
        <v>42682</v>
      </c>
    </row>
    <row r="26" spans="1:6" x14ac:dyDescent="0.3">
      <c r="A26" s="32" t="s">
        <v>981</v>
      </c>
      <c r="B26">
        <v>-3.06686243</v>
      </c>
      <c r="C26">
        <v>-3.2686440000000001</v>
      </c>
      <c r="E26" s="29">
        <f t="shared" si="0"/>
        <v>0.20178157000000008</v>
      </c>
      <c r="F26" s="30">
        <v>42683</v>
      </c>
    </row>
    <row r="27" spans="1:6" x14ac:dyDescent="0.3">
      <c r="A27" s="32" t="s">
        <v>982</v>
      </c>
      <c r="B27">
        <v>-2.8875568199999999</v>
      </c>
      <c r="C27">
        <v>-2.8866310999999998</v>
      </c>
      <c r="E27" s="29">
        <f t="shared" si="0"/>
        <v>-9.2572000000012977E-4</v>
      </c>
      <c r="F27" s="30">
        <v>42684</v>
      </c>
    </row>
    <row r="28" spans="1:6" x14ac:dyDescent="0.3">
      <c r="A28" s="32" t="s">
        <v>983</v>
      </c>
      <c r="B28">
        <v>-4.2021924799999999</v>
      </c>
      <c r="C28">
        <v>-1.7248532000000001</v>
      </c>
      <c r="E28" s="29">
        <f t="shared" si="0"/>
        <v>-2.4773392799999998</v>
      </c>
      <c r="F28" s="30">
        <v>42685</v>
      </c>
    </row>
    <row r="29" spans="1:6" x14ac:dyDescent="0.3">
      <c r="A29" s="32" t="s">
        <v>984</v>
      </c>
      <c r="B29">
        <v>-4.3953212400000004</v>
      </c>
      <c r="C29">
        <v>-0.44128539999999999</v>
      </c>
      <c r="E29" s="29">
        <f t="shared" si="0"/>
        <v>-3.9540358400000004</v>
      </c>
      <c r="F29" s="30">
        <v>42686</v>
      </c>
    </row>
    <row r="30" spans="1:6" x14ac:dyDescent="0.3">
      <c r="A30" s="32" t="s">
        <v>985</v>
      </c>
      <c r="B30">
        <v>-3.87410744</v>
      </c>
      <c r="C30">
        <v>-0.1091342</v>
      </c>
      <c r="E30" s="29">
        <f t="shared" si="0"/>
        <v>-3.7649732399999998</v>
      </c>
      <c r="F30" s="30">
        <v>42687</v>
      </c>
    </row>
    <row r="31" spans="1:6" x14ac:dyDescent="0.3">
      <c r="A31" s="32" t="s">
        <v>986</v>
      </c>
      <c r="B31">
        <v>-2.0258942900000001</v>
      </c>
      <c r="C31">
        <v>-0.30006480000000002</v>
      </c>
      <c r="E31" s="29">
        <f t="shared" si="0"/>
        <v>-1.7258294900000002</v>
      </c>
      <c r="F31" s="30">
        <v>42688</v>
      </c>
    </row>
    <row r="32" spans="1:6" x14ac:dyDescent="0.3">
      <c r="A32" s="32" t="s">
        <v>987</v>
      </c>
      <c r="B32">
        <v>-1.5312558300000001</v>
      </c>
      <c r="C32">
        <v>-1.1416326999999999</v>
      </c>
      <c r="E32" s="29">
        <f t="shared" si="0"/>
        <v>-0.38962313000000015</v>
      </c>
      <c r="F32" s="30">
        <v>42689</v>
      </c>
    </row>
    <row r="33" spans="1:6" x14ac:dyDescent="0.3">
      <c r="A33" s="32" t="s">
        <v>988</v>
      </c>
      <c r="B33">
        <v>-2.2677041999999998</v>
      </c>
      <c r="C33">
        <v>-1.5847988</v>
      </c>
      <c r="E33" s="29">
        <f t="shared" si="0"/>
        <v>-0.68290539999999988</v>
      </c>
      <c r="F33" s="30">
        <v>42690</v>
      </c>
    </row>
    <row r="34" spans="1:6" x14ac:dyDescent="0.3">
      <c r="A34" s="32" t="s">
        <v>989</v>
      </c>
      <c r="B34">
        <v>-1.4887813299999999</v>
      </c>
      <c r="C34">
        <v>-0.3132722</v>
      </c>
      <c r="E34" s="29">
        <f t="shared" si="0"/>
        <v>-1.17550913</v>
      </c>
      <c r="F34" s="30">
        <v>42691</v>
      </c>
    </row>
    <row r="35" spans="1:6" x14ac:dyDescent="0.3">
      <c r="A35" s="32" t="s">
        <v>990</v>
      </c>
      <c r="B35">
        <v>-0.73248252000000003</v>
      </c>
      <c r="C35">
        <v>0.61445970000000005</v>
      </c>
      <c r="E35" s="29">
        <f t="shared" si="0"/>
        <v>-1.3469422200000001</v>
      </c>
      <c r="F35" s="30">
        <v>42692</v>
      </c>
    </row>
    <row r="36" spans="1:6" x14ac:dyDescent="0.3">
      <c r="A36" s="32" t="s">
        <v>991</v>
      </c>
      <c r="B36">
        <v>0.70623080000000005</v>
      </c>
      <c r="C36">
        <v>-1.5748420999999999</v>
      </c>
      <c r="E36" s="29">
        <f t="shared" si="0"/>
        <v>2.2810728999999998</v>
      </c>
      <c r="F36" s="30">
        <v>42693</v>
      </c>
    </row>
    <row r="37" spans="1:6" x14ac:dyDescent="0.3">
      <c r="A37" s="32" t="s">
        <v>992</v>
      </c>
      <c r="B37">
        <v>-0.27073437</v>
      </c>
      <c r="C37">
        <v>-1.6076010000000001</v>
      </c>
      <c r="E37" s="29">
        <f t="shared" si="0"/>
        <v>1.3368666300000001</v>
      </c>
      <c r="F37" s="30">
        <v>42694</v>
      </c>
    </row>
    <row r="38" spans="1:6" x14ac:dyDescent="0.3">
      <c r="A38" s="32" t="s">
        <v>993</v>
      </c>
      <c r="B38">
        <v>0.57312607000000004</v>
      </c>
      <c r="C38">
        <v>-3.9594923999999998</v>
      </c>
      <c r="E38" s="29">
        <f t="shared" si="0"/>
        <v>4.5326184700000001</v>
      </c>
      <c r="F38" s="30">
        <v>42695</v>
      </c>
    </row>
    <row r="39" spans="1:6" x14ac:dyDescent="0.3">
      <c r="A39" s="32" t="s">
        <v>994</v>
      </c>
      <c r="B39">
        <v>0.73079912999999996</v>
      </c>
      <c r="C39">
        <v>-2.6576556999999998</v>
      </c>
      <c r="E39" s="29">
        <f t="shared" si="0"/>
        <v>3.3884548299999997</v>
      </c>
      <c r="F39" s="30">
        <v>42696</v>
      </c>
    </row>
    <row r="40" spans="1:6" x14ac:dyDescent="0.3">
      <c r="A40" s="32" t="s">
        <v>995</v>
      </c>
      <c r="B40">
        <v>0.16294639</v>
      </c>
      <c r="C40">
        <v>-2.2533916999999999</v>
      </c>
      <c r="E40" s="29">
        <f t="shared" si="0"/>
        <v>2.41633809</v>
      </c>
      <c r="F40" s="30">
        <v>42697</v>
      </c>
    </row>
    <row r="41" spans="1:6" x14ac:dyDescent="0.3">
      <c r="A41" s="32" t="s">
        <v>996</v>
      </c>
      <c r="B41">
        <v>0.95785883000000005</v>
      </c>
      <c r="C41">
        <v>-2.5464696</v>
      </c>
      <c r="E41" s="29">
        <f t="shared" si="0"/>
        <v>3.5043284300000002</v>
      </c>
      <c r="F41" s="30">
        <v>42698</v>
      </c>
    </row>
    <row r="42" spans="1:6" x14ac:dyDescent="0.3">
      <c r="A42" s="32" t="s">
        <v>997</v>
      </c>
      <c r="B42">
        <v>-0.68874970000000002</v>
      </c>
      <c r="C42">
        <v>-1.8728404999999999</v>
      </c>
      <c r="E42" s="29">
        <f t="shared" si="0"/>
        <v>1.1840907999999999</v>
      </c>
      <c r="F42" s="30">
        <v>42699</v>
      </c>
    </row>
    <row r="43" spans="1:6" x14ac:dyDescent="0.3">
      <c r="A43" s="32" t="s">
        <v>998</v>
      </c>
      <c r="B43">
        <v>2.1819246799999998</v>
      </c>
      <c r="C43">
        <v>-2.3589883999999999</v>
      </c>
      <c r="E43" s="29">
        <f t="shared" si="0"/>
        <v>4.5409130799999993</v>
      </c>
      <c r="F43" s="30">
        <v>42700</v>
      </c>
    </row>
    <row r="44" spans="1:6" x14ac:dyDescent="0.3">
      <c r="A44" s="32" t="s">
        <v>999</v>
      </c>
      <c r="B44">
        <v>2.1415644199999999</v>
      </c>
      <c r="C44">
        <v>-0.53242290000000003</v>
      </c>
      <c r="E44" s="29">
        <f t="shared" si="0"/>
        <v>2.6739873200000002</v>
      </c>
      <c r="F44" s="30">
        <v>42701</v>
      </c>
    </row>
    <row r="45" spans="1:6" x14ac:dyDescent="0.3">
      <c r="A45" s="32" t="s">
        <v>1000</v>
      </c>
      <c r="B45">
        <v>0.1631399</v>
      </c>
      <c r="C45">
        <v>-3.4488523999999998</v>
      </c>
      <c r="E45" s="29">
        <f t="shared" si="0"/>
        <v>3.6119922999999998</v>
      </c>
      <c r="F45" s="30">
        <v>42702</v>
      </c>
    </row>
    <row r="46" spans="1:6" x14ac:dyDescent="0.3">
      <c r="A46" s="32" t="s">
        <v>1001</v>
      </c>
      <c r="B46">
        <v>0.64096896999999997</v>
      </c>
      <c r="C46">
        <v>-3.4491211000000002</v>
      </c>
      <c r="E46" s="29">
        <f t="shared" si="0"/>
        <v>4.0900900700000005</v>
      </c>
      <c r="F46" s="30">
        <v>42703</v>
      </c>
    </row>
    <row r="47" spans="1:6" x14ac:dyDescent="0.3">
      <c r="A47" s="32" t="s">
        <v>1002</v>
      </c>
      <c r="B47">
        <v>-1.310208E-2</v>
      </c>
      <c r="C47">
        <v>-3.7256703999999998</v>
      </c>
      <c r="E47" s="29">
        <f t="shared" si="0"/>
        <v>3.7125683199999999</v>
      </c>
      <c r="F47" s="30">
        <v>42704</v>
      </c>
    </row>
    <row r="48" spans="1:6" x14ac:dyDescent="0.3">
      <c r="A48" s="32" t="s">
        <v>1003</v>
      </c>
      <c r="B48">
        <v>0.84199484000000002</v>
      </c>
      <c r="C48">
        <v>-5.0179995999999996</v>
      </c>
      <c r="E48" s="29">
        <f t="shared" si="0"/>
        <v>5.8599944399999995</v>
      </c>
      <c r="F48" s="30">
        <v>42705</v>
      </c>
    </row>
    <row r="49" spans="1:6" x14ac:dyDescent="0.3">
      <c r="A49" s="32" t="s">
        <v>1004</v>
      </c>
      <c r="B49">
        <v>-0.73752258999999998</v>
      </c>
      <c r="C49">
        <v>-5.7434481000000002</v>
      </c>
      <c r="E49" s="29">
        <f t="shared" si="0"/>
        <v>5.00592551</v>
      </c>
      <c r="F49" s="30">
        <v>42706</v>
      </c>
    </row>
    <row r="50" spans="1:6" x14ac:dyDescent="0.3">
      <c r="A50" s="32" t="s">
        <v>1005</v>
      </c>
      <c r="B50">
        <v>-2.0188421399999998</v>
      </c>
      <c r="C50">
        <v>-5.8813424000000003</v>
      </c>
      <c r="E50" s="29">
        <f t="shared" si="0"/>
        <v>3.8625002600000005</v>
      </c>
      <c r="F50" s="30">
        <v>42707</v>
      </c>
    </row>
    <row r="51" spans="1:6" x14ac:dyDescent="0.3">
      <c r="A51" s="32" t="s">
        <v>1006</v>
      </c>
      <c r="B51">
        <v>-1.57466906</v>
      </c>
      <c r="C51">
        <v>-5.1832305999999999</v>
      </c>
      <c r="E51" s="29">
        <f t="shared" si="0"/>
        <v>3.6085615400000002</v>
      </c>
      <c r="F51" s="30">
        <v>42708</v>
      </c>
    </row>
    <row r="52" spans="1:6" x14ac:dyDescent="0.3">
      <c r="A52" s="32" t="s">
        <v>1007</v>
      </c>
      <c r="B52">
        <v>-1.8255283600000001</v>
      </c>
      <c r="C52">
        <v>-5.9470841999999999</v>
      </c>
      <c r="E52" s="29">
        <f t="shared" si="0"/>
        <v>4.1215558400000001</v>
      </c>
      <c r="F52" s="30">
        <v>42709</v>
      </c>
    </row>
    <row r="53" spans="1:6" x14ac:dyDescent="0.3">
      <c r="A53" s="32" t="s">
        <v>1008</v>
      </c>
      <c r="B53">
        <v>-2.05028312</v>
      </c>
      <c r="C53">
        <v>-5.7439043999999999</v>
      </c>
      <c r="E53" s="29">
        <f t="shared" si="0"/>
        <v>3.6936212799999999</v>
      </c>
      <c r="F53" s="30">
        <v>42710</v>
      </c>
    </row>
    <row r="54" spans="1:6" x14ac:dyDescent="0.3">
      <c r="A54" s="32" t="s">
        <v>1009</v>
      </c>
      <c r="B54">
        <v>-3.3750337899999998</v>
      </c>
      <c r="C54">
        <v>-4.7086509999999997</v>
      </c>
      <c r="E54" s="29">
        <f t="shared" si="0"/>
        <v>1.3336172099999999</v>
      </c>
      <c r="F54" s="30">
        <v>42711</v>
      </c>
    </row>
    <row r="55" spans="1:6" x14ac:dyDescent="0.3">
      <c r="A55" s="32" t="s">
        <v>1010</v>
      </c>
      <c r="B55">
        <v>-4.8217178199999999</v>
      </c>
      <c r="C55">
        <v>-5.8018548000000001</v>
      </c>
      <c r="E55" s="29">
        <f t="shared" si="0"/>
        <v>0.98013698000000016</v>
      </c>
      <c r="F55" s="30">
        <v>42712</v>
      </c>
    </row>
    <row r="56" spans="1:6" x14ac:dyDescent="0.3">
      <c r="A56" s="32" t="s">
        <v>1011</v>
      </c>
      <c r="B56">
        <v>-5.30607396</v>
      </c>
      <c r="C56">
        <v>-7.5289687000000001</v>
      </c>
      <c r="E56" s="29">
        <f t="shared" si="0"/>
        <v>2.2228947400000001</v>
      </c>
      <c r="F56" s="30">
        <v>42713</v>
      </c>
    </row>
    <row r="57" spans="1:6" x14ac:dyDescent="0.3">
      <c r="A57" s="32" t="s">
        <v>1012</v>
      </c>
      <c r="B57">
        <v>-6.47063802</v>
      </c>
      <c r="C57">
        <v>-6.6733691999999998</v>
      </c>
      <c r="E57" s="29">
        <f t="shared" si="0"/>
        <v>0.20273117999999979</v>
      </c>
      <c r="F57" s="30">
        <v>42714</v>
      </c>
    </row>
    <row r="58" spans="1:6" x14ac:dyDescent="0.3">
      <c r="A58" s="32" t="s">
        <v>1013</v>
      </c>
      <c r="B58">
        <v>-8.0533140099999994</v>
      </c>
      <c r="C58">
        <v>-6.1152844000000002</v>
      </c>
      <c r="E58" s="29">
        <f t="shared" si="0"/>
        <v>-1.9380296099999992</v>
      </c>
      <c r="F58" s="30">
        <v>42715</v>
      </c>
    </row>
    <row r="59" spans="1:6" x14ac:dyDescent="0.3">
      <c r="A59" s="32" t="s">
        <v>1014</v>
      </c>
      <c r="B59">
        <v>-7.2959843099999997</v>
      </c>
      <c r="C59">
        <v>-6.0453421000000001</v>
      </c>
      <c r="E59" s="29">
        <f t="shared" si="0"/>
        <v>-1.2506422099999996</v>
      </c>
      <c r="F59" s="30">
        <v>42716</v>
      </c>
    </row>
    <row r="60" spans="1:6" x14ac:dyDescent="0.3">
      <c r="A60" s="32" t="s">
        <v>1015</v>
      </c>
      <c r="B60">
        <v>-7.3794704600000003</v>
      </c>
      <c r="C60">
        <v>-6.1416396000000004</v>
      </c>
      <c r="E60" s="29">
        <f t="shared" si="0"/>
        <v>-1.2378308599999999</v>
      </c>
      <c r="F60" s="30">
        <v>42717</v>
      </c>
    </row>
    <row r="61" spans="1:6" x14ac:dyDescent="0.3">
      <c r="A61" s="32" t="s">
        <v>1016</v>
      </c>
      <c r="B61">
        <v>-8.7954389299999995</v>
      </c>
      <c r="C61">
        <v>-6.0511692999999998</v>
      </c>
      <c r="E61" s="29">
        <f t="shared" si="0"/>
        <v>-2.7442696299999998</v>
      </c>
      <c r="F61" s="30">
        <v>42718</v>
      </c>
    </row>
    <row r="62" spans="1:6" x14ac:dyDescent="0.3">
      <c r="A62" s="32" t="s">
        <v>1017</v>
      </c>
      <c r="B62">
        <v>-9.6376980200000002</v>
      </c>
      <c r="C62">
        <v>-7.8726935999999998</v>
      </c>
      <c r="E62" s="29">
        <f t="shared" si="0"/>
        <v>-1.7650044200000004</v>
      </c>
      <c r="F62" s="30">
        <v>42719</v>
      </c>
    </row>
    <row r="63" spans="1:6" x14ac:dyDescent="0.3">
      <c r="A63" s="32" t="s">
        <v>1018</v>
      </c>
      <c r="B63">
        <v>-10.65353635</v>
      </c>
      <c r="C63">
        <v>-7.5493516999999999</v>
      </c>
      <c r="E63" s="29">
        <f t="shared" si="0"/>
        <v>-3.1041846499999997</v>
      </c>
      <c r="F63" s="30">
        <v>42720</v>
      </c>
    </row>
    <row r="64" spans="1:6" x14ac:dyDescent="0.3">
      <c r="A64" s="32" t="s">
        <v>1019</v>
      </c>
      <c r="B64">
        <v>-11.135858020000001</v>
      </c>
      <c r="C64">
        <v>-9.9596146000000001</v>
      </c>
      <c r="E64" s="29">
        <f t="shared" si="0"/>
        <v>-1.1762434200000005</v>
      </c>
      <c r="F64" s="30">
        <v>42721</v>
      </c>
    </row>
    <row r="65" spans="1:6" x14ac:dyDescent="0.3">
      <c r="A65" s="32" t="s">
        <v>1020</v>
      </c>
      <c r="B65">
        <v>-11.79245085</v>
      </c>
      <c r="C65">
        <v>-9.8564409000000008</v>
      </c>
      <c r="E65" s="29">
        <f t="shared" si="0"/>
        <v>-1.936009949999999</v>
      </c>
      <c r="F65" s="30">
        <v>42722</v>
      </c>
    </row>
    <row r="66" spans="1:6" x14ac:dyDescent="0.3">
      <c r="A66" s="32" t="s">
        <v>1021</v>
      </c>
      <c r="B66">
        <v>-11.70761081</v>
      </c>
      <c r="C66">
        <v>-9.3536233000000006</v>
      </c>
      <c r="E66" s="29">
        <f t="shared" si="0"/>
        <v>-2.3539875099999996</v>
      </c>
      <c r="F66" s="30">
        <v>42723</v>
      </c>
    </row>
    <row r="67" spans="1:6" x14ac:dyDescent="0.3">
      <c r="A67" s="32" t="s">
        <v>1022</v>
      </c>
      <c r="B67">
        <v>-11.27015014</v>
      </c>
      <c r="C67">
        <v>-9.7491026000000005</v>
      </c>
      <c r="E67" s="29">
        <f t="shared" ref="E67:E130" si="1">B67-C67</f>
        <v>-1.5210475399999996</v>
      </c>
      <c r="F67" s="30">
        <v>42724</v>
      </c>
    </row>
    <row r="68" spans="1:6" x14ac:dyDescent="0.3">
      <c r="A68" s="32" t="s">
        <v>1023</v>
      </c>
      <c r="B68">
        <v>-11.56809762</v>
      </c>
      <c r="C68">
        <v>-8.8007749999999998</v>
      </c>
      <c r="E68" s="29">
        <f t="shared" si="1"/>
        <v>-2.7673226199999998</v>
      </c>
      <c r="F68" s="30">
        <v>42725</v>
      </c>
    </row>
    <row r="69" spans="1:6" x14ac:dyDescent="0.3">
      <c r="A69" s="32" t="s">
        <v>1024</v>
      </c>
      <c r="B69">
        <v>-13.03935081</v>
      </c>
      <c r="C69">
        <v>-8.5894712000000002</v>
      </c>
      <c r="E69" s="29">
        <f t="shared" si="1"/>
        <v>-4.44987961</v>
      </c>
      <c r="F69" s="30">
        <v>42726</v>
      </c>
    </row>
    <row r="70" spans="1:6" x14ac:dyDescent="0.3">
      <c r="A70" s="32" t="s">
        <v>1025</v>
      </c>
      <c r="B70">
        <v>-10.725322070000001</v>
      </c>
      <c r="C70">
        <v>-9.8287861000000003</v>
      </c>
      <c r="E70" s="29">
        <f t="shared" si="1"/>
        <v>-0.8965359700000004</v>
      </c>
      <c r="F70" s="30">
        <v>42727</v>
      </c>
    </row>
    <row r="71" spans="1:6" x14ac:dyDescent="0.3">
      <c r="A71" s="32" t="s">
        <v>1026</v>
      </c>
      <c r="B71">
        <v>-12.249915550000001</v>
      </c>
      <c r="C71">
        <v>-10.6144631</v>
      </c>
      <c r="E71" s="29">
        <f t="shared" si="1"/>
        <v>-1.6354524500000007</v>
      </c>
      <c r="F71" s="30">
        <v>42728</v>
      </c>
    </row>
    <row r="72" spans="1:6" x14ac:dyDescent="0.3">
      <c r="A72" s="32" t="s">
        <v>1027</v>
      </c>
      <c r="B72">
        <v>-12.15629947</v>
      </c>
      <c r="C72">
        <v>-10.3027642</v>
      </c>
      <c r="E72" s="29">
        <f t="shared" si="1"/>
        <v>-1.8535352700000001</v>
      </c>
      <c r="F72" s="30">
        <v>42729</v>
      </c>
    </row>
    <row r="73" spans="1:6" x14ac:dyDescent="0.3">
      <c r="A73" s="32" t="s">
        <v>1028</v>
      </c>
      <c r="B73">
        <v>-14.0652759</v>
      </c>
      <c r="C73">
        <v>-11.5339975</v>
      </c>
      <c r="E73" s="29">
        <f t="shared" si="1"/>
        <v>-2.5312783999999997</v>
      </c>
      <c r="F73" s="30">
        <v>42730</v>
      </c>
    </row>
    <row r="74" spans="1:6" x14ac:dyDescent="0.3">
      <c r="A74" s="32" t="s">
        <v>1029</v>
      </c>
      <c r="B74">
        <v>-14.860915930000001</v>
      </c>
      <c r="C74">
        <v>-11.634922599999999</v>
      </c>
      <c r="E74" s="29">
        <f t="shared" si="1"/>
        <v>-3.2259933300000014</v>
      </c>
      <c r="F74" s="30">
        <v>42731</v>
      </c>
    </row>
    <row r="75" spans="1:6" x14ac:dyDescent="0.3">
      <c r="A75" s="32" t="s">
        <v>1030</v>
      </c>
      <c r="B75">
        <v>-16.57972393</v>
      </c>
      <c r="C75">
        <v>-13.535917700000001</v>
      </c>
      <c r="E75" s="29">
        <f t="shared" si="1"/>
        <v>-3.0438062299999995</v>
      </c>
      <c r="F75" s="30">
        <v>42732</v>
      </c>
    </row>
    <row r="76" spans="1:6" x14ac:dyDescent="0.3">
      <c r="A76" s="32" t="s">
        <v>1031</v>
      </c>
      <c r="B76">
        <v>-16.17433831</v>
      </c>
      <c r="C76">
        <v>-11.260571799999999</v>
      </c>
      <c r="E76" s="29">
        <f t="shared" si="1"/>
        <v>-4.9137665100000003</v>
      </c>
      <c r="F76" s="30">
        <v>42733</v>
      </c>
    </row>
    <row r="77" spans="1:6" x14ac:dyDescent="0.3">
      <c r="A77" s="32" t="s">
        <v>1032</v>
      </c>
      <c r="B77">
        <v>-17.124179259999998</v>
      </c>
      <c r="C77">
        <v>-11.157195700000001</v>
      </c>
      <c r="E77" s="29">
        <f t="shared" si="1"/>
        <v>-5.9669835599999974</v>
      </c>
      <c r="F77" s="30">
        <v>42734</v>
      </c>
    </row>
    <row r="78" spans="1:6" x14ac:dyDescent="0.3">
      <c r="A78" s="32" t="s">
        <v>1033</v>
      </c>
      <c r="B78">
        <v>-16.662118939999999</v>
      </c>
      <c r="C78">
        <v>-11.8163202</v>
      </c>
      <c r="E78" s="29">
        <f t="shared" si="1"/>
        <v>-4.8457987399999993</v>
      </c>
      <c r="F78" s="30">
        <v>42735</v>
      </c>
    </row>
    <row r="79" spans="1:6" x14ac:dyDescent="0.3">
      <c r="A79" s="32" t="s">
        <v>1034</v>
      </c>
      <c r="B79">
        <v>-16.545835929999999</v>
      </c>
      <c r="C79">
        <v>-11.6349427</v>
      </c>
      <c r="E79" s="29">
        <f t="shared" si="1"/>
        <v>-4.9108932299999992</v>
      </c>
      <c r="F79" s="30">
        <v>42736</v>
      </c>
    </row>
    <row r="80" spans="1:6" x14ac:dyDescent="0.3">
      <c r="A80" s="32" t="s">
        <v>1035</v>
      </c>
      <c r="B80">
        <v>-17.362070639999999</v>
      </c>
      <c r="C80">
        <v>-12.0039429</v>
      </c>
      <c r="E80" s="29">
        <f t="shared" si="1"/>
        <v>-5.3581277399999987</v>
      </c>
      <c r="F80" s="30">
        <v>42737</v>
      </c>
    </row>
    <row r="81" spans="1:6" x14ac:dyDescent="0.3">
      <c r="A81" s="32" t="s">
        <v>1036</v>
      </c>
      <c r="B81">
        <v>-17.779670540000001</v>
      </c>
      <c r="C81">
        <v>-13.5289289</v>
      </c>
      <c r="E81" s="29">
        <f t="shared" si="1"/>
        <v>-4.2507416400000011</v>
      </c>
      <c r="F81" s="30">
        <v>42738</v>
      </c>
    </row>
    <row r="82" spans="1:6" x14ac:dyDescent="0.3">
      <c r="A82" s="32" t="s">
        <v>1037</v>
      </c>
      <c r="B82">
        <v>-17.095431130000001</v>
      </c>
      <c r="C82">
        <v>-15.095208299999999</v>
      </c>
      <c r="E82" s="29">
        <f t="shared" si="1"/>
        <v>-2.000222830000002</v>
      </c>
      <c r="F82" s="30">
        <v>42739</v>
      </c>
    </row>
    <row r="83" spans="1:6" x14ac:dyDescent="0.3">
      <c r="A83" s="32" t="s">
        <v>1038</v>
      </c>
      <c r="B83">
        <v>-17.976272869999999</v>
      </c>
      <c r="C83">
        <v>-15.284653799999999</v>
      </c>
      <c r="E83" s="29">
        <f t="shared" si="1"/>
        <v>-2.6916190699999998</v>
      </c>
      <c r="F83" s="30">
        <v>42740</v>
      </c>
    </row>
    <row r="84" spans="1:6" x14ac:dyDescent="0.3">
      <c r="A84" s="32" t="s">
        <v>1039</v>
      </c>
      <c r="B84">
        <v>-18.062371209999998</v>
      </c>
      <c r="C84">
        <v>-15.4511941</v>
      </c>
      <c r="E84" s="29">
        <f t="shared" si="1"/>
        <v>-2.6111771099999981</v>
      </c>
      <c r="F84" s="30">
        <v>42741</v>
      </c>
    </row>
    <row r="85" spans="1:6" x14ac:dyDescent="0.3">
      <c r="A85" s="32" t="s">
        <v>1040</v>
      </c>
      <c r="B85">
        <v>-19.632516200000001</v>
      </c>
      <c r="C85">
        <v>-13.707710000000001</v>
      </c>
      <c r="E85" s="29">
        <f t="shared" si="1"/>
        <v>-5.9248062000000008</v>
      </c>
      <c r="F85" s="30">
        <v>42742</v>
      </c>
    </row>
    <row r="86" spans="1:6" x14ac:dyDescent="0.3">
      <c r="A86" s="32" t="s">
        <v>1041</v>
      </c>
      <c r="B86">
        <v>-19.272646120000001</v>
      </c>
      <c r="C86">
        <v>-13.2610612</v>
      </c>
      <c r="E86" s="29">
        <f t="shared" si="1"/>
        <v>-6.0115849200000007</v>
      </c>
      <c r="F86" s="30">
        <v>42743</v>
      </c>
    </row>
    <row r="87" spans="1:6" x14ac:dyDescent="0.3">
      <c r="A87" s="32" t="s">
        <v>1042</v>
      </c>
      <c r="B87">
        <v>-20.17239421</v>
      </c>
      <c r="C87">
        <v>-14.7034463</v>
      </c>
      <c r="E87" s="29">
        <f t="shared" si="1"/>
        <v>-5.4689479100000007</v>
      </c>
      <c r="F87" s="30">
        <v>42744</v>
      </c>
    </row>
    <row r="88" spans="1:6" x14ac:dyDescent="0.3">
      <c r="A88" s="32" t="s">
        <v>1043</v>
      </c>
      <c r="B88">
        <v>-21.33146035</v>
      </c>
      <c r="C88">
        <v>-14.3093623</v>
      </c>
      <c r="E88" s="29">
        <f t="shared" si="1"/>
        <v>-7.0220980500000003</v>
      </c>
      <c r="F88" s="30">
        <v>42745</v>
      </c>
    </row>
    <row r="89" spans="1:6" x14ac:dyDescent="0.3">
      <c r="A89" s="32" t="s">
        <v>1044</v>
      </c>
      <c r="B89">
        <v>-21.280637479999999</v>
      </c>
      <c r="C89">
        <v>-15.276780199999999</v>
      </c>
      <c r="E89" s="29">
        <f t="shared" si="1"/>
        <v>-6.0038572800000001</v>
      </c>
      <c r="F89" s="30">
        <v>42746</v>
      </c>
    </row>
    <row r="90" spans="1:6" x14ac:dyDescent="0.3">
      <c r="A90" s="32" t="s">
        <v>1045</v>
      </c>
      <c r="B90">
        <v>-21.473130619999999</v>
      </c>
      <c r="C90">
        <v>-15.2528761</v>
      </c>
      <c r="E90" s="29">
        <f t="shared" si="1"/>
        <v>-6.2202545199999992</v>
      </c>
      <c r="F90" s="30">
        <v>42747</v>
      </c>
    </row>
    <row r="91" spans="1:6" x14ac:dyDescent="0.3">
      <c r="A91" s="32" t="s">
        <v>1046</v>
      </c>
      <c r="B91">
        <v>-20.42832971</v>
      </c>
      <c r="C91">
        <v>-16.457209899999999</v>
      </c>
      <c r="E91" s="29">
        <f t="shared" si="1"/>
        <v>-3.9711198100000011</v>
      </c>
      <c r="F91" s="30">
        <v>42748</v>
      </c>
    </row>
    <row r="92" spans="1:6" x14ac:dyDescent="0.3">
      <c r="A92" s="32" t="s">
        <v>1047</v>
      </c>
      <c r="B92">
        <v>-21.082664780000002</v>
      </c>
      <c r="C92">
        <v>-16.1609208</v>
      </c>
      <c r="E92" s="29">
        <f t="shared" si="1"/>
        <v>-4.9217439800000022</v>
      </c>
      <c r="F92" s="30">
        <v>42749</v>
      </c>
    </row>
    <row r="93" spans="1:6" x14ac:dyDescent="0.3">
      <c r="A93" s="32" t="s">
        <v>1048</v>
      </c>
      <c r="B93">
        <v>-22.075810069999999</v>
      </c>
      <c r="C93">
        <v>-17.328024599999999</v>
      </c>
      <c r="E93" s="29">
        <f t="shared" si="1"/>
        <v>-4.7477854700000002</v>
      </c>
      <c r="F93" s="30">
        <v>42750</v>
      </c>
    </row>
    <row r="94" spans="1:6" x14ac:dyDescent="0.3">
      <c r="A94" s="32" t="s">
        <v>1049</v>
      </c>
      <c r="B94">
        <v>-21.328156839999998</v>
      </c>
      <c r="C94">
        <v>-16.3850221</v>
      </c>
      <c r="E94" s="29">
        <f t="shared" si="1"/>
        <v>-4.9431347399999979</v>
      </c>
      <c r="F94" s="30">
        <v>42751</v>
      </c>
    </row>
    <row r="95" spans="1:6" x14ac:dyDescent="0.3">
      <c r="A95" s="32" t="s">
        <v>1050</v>
      </c>
      <c r="B95">
        <v>-20.206291820000001</v>
      </c>
      <c r="C95">
        <v>-16.8077194</v>
      </c>
      <c r="E95" s="29">
        <f t="shared" si="1"/>
        <v>-3.3985724200000007</v>
      </c>
      <c r="F95" s="30">
        <v>42752</v>
      </c>
    </row>
    <row r="96" spans="1:6" x14ac:dyDescent="0.3">
      <c r="A96" s="32" t="s">
        <v>1051</v>
      </c>
      <c r="B96">
        <v>-19.760476390000001</v>
      </c>
      <c r="C96">
        <v>-16.997006599999999</v>
      </c>
      <c r="E96" s="29">
        <f t="shared" si="1"/>
        <v>-2.763469790000002</v>
      </c>
      <c r="F96" s="30">
        <v>42753</v>
      </c>
    </row>
    <row r="97" spans="1:6" x14ac:dyDescent="0.3">
      <c r="A97" s="32" t="s">
        <v>1052</v>
      </c>
      <c r="B97">
        <v>-19.247445320000001</v>
      </c>
      <c r="C97">
        <v>-16.383761799999998</v>
      </c>
      <c r="E97" s="29">
        <f t="shared" si="1"/>
        <v>-2.8636835200000021</v>
      </c>
      <c r="F97" s="30">
        <v>42754</v>
      </c>
    </row>
    <row r="98" spans="1:6" x14ac:dyDescent="0.3">
      <c r="A98" s="32" t="s">
        <v>1053</v>
      </c>
      <c r="B98">
        <v>-20.651176159999999</v>
      </c>
      <c r="C98">
        <v>-16.202204500000001</v>
      </c>
      <c r="E98" s="29">
        <f t="shared" si="1"/>
        <v>-4.448971659999998</v>
      </c>
      <c r="F98" s="30">
        <v>42755</v>
      </c>
    </row>
    <row r="99" spans="1:6" x14ac:dyDescent="0.3">
      <c r="A99" s="32" t="s">
        <v>1054</v>
      </c>
      <c r="B99">
        <v>-19.16895302</v>
      </c>
      <c r="C99">
        <v>-16.852417500000001</v>
      </c>
      <c r="E99" s="29">
        <f t="shared" si="1"/>
        <v>-2.3165355199999986</v>
      </c>
      <c r="F99" s="30">
        <v>42756</v>
      </c>
    </row>
    <row r="100" spans="1:6" x14ac:dyDescent="0.3">
      <c r="A100" s="32" t="s">
        <v>1055</v>
      </c>
      <c r="B100">
        <v>-19.19158766</v>
      </c>
      <c r="C100">
        <v>-17.164436599999998</v>
      </c>
      <c r="E100" s="29">
        <f t="shared" si="1"/>
        <v>-2.0271510600000013</v>
      </c>
      <c r="F100" s="30">
        <v>42757</v>
      </c>
    </row>
    <row r="101" spans="1:6" x14ac:dyDescent="0.3">
      <c r="A101" s="32" t="s">
        <v>1056</v>
      </c>
      <c r="B101">
        <v>-19.891459739999998</v>
      </c>
      <c r="C101">
        <v>-15.209600200000001</v>
      </c>
      <c r="E101" s="29">
        <f t="shared" si="1"/>
        <v>-4.6818595399999978</v>
      </c>
      <c r="F101" s="30">
        <v>42758</v>
      </c>
    </row>
    <row r="102" spans="1:6" x14ac:dyDescent="0.3">
      <c r="A102" s="32" t="s">
        <v>1057</v>
      </c>
      <c r="B102">
        <v>-19.706514940000002</v>
      </c>
      <c r="C102">
        <v>-15.989852900000001</v>
      </c>
      <c r="E102" s="29">
        <f t="shared" si="1"/>
        <v>-3.716662040000001</v>
      </c>
      <c r="F102" s="30">
        <v>42759</v>
      </c>
    </row>
    <row r="103" spans="1:6" x14ac:dyDescent="0.3">
      <c r="A103" s="32" t="s">
        <v>1058</v>
      </c>
      <c r="B103">
        <v>-19.688874030000001</v>
      </c>
      <c r="C103">
        <v>-15.3898195</v>
      </c>
      <c r="E103" s="29">
        <f t="shared" si="1"/>
        <v>-4.2990545300000012</v>
      </c>
      <c r="F103" s="30">
        <v>42760</v>
      </c>
    </row>
    <row r="104" spans="1:6" x14ac:dyDescent="0.3">
      <c r="A104" s="32" t="s">
        <v>1059</v>
      </c>
      <c r="B104">
        <v>-20.407325820000001</v>
      </c>
      <c r="C104">
        <v>-15.3321305</v>
      </c>
      <c r="E104" s="29">
        <f t="shared" si="1"/>
        <v>-5.0751953200000006</v>
      </c>
      <c r="F104" s="30">
        <v>42761</v>
      </c>
    </row>
    <row r="105" spans="1:6" x14ac:dyDescent="0.3">
      <c r="A105" s="32" t="s">
        <v>1060</v>
      </c>
      <c r="B105">
        <v>-19.154109609999999</v>
      </c>
      <c r="C105">
        <v>-15.776040200000001</v>
      </c>
      <c r="E105" s="29">
        <f t="shared" si="1"/>
        <v>-3.3780694099999984</v>
      </c>
      <c r="F105" s="30">
        <v>42762</v>
      </c>
    </row>
    <row r="106" spans="1:6" x14ac:dyDescent="0.3">
      <c r="A106" s="32" t="s">
        <v>1061</v>
      </c>
      <c r="B106">
        <v>-19.883014450000001</v>
      </c>
      <c r="C106">
        <v>-16.840017799999998</v>
      </c>
      <c r="E106" s="29">
        <f t="shared" si="1"/>
        <v>-3.0429966500000027</v>
      </c>
      <c r="F106" s="30">
        <v>42763</v>
      </c>
    </row>
    <row r="107" spans="1:6" x14ac:dyDescent="0.3">
      <c r="A107" s="32" t="s">
        <v>1062</v>
      </c>
      <c r="B107">
        <v>-19.178556579999999</v>
      </c>
      <c r="C107">
        <v>-16.814298900000001</v>
      </c>
      <c r="E107" s="29">
        <f t="shared" si="1"/>
        <v>-2.3642576799999979</v>
      </c>
      <c r="F107" s="30">
        <v>42764</v>
      </c>
    </row>
    <row r="108" spans="1:6" x14ac:dyDescent="0.3">
      <c r="A108" s="32" t="s">
        <v>1063</v>
      </c>
      <c r="B108">
        <v>-18.403935910000001</v>
      </c>
      <c r="C108">
        <v>-17.4297799</v>
      </c>
      <c r="E108" s="29">
        <f t="shared" si="1"/>
        <v>-0.97415601000000152</v>
      </c>
      <c r="F108" s="30">
        <v>42765</v>
      </c>
    </row>
    <row r="109" spans="1:6" x14ac:dyDescent="0.3">
      <c r="A109" s="32" t="s">
        <v>1064</v>
      </c>
      <c r="B109">
        <v>-18.418255039999998</v>
      </c>
      <c r="C109">
        <v>-17.570889699999999</v>
      </c>
      <c r="E109" s="29">
        <f t="shared" si="1"/>
        <v>-0.84736533999999963</v>
      </c>
      <c r="F109" s="30">
        <v>42766</v>
      </c>
    </row>
    <row r="110" spans="1:6" x14ac:dyDescent="0.3">
      <c r="A110" s="32" t="s">
        <v>1065</v>
      </c>
      <c r="B110">
        <v>-17.47835942</v>
      </c>
      <c r="C110">
        <v>-17.698716699999999</v>
      </c>
      <c r="E110" s="29">
        <f t="shared" si="1"/>
        <v>0.22035727999999821</v>
      </c>
      <c r="F110" s="30">
        <v>42767</v>
      </c>
    </row>
    <row r="111" spans="1:6" x14ac:dyDescent="0.3">
      <c r="A111" s="32" t="s">
        <v>1066</v>
      </c>
      <c r="B111">
        <v>-18.092131240000001</v>
      </c>
      <c r="C111">
        <v>-17.8294754</v>
      </c>
      <c r="E111" s="29">
        <f t="shared" si="1"/>
        <v>-0.26265584000000075</v>
      </c>
      <c r="F111" s="30">
        <v>42768</v>
      </c>
    </row>
    <row r="112" spans="1:6" x14ac:dyDescent="0.3">
      <c r="A112" s="32" t="s">
        <v>1067</v>
      </c>
      <c r="B112">
        <v>-19.423186749999999</v>
      </c>
      <c r="C112">
        <v>-16.469220400000001</v>
      </c>
      <c r="E112" s="29">
        <f t="shared" si="1"/>
        <v>-2.9539663499999982</v>
      </c>
      <c r="F112" s="30">
        <v>42769</v>
      </c>
    </row>
    <row r="113" spans="1:6" x14ac:dyDescent="0.3">
      <c r="A113" s="32" t="s">
        <v>1068</v>
      </c>
      <c r="B113">
        <v>-19.570481659999999</v>
      </c>
      <c r="C113">
        <v>-16.262337800000001</v>
      </c>
      <c r="E113" s="29">
        <f t="shared" si="1"/>
        <v>-3.3081438599999977</v>
      </c>
      <c r="F113" s="30">
        <v>42770</v>
      </c>
    </row>
    <row r="114" spans="1:6" x14ac:dyDescent="0.3">
      <c r="A114" s="32" t="s">
        <v>1069</v>
      </c>
      <c r="B114">
        <v>-20.829972489999999</v>
      </c>
      <c r="C114">
        <v>-16.224959299999998</v>
      </c>
      <c r="E114" s="29">
        <f t="shared" si="1"/>
        <v>-4.6050131900000011</v>
      </c>
      <c r="F114" s="30">
        <v>42771</v>
      </c>
    </row>
    <row r="115" spans="1:6" x14ac:dyDescent="0.3">
      <c r="A115" s="32" t="s">
        <v>1070</v>
      </c>
      <c r="B115">
        <v>-21.457286280000002</v>
      </c>
      <c r="C115">
        <v>-14.6540695</v>
      </c>
      <c r="E115" s="29">
        <f t="shared" si="1"/>
        <v>-6.8032167800000014</v>
      </c>
      <c r="F115" s="30">
        <v>42772</v>
      </c>
    </row>
    <row r="116" spans="1:6" x14ac:dyDescent="0.3">
      <c r="A116" s="32" t="s">
        <v>1071</v>
      </c>
      <c r="B116">
        <v>-19.758032579999998</v>
      </c>
      <c r="C116">
        <v>-15.067887300000001</v>
      </c>
      <c r="E116" s="29">
        <f t="shared" si="1"/>
        <v>-4.6901452799999976</v>
      </c>
      <c r="F116" s="30">
        <v>42773</v>
      </c>
    </row>
    <row r="117" spans="1:6" x14ac:dyDescent="0.3">
      <c r="A117" s="32" t="s">
        <v>1072</v>
      </c>
      <c r="B117">
        <v>-18.570933499999999</v>
      </c>
      <c r="C117">
        <v>-15.553909900000001</v>
      </c>
      <c r="E117" s="29">
        <f t="shared" si="1"/>
        <v>-3.0170235999999981</v>
      </c>
      <c r="F117" s="30">
        <v>42774</v>
      </c>
    </row>
    <row r="118" spans="1:6" x14ac:dyDescent="0.3">
      <c r="A118" s="32" t="s">
        <v>1073</v>
      </c>
      <c r="B118">
        <v>-19.73347184</v>
      </c>
      <c r="C118">
        <v>-14.007391</v>
      </c>
      <c r="E118" s="29">
        <f t="shared" si="1"/>
        <v>-5.7260808399999998</v>
      </c>
      <c r="F118" s="30">
        <v>42775</v>
      </c>
    </row>
    <row r="119" spans="1:6" x14ac:dyDescent="0.3">
      <c r="A119" s="32" t="s">
        <v>1074</v>
      </c>
      <c r="B119">
        <v>-20.845235299999999</v>
      </c>
      <c r="C119">
        <v>-15.020377099999999</v>
      </c>
      <c r="E119" s="29">
        <f t="shared" si="1"/>
        <v>-5.8248581999999995</v>
      </c>
      <c r="F119" s="30">
        <v>42776</v>
      </c>
    </row>
    <row r="120" spans="1:6" x14ac:dyDescent="0.3">
      <c r="A120" s="32" t="s">
        <v>1075</v>
      </c>
      <c r="B120">
        <v>-19.62397193</v>
      </c>
      <c r="C120">
        <v>-16.430812599999999</v>
      </c>
      <c r="E120" s="29">
        <f t="shared" si="1"/>
        <v>-3.1931593300000003</v>
      </c>
      <c r="F120" s="30">
        <v>42777</v>
      </c>
    </row>
    <row r="121" spans="1:6" x14ac:dyDescent="0.3">
      <c r="A121" s="32" t="s">
        <v>1076</v>
      </c>
      <c r="B121">
        <v>-20.338923919999999</v>
      </c>
      <c r="C121">
        <v>-16.519365400000002</v>
      </c>
      <c r="E121" s="29">
        <f t="shared" si="1"/>
        <v>-3.8195585199999975</v>
      </c>
      <c r="F121" s="30">
        <v>42778</v>
      </c>
    </row>
    <row r="122" spans="1:6" x14ac:dyDescent="0.3">
      <c r="A122" s="32" t="s">
        <v>1077</v>
      </c>
      <c r="B122">
        <v>-20.287590359999999</v>
      </c>
      <c r="C122">
        <v>-19.009781199999999</v>
      </c>
      <c r="E122" s="29">
        <f t="shared" si="1"/>
        <v>-1.2778091600000003</v>
      </c>
      <c r="F122" s="30">
        <v>42779</v>
      </c>
    </row>
    <row r="123" spans="1:6" x14ac:dyDescent="0.3">
      <c r="A123" s="32" t="s">
        <v>1078</v>
      </c>
      <c r="B123">
        <v>-20.340051460000002</v>
      </c>
      <c r="C123">
        <v>-19.233762299999999</v>
      </c>
      <c r="E123" s="29">
        <f t="shared" si="1"/>
        <v>-1.1062891600000029</v>
      </c>
      <c r="F123" s="30">
        <v>42780</v>
      </c>
    </row>
    <row r="124" spans="1:6" x14ac:dyDescent="0.3">
      <c r="A124" s="32" t="s">
        <v>1079</v>
      </c>
      <c r="B124">
        <v>-19.44797801</v>
      </c>
      <c r="C124">
        <v>-19.3249897</v>
      </c>
      <c r="E124" s="29">
        <f t="shared" si="1"/>
        <v>-0.12298831000000021</v>
      </c>
      <c r="F124" s="30">
        <v>42781</v>
      </c>
    </row>
    <row r="125" spans="1:6" x14ac:dyDescent="0.3">
      <c r="A125" s="32" t="s">
        <v>1080</v>
      </c>
      <c r="B125">
        <v>-19.096562389999999</v>
      </c>
      <c r="C125">
        <v>-18.108245400000001</v>
      </c>
      <c r="E125" s="29">
        <f t="shared" si="1"/>
        <v>-0.98831698999999773</v>
      </c>
      <c r="F125" s="30">
        <v>42782</v>
      </c>
    </row>
    <row r="126" spans="1:6" x14ac:dyDescent="0.3">
      <c r="A126" s="32" t="s">
        <v>1081</v>
      </c>
      <c r="B126">
        <v>-19.726582629999999</v>
      </c>
      <c r="C126">
        <v>-17.947754400000001</v>
      </c>
      <c r="E126" s="29">
        <f t="shared" si="1"/>
        <v>-1.7788282299999985</v>
      </c>
      <c r="F126" s="30">
        <v>42783</v>
      </c>
    </row>
    <row r="127" spans="1:6" x14ac:dyDescent="0.3">
      <c r="A127" s="32" t="s">
        <v>1082</v>
      </c>
      <c r="B127">
        <v>-20.018376060000001</v>
      </c>
      <c r="C127">
        <v>-16.899024399999998</v>
      </c>
      <c r="E127" s="29">
        <f t="shared" si="1"/>
        <v>-3.1193516600000031</v>
      </c>
      <c r="F127" s="30">
        <v>42784</v>
      </c>
    </row>
    <row r="128" spans="1:6" x14ac:dyDescent="0.3">
      <c r="A128" s="32" t="s">
        <v>1083</v>
      </c>
      <c r="B128">
        <v>-20.24420486</v>
      </c>
      <c r="C128">
        <v>-18.4488658</v>
      </c>
      <c r="E128" s="29">
        <f t="shared" si="1"/>
        <v>-1.7953390599999999</v>
      </c>
      <c r="F128" s="30">
        <v>42785</v>
      </c>
    </row>
    <row r="129" spans="1:6" x14ac:dyDescent="0.3">
      <c r="A129" s="32" t="s">
        <v>1084</v>
      </c>
      <c r="B129">
        <v>-21.178840879999999</v>
      </c>
      <c r="C129">
        <v>-17.0189816</v>
      </c>
      <c r="E129" s="29">
        <f t="shared" si="1"/>
        <v>-4.1598592799999992</v>
      </c>
      <c r="F129" s="30">
        <v>42786</v>
      </c>
    </row>
    <row r="130" spans="1:6" x14ac:dyDescent="0.3">
      <c r="A130" s="32" t="s">
        <v>1085</v>
      </c>
      <c r="B130">
        <v>-21.522310569999998</v>
      </c>
      <c r="C130">
        <v>-17.216241400000001</v>
      </c>
      <c r="E130" s="29">
        <f t="shared" si="1"/>
        <v>-4.3060691699999971</v>
      </c>
      <c r="F130" s="30">
        <v>42787</v>
      </c>
    </row>
    <row r="131" spans="1:6" x14ac:dyDescent="0.3">
      <c r="A131" s="32" t="s">
        <v>1086</v>
      </c>
      <c r="B131">
        <v>-21.951613630000001</v>
      </c>
      <c r="C131">
        <v>-18.514737100000001</v>
      </c>
      <c r="E131" s="29">
        <f t="shared" ref="E131:E194" si="2">B131-C131</f>
        <v>-3.4368765299999993</v>
      </c>
      <c r="F131" s="30">
        <v>42788</v>
      </c>
    </row>
    <row r="132" spans="1:6" x14ac:dyDescent="0.3">
      <c r="A132" s="32" t="s">
        <v>1087</v>
      </c>
      <c r="B132">
        <v>-21.139497240000001</v>
      </c>
      <c r="C132">
        <v>-17.741937700000001</v>
      </c>
      <c r="E132" s="29">
        <f t="shared" si="2"/>
        <v>-3.3975595399999996</v>
      </c>
      <c r="F132" s="30">
        <v>42789</v>
      </c>
    </row>
    <row r="133" spans="1:6" x14ac:dyDescent="0.3">
      <c r="A133" s="32" t="s">
        <v>1088</v>
      </c>
      <c r="B133">
        <v>-21.697998210000002</v>
      </c>
      <c r="C133">
        <v>-18.024115800000001</v>
      </c>
      <c r="E133" s="29">
        <f t="shared" si="2"/>
        <v>-3.6738824100000009</v>
      </c>
      <c r="F133" s="30">
        <v>42790</v>
      </c>
    </row>
    <row r="134" spans="1:6" x14ac:dyDescent="0.3">
      <c r="A134" s="32" t="s">
        <v>1089</v>
      </c>
      <c r="B134">
        <v>-22.181200230000002</v>
      </c>
      <c r="C134">
        <v>-17.885097699999999</v>
      </c>
      <c r="E134" s="29">
        <f t="shared" si="2"/>
        <v>-4.2961025300000024</v>
      </c>
      <c r="F134" s="30">
        <v>42791</v>
      </c>
    </row>
    <row r="135" spans="1:6" x14ac:dyDescent="0.3">
      <c r="A135" s="32" t="s">
        <v>1090</v>
      </c>
      <c r="B135">
        <v>-23.010291590000001</v>
      </c>
      <c r="C135">
        <v>-17.8028756</v>
      </c>
      <c r="E135" s="29">
        <f t="shared" si="2"/>
        <v>-5.2074159900000012</v>
      </c>
      <c r="F135" s="30">
        <v>42792</v>
      </c>
    </row>
    <row r="136" spans="1:6" x14ac:dyDescent="0.3">
      <c r="A136" s="32" t="s">
        <v>1091</v>
      </c>
      <c r="B136">
        <v>-22.47854778</v>
      </c>
      <c r="C136">
        <v>-17.285907699999999</v>
      </c>
      <c r="E136" s="29">
        <f t="shared" si="2"/>
        <v>-5.1926400800000003</v>
      </c>
      <c r="F136" s="30">
        <v>42793</v>
      </c>
    </row>
    <row r="137" spans="1:6" x14ac:dyDescent="0.3">
      <c r="A137" s="32" t="s">
        <v>1092</v>
      </c>
      <c r="B137">
        <v>-21.636058309999999</v>
      </c>
      <c r="C137">
        <v>-18.008300999999999</v>
      </c>
      <c r="E137" s="29">
        <f t="shared" si="2"/>
        <v>-3.6277573099999998</v>
      </c>
      <c r="F137" s="30">
        <v>42794</v>
      </c>
    </row>
    <row r="138" spans="1:6" x14ac:dyDescent="0.3">
      <c r="A138" s="32" t="s">
        <v>1093</v>
      </c>
      <c r="B138">
        <v>-20.401772000000001</v>
      </c>
      <c r="C138">
        <v>-18.525984600000001</v>
      </c>
      <c r="E138" s="29">
        <f t="shared" si="2"/>
        <v>-1.8757874000000001</v>
      </c>
      <c r="F138" s="30">
        <v>42795</v>
      </c>
    </row>
    <row r="139" spans="1:6" x14ac:dyDescent="0.3">
      <c r="A139" s="32" t="s">
        <v>1094</v>
      </c>
      <c r="B139">
        <v>-18.779045140000001</v>
      </c>
      <c r="C139">
        <v>-18.7909975</v>
      </c>
      <c r="E139" s="29">
        <f t="shared" si="2"/>
        <v>1.1952359999998663E-2</v>
      </c>
      <c r="F139" s="30">
        <v>42796</v>
      </c>
    </row>
    <row r="140" spans="1:6" x14ac:dyDescent="0.3">
      <c r="A140" s="32" t="s">
        <v>1095</v>
      </c>
      <c r="B140">
        <v>-17.104260490000001</v>
      </c>
      <c r="C140">
        <v>-18.5455255</v>
      </c>
      <c r="E140" s="29">
        <f t="shared" si="2"/>
        <v>1.4412650099999986</v>
      </c>
      <c r="F140" s="30">
        <v>42797</v>
      </c>
    </row>
    <row r="141" spans="1:6" x14ac:dyDescent="0.3">
      <c r="A141" s="32" t="s">
        <v>1096</v>
      </c>
      <c r="B141">
        <v>-16.099077560000001</v>
      </c>
      <c r="C141">
        <v>-18.9642306</v>
      </c>
      <c r="E141" s="29">
        <f t="shared" si="2"/>
        <v>2.8651530399999992</v>
      </c>
      <c r="F141" s="30">
        <v>42798</v>
      </c>
    </row>
    <row r="142" spans="1:6" x14ac:dyDescent="0.3">
      <c r="A142" s="32" t="s">
        <v>1097</v>
      </c>
      <c r="B142">
        <v>-17.154599900000001</v>
      </c>
      <c r="C142">
        <v>-19.0516769</v>
      </c>
      <c r="E142" s="29">
        <f t="shared" si="2"/>
        <v>1.8970769999999995</v>
      </c>
      <c r="F142" s="30">
        <v>42799</v>
      </c>
    </row>
    <row r="143" spans="1:6" x14ac:dyDescent="0.3">
      <c r="A143" s="32" t="s">
        <v>1098</v>
      </c>
      <c r="B143">
        <v>-14.582316949999999</v>
      </c>
      <c r="C143">
        <v>-19.440009700000001</v>
      </c>
      <c r="E143" s="29">
        <f t="shared" si="2"/>
        <v>4.8576927500000018</v>
      </c>
      <c r="F143" s="30">
        <v>42800</v>
      </c>
    </row>
    <row r="144" spans="1:6" x14ac:dyDescent="0.3">
      <c r="A144" s="32" t="s">
        <v>1099</v>
      </c>
      <c r="B144">
        <v>-14.97689448</v>
      </c>
      <c r="C144">
        <v>-20.5990827</v>
      </c>
      <c r="E144" s="29">
        <f t="shared" si="2"/>
        <v>5.62218822</v>
      </c>
      <c r="F144" s="30">
        <v>42801</v>
      </c>
    </row>
    <row r="145" spans="1:6" x14ac:dyDescent="0.3">
      <c r="A145" s="32" t="s">
        <v>1100</v>
      </c>
      <c r="B145">
        <v>-13.41964404</v>
      </c>
      <c r="C145">
        <v>-21.135732900000001</v>
      </c>
      <c r="E145" s="29">
        <f t="shared" si="2"/>
        <v>7.716088860000001</v>
      </c>
      <c r="F145" s="30">
        <v>42802</v>
      </c>
    </row>
    <row r="146" spans="1:6" x14ac:dyDescent="0.3">
      <c r="A146" s="32" t="s">
        <v>1101</v>
      </c>
      <c r="B146">
        <v>-13.02986477</v>
      </c>
      <c r="C146">
        <v>-20.305707200000001</v>
      </c>
      <c r="E146" s="29">
        <f t="shared" si="2"/>
        <v>7.2758424300000009</v>
      </c>
      <c r="F146" s="30">
        <v>42803</v>
      </c>
    </row>
    <row r="147" spans="1:6" x14ac:dyDescent="0.3">
      <c r="A147" s="32" t="s">
        <v>1102</v>
      </c>
      <c r="B147">
        <v>-12.617513300000001</v>
      </c>
      <c r="C147">
        <v>-20.514545699999999</v>
      </c>
      <c r="E147" s="29">
        <f t="shared" si="2"/>
        <v>7.8970323999999987</v>
      </c>
      <c r="F147" s="30">
        <v>42804</v>
      </c>
    </row>
    <row r="148" spans="1:6" x14ac:dyDescent="0.3">
      <c r="A148" s="32" t="s">
        <v>1103</v>
      </c>
      <c r="B148">
        <v>-13.25575418</v>
      </c>
      <c r="C148">
        <v>-19.9150603</v>
      </c>
      <c r="E148" s="29">
        <f t="shared" si="2"/>
        <v>6.6593061200000001</v>
      </c>
      <c r="F148" s="30">
        <v>42805</v>
      </c>
    </row>
    <row r="149" spans="1:6" x14ac:dyDescent="0.3">
      <c r="A149" s="32" t="s">
        <v>1104</v>
      </c>
      <c r="B149">
        <v>-12.33822629</v>
      </c>
      <c r="C149">
        <v>-21.165655900000001</v>
      </c>
      <c r="E149" s="29">
        <f t="shared" si="2"/>
        <v>8.8274296100000011</v>
      </c>
      <c r="F149" s="30">
        <v>42806</v>
      </c>
    </row>
    <row r="150" spans="1:6" x14ac:dyDescent="0.3">
      <c r="A150" s="32" t="s">
        <v>1105</v>
      </c>
      <c r="B150">
        <v>-11.80965653</v>
      </c>
      <c r="C150">
        <v>-20.857034800000001</v>
      </c>
      <c r="E150" s="29">
        <f t="shared" si="2"/>
        <v>9.0473782700000012</v>
      </c>
      <c r="F150" s="30">
        <v>42807</v>
      </c>
    </row>
    <row r="151" spans="1:6" x14ac:dyDescent="0.3">
      <c r="A151" s="32" t="s">
        <v>1106</v>
      </c>
      <c r="B151">
        <v>-10.64868813</v>
      </c>
      <c r="C151">
        <v>-21.3788521</v>
      </c>
      <c r="E151" s="29">
        <f t="shared" si="2"/>
        <v>10.73016397</v>
      </c>
      <c r="F151" s="30">
        <v>42808</v>
      </c>
    </row>
    <row r="152" spans="1:6" x14ac:dyDescent="0.3">
      <c r="A152" s="32" t="s">
        <v>1107</v>
      </c>
      <c r="B152">
        <v>-12.55227039</v>
      </c>
      <c r="C152">
        <v>-22.544112200000001</v>
      </c>
      <c r="E152" s="29">
        <f t="shared" si="2"/>
        <v>9.9918418100000004</v>
      </c>
      <c r="F152" s="30">
        <v>42809</v>
      </c>
    </row>
    <row r="153" spans="1:6" x14ac:dyDescent="0.3">
      <c r="A153" s="32" t="s">
        <v>1108</v>
      </c>
      <c r="B153">
        <v>-11.948765529999999</v>
      </c>
      <c r="C153">
        <v>-23.013523599999999</v>
      </c>
      <c r="E153" s="29">
        <f t="shared" si="2"/>
        <v>11.06475807</v>
      </c>
      <c r="F153" s="30">
        <v>42810</v>
      </c>
    </row>
    <row r="154" spans="1:6" x14ac:dyDescent="0.3">
      <c r="A154" s="32" t="s">
        <v>1109</v>
      </c>
      <c r="B154">
        <v>-12.04998243</v>
      </c>
      <c r="C154">
        <v>-22.5320137</v>
      </c>
      <c r="E154" s="29">
        <f t="shared" si="2"/>
        <v>10.48203127</v>
      </c>
      <c r="F154" s="30">
        <v>42811</v>
      </c>
    </row>
    <row r="155" spans="1:6" x14ac:dyDescent="0.3">
      <c r="A155" s="32" t="s">
        <v>1110</v>
      </c>
      <c r="B155">
        <v>-12.6479204</v>
      </c>
      <c r="C155">
        <v>-22.141708900000001</v>
      </c>
      <c r="E155" s="29">
        <f t="shared" si="2"/>
        <v>9.4937885000000009</v>
      </c>
      <c r="F155" s="30">
        <v>42812</v>
      </c>
    </row>
    <row r="156" spans="1:6" x14ac:dyDescent="0.3">
      <c r="A156" s="32" t="s">
        <v>1111</v>
      </c>
      <c r="B156">
        <v>-14.270535410000001</v>
      </c>
      <c r="C156">
        <v>-22.713465100000001</v>
      </c>
      <c r="E156" s="29">
        <f t="shared" si="2"/>
        <v>8.4429296899999997</v>
      </c>
      <c r="F156" s="30">
        <v>42813</v>
      </c>
    </row>
    <row r="157" spans="1:6" x14ac:dyDescent="0.3">
      <c r="A157" s="32" t="s">
        <v>1112</v>
      </c>
      <c r="B157">
        <v>-16.56043137</v>
      </c>
      <c r="C157">
        <v>-21.1862633</v>
      </c>
      <c r="E157" s="29">
        <f t="shared" si="2"/>
        <v>4.6258319300000004</v>
      </c>
      <c r="F157" s="30">
        <v>42814</v>
      </c>
    </row>
    <row r="158" spans="1:6" x14ac:dyDescent="0.3">
      <c r="A158" s="32" t="s">
        <v>1113</v>
      </c>
      <c r="B158">
        <v>-16.60179389</v>
      </c>
      <c r="C158">
        <v>-21.674114700000001</v>
      </c>
      <c r="E158" s="29">
        <f t="shared" si="2"/>
        <v>5.0723208100000008</v>
      </c>
      <c r="F158" s="30">
        <v>42815</v>
      </c>
    </row>
    <row r="159" spans="1:6" x14ac:dyDescent="0.3">
      <c r="A159" s="32" t="s">
        <v>1114</v>
      </c>
      <c r="B159">
        <v>-15.581061829999999</v>
      </c>
      <c r="C159">
        <v>-21.592143199999999</v>
      </c>
      <c r="E159" s="29">
        <f t="shared" si="2"/>
        <v>6.0110813699999994</v>
      </c>
      <c r="F159" s="30">
        <v>42816</v>
      </c>
    </row>
    <row r="160" spans="1:6" x14ac:dyDescent="0.3">
      <c r="A160" s="32" t="s">
        <v>1115</v>
      </c>
      <c r="B160">
        <v>-15.183905859999999</v>
      </c>
      <c r="C160">
        <v>-23.635509899999999</v>
      </c>
      <c r="E160" s="29">
        <f t="shared" si="2"/>
        <v>8.4516040399999994</v>
      </c>
      <c r="F160" s="30">
        <v>42817</v>
      </c>
    </row>
    <row r="161" spans="1:6" x14ac:dyDescent="0.3">
      <c r="A161" s="32" t="s">
        <v>1116</v>
      </c>
      <c r="B161">
        <v>-15.899358210000001</v>
      </c>
      <c r="C161">
        <v>-25.1148472</v>
      </c>
      <c r="E161" s="29">
        <f t="shared" si="2"/>
        <v>9.215488989999999</v>
      </c>
      <c r="F161" s="30">
        <v>42818</v>
      </c>
    </row>
    <row r="162" spans="1:6" x14ac:dyDescent="0.3">
      <c r="A162" s="32" t="s">
        <v>1117</v>
      </c>
      <c r="B162">
        <v>-16.268209720000002</v>
      </c>
      <c r="C162">
        <v>-24.220566900000001</v>
      </c>
      <c r="E162" s="29">
        <f t="shared" si="2"/>
        <v>7.9523571799999999</v>
      </c>
      <c r="F162" s="30">
        <v>42819</v>
      </c>
    </row>
    <row r="163" spans="1:6" x14ac:dyDescent="0.3">
      <c r="A163" s="32" t="s">
        <v>1118</v>
      </c>
      <c r="B163">
        <v>-16.127196609999999</v>
      </c>
      <c r="C163">
        <v>-23.7003153</v>
      </c>
      <c r="E163" s="29">
        <f t="shared" si="2"/>
        <v>7.5731186900000012</v>
      </c>
      <c r="F163" s="30">
        <v>42820</v>
      </c>
    </row>
    <row r="164" spans="1:6" x14ac:dyDescent="0.3">
      <c r="A164" s="32" t="s">
        <v>1119</v>
      </c>
      <c r="B164">
        <v>-17.342690910000002</v>
      </c>
      <c r="C164">
        <v>-23.510581500000001</v>
      </c>
      <c r="E164" s="29">
        <f t="shared" si="2"/>
        <v>6.167890589999999</v>
      </c>
      <c r="F164" s="30">
        <v>42821</v>
      </c>
    </row>
    <row r="165" spans="1:6" x14ac:dyDescent="0.3">
      <c r="A165" s="32" t="s">
        <v>1120</v>
      </c>
      <c r="B165">
        <v>-15.996459270000001</v>
      </c>
      <c r="C165">
        <v>-24.011608299999999</v>
      </c>
      <c r="E165" s="29">
        <f t="shared" si="2"/>
        <v>8.0151490299999981</v>
      </c>
      <c r="F165" s="30">
        <v>42822</v>
      </c>
    </row>
    <row r="166" spans="1:6" x14ac:dyDescent="0.3">
      <c r="A166" s="32" t="s">
        <v>1121</v>
      </c>
      <c r="B166">
        <v>-16.835539170000001</v>
      </c>
      <c r="C166">
        <v>-25.695449700000001</v>
      </c>
      <c r="E166" s="29">
        <f t="shared" si="2"/>
        <v>8.8599105300000005</v>
      </c>
      <c r="F166" s="30">
        <v>42823</v>
      </c>
    </row>
    <row r="167" spans="1:6" x14ac:dyDescent="0.3">
      <c r="A167" s="32" t="s">
        <v>1122</v>
      </c>
      <c r="B167">
        <v>-18.033859679999999</v>
      </c>
      <c r="C167">
        <v>-24.874627199999999</v>
      </c>
      <c r="E167" s="29">
        <f t="shared" si="2"/>
        <v>6.84076752</v>
      </c>
      <c r="F167" s="30">
        <v>42824</v>
      </c>
    </row>
    <row r="168" spans="1:6" x14ac:dyDescent="0.3">
      <c r="A168" s="32" t="s">
        <v>1123</v>
      </c>
      <c r="B168">
        <v>-17.04966383</v>
      </c>
      <c r="C168">
        <v>-25.222137</v>
      </c>
      <c r="E168" s="29">
        <f t="shared" si="2"/>
        <v>8.17247317</v>
      </c>
      <c r="F168" s="30">
        <v>42825</v>
      </c>
    </row>
    <row r="169" spans="1:6" x14ac:dyDescent="0.3">
      <c r="A169" s="32" t="s">
        <v>1124</v>
      </c>
      <c r="B169">
        <v>-17.225288939999999</v>
      </c>
      <c r="C169">
        <v>-26.190880400000001</v>
      </c>
      <c r="E169" s="29">
        <f t="shared" si="2"/>
        <v>8.9655914600000024</v>
      </c>
      <c r="F169" s="30">
        <v>42826</v>
      </c>
    </row>
    <row r="170" spans="1:6" x14ac:dyDescent="0.3">
      <c r="A170" s="32" t="s">
        <v>1125</v>
      </c>
      <c r="B170">
        <v>-17.28171472</v>
      </c>
      <c r="C170">
        <v>-26.161393499999999</v>
      </c>
      <c r="E170" s="29">
        <f t="shared" si="2"/>
        <v>8.879678779999999</v>
      </c>
      <c r="F170" s="30">
        <v>42827</v>
      </c>
    </row>
    <row r="171" spans="1:6" x14ac:dyDescent="0.3">
      <c r="A171" s="32" t="s">
        <v>1126</v>
      </c>
      <c r="B171">
        <v>-17.209469210000002</v>
      </c>
      <c r="C171">
        <v>-26.2662598</v>
      </c>
      <c r="E171" s="29">
        <f t="shared" si="2"/>
        <v>9.0567905899999985</v>
      </c>
      <c r="F171" s="30">
        <v>42828</v>
      </c>
    </row>
    <row r="172" spans="1:6" x14ac:dyDescent="0.3">
      <c r="A172" s="32" t="s">
        <v>1127</v>
      </c>
      <c r="B172">
        <v>-15.962560590000001</v>
      </c>
      <c r="C172">
        <v>-28.009038499999999</v>
      </c>
      <c r="E172" s="29">
        <f t="shared" si="2"/>
        <v>12.046477909999998</v>
      </c>
      <c r="F172" s="30">
        <v>42829</v>
      </c>
    </row>
    <row r="173" spans="1:6" x14ac:dyDescent="0.3">
      <c r="A173" s="32" t="s">
        <v>1128</v>
      </c>
      <c r="B173">
        <v>-14.611991079999999</v>
      </c>
      <c r="C173">
        <v>-28.095739999999999</v>
      </c>
      <c r="E173" s="29">
        <f t="shared" si="2"/>
        <v>13.48374892</v>
      </c>
      <c r="F173" s="30">
        <v>42830</v>
      </c>
    </row>
    <row r="174" spans="1:6" x14ac:dyDescent="0.3">
      <c r="A174" s="32" t="s">
        <v>1129</v>
      </c>
      <c r="B174">
        <v>-14.70114987</v>
      </c>
      <c r="C174">
        <v>-28.7858619</v>
      </c>
      <c r="E174" s="29">
        <f t="shared" si="2"/>
        <v>14.08471203</v>
      </c>
      <c r="F174" s="30">
        <v>42831</v>
      </c>
    </row>
    <row r="175" spans="1:6" x14ac:dyDescent="0.3">
      <c r="A175" s="32" t="s">
        <v>1130</v>
      </c>
      <c r="B175">
        <v>-15.723940430000001</v>
      </c>
      <c r="C175">
        <v>-28.7839223</v>
      </c>
      <c r="E175" s="29">
        <f t="shared" si="2"/>
        <v>13.05998187</v>
      </c>
      <c r="F175" s="30">
        <v>42832</v>
      </c>
    </row>
    <row r="176" spans="1:6" x14ac:dyDescent="0.3">
      <c r="A176" s="32" t="s">
        <v>1131</v>
      </c>
      <c r="B176">
        <v>-14.432537760000001</v>
      </c>
      <c r="C176">
        <v>-27.2990423</v>
      </c>
      <c r="E176" s="29">
        <f t="shared" si="2"/>
        <v>12.866504539999999</v>
      </c>
      <c r="F176" s="30">
        <v>42833</v>
      </c>
    </row>
    <row r="177" spans="1:6" x14ac:dyDescent="0.3">
      <c r="A177" s="32" t="s">
        <v>1132</v>
      </c>
      <c r="B177">
        <v>-14.4144066</v>
      </c>
      <c r="C177">
        <v>-28.527208099999999</v>
      </c>
      <c r="E177" s="29">
        <f t="shared" si="2"/>
        <v>14.1128015</v>
      </c>
      <c r="F177" s="30">
        <v>42834</v>
      </c>
    </row>
    <row r="178" spans="1:6" x14ac:dyDescent="0.3">
      <c r="A178" s="32" t="s">
        <v>1133</v>
      </c>
      <c r="B178">
        <v>-14.27976198</v>
      </c>
      <c r="C178">
        <v>-28.168848000000001</v>
      </c>
      <c r="E178" s="29">
        <f t="shared" si="2"/>
        <v>13.889086020000001</v>
      </c>
      <c r="F178" s="30">
        <v>42835</v>
      </c>
    </row>
    <row r="179" spans="1:6" x14ac:dyDescent="0.3">
      <c r="A179" s="32" t="s">
        <v>1134</v>
      </c>
      <c r="B179">
        <v>-13.74719279</v>
      </c>
      <c r="C179">
        <v>-27.106262699999998</v>
      </c>
      <c r="E179" s="29">
        <f t="shared" si="2"/>
        <v>13.359069909999999</v>
      </c>
      <c r="F179" s="30">
        <v>42836</v>
      </c>
    </row>
    <row r="180" spans="1:6" x14ac:dyDescent="0.3">
      <c r="A180" s="32" t="s">
        <v>1135</v>
      </c>
      <c r="B180">
        <v>-12.554781520000001</v>
      </c>
      <c r="C180">
        <v>-25.932908699999999</v>
      </c>
      <c r="E180" s="29">
        <f t="shared" si="2"/>
        <v>13.378127179999998</v>
      </c>
      <c r="F180" s="30">
        <v>42837</v>
      </c>
    </row>
    <row r="181" spans="1:6" x14ac:dyDescent="0.3">
      <c r="A181" s="32" t="s">
        <v>1136</v>
      </c>
      <c r="B181">
        <v>-11.813803890000001</v>
      </c>
      <c r="C181">
        <v>-25.286441199999999</v>
      </c>
      <c r="E181" s="29">
        <f t="shared" si="2"/>
        <v>13.472637309999998</v>
      </c>
      <c r="F181" s="30">
        <v>42838</v>
      </c>
    </row>
    <row r="182" spans="1:6" x14ac:dyDescent="0.3">
      <c r="A182" s="32" t="s">
        <v>1137</v>
      </c>
      <c r="B182">
        <v>-12.782989819999999</v>
      </c>
      <c r="C182">
        <v>-25.3747632</v>
      </c>
      <c r="E182" s="29">
        <f t="shared" si="2"/>
        <v>12.591773380000001</v>
      </c>
      <c r="F182" s="30">
        <v>42839</v>
      </c>
    </row>
    <row r="183" spans="1:6" x14ac:dyDescent="0.3">
      <c r="A183" s="32" t="s">
        <v>1138</v>
      </c>
      <c r="B183">
        <v>-13.40063402</v>
      </c>
      <c r="C183">
        <v>-26.5711765</v>
      </c>
      <c r="E183" s="29">
        <f t="shared" si="2"/>
        <v>13.17054248</v>
      </c>
      <c r="F183" s="30">
        <v>42840</v>
      </c>
    </row>
    <row r="184" spans="1:6" x14ac:dyDescent="0.3">
      <c r="A184" s="32" t="s">
        <v>1139</v>
      </c>
      <c r="B184">
        <v>-12.9301867</v>
      </c>
      <c r="C184">
        <v>-26.883790699999999</v>
      </c>
      <c r="E184" s="29">
        <f t="shared" si="2"/>
        <v>13.953603999999999</v>
      </c>
      <c r="F184" s="30">
        <v>42841</v>
      </c>
    </row>
    <row r="185" spans="1:6" x14ac:dyDescent="0.3">
      <c r="A185" s="32" t="s">
        <v>1140</v>
      </c>
      <c r="B185">
        <v>-14.41713861</v>
      </c>
      <c r="C185">
        <v>-27.896252400000002</v>
      </c>
      <c r="E185" s="29">
        <f t="shared" si="2"/>
        <v>13.479113790000001</v>
      </c>
      <c r="F185" s="30">
        <v>42842</v>
      </c>
    </row>
    <row r="186" spans="1:6" x14ac:dyDescent="0.3">
      <c r="A186" s="32" t="s">
        <v>1141</v>
      </c>
      <c r="B186">
        <v>-14.32756565</v>
      </c>
      <c r="C186">
        <v>-28.491692</v>
      </c>
      <c r="E186" s="29">
        <f t="shared" si="2"/>
        <v>14.16412635</v>
      </c>
      <c r="F186" s="30">
        <v>42843</v>
      </c>
    </row>
    <row r="187" spans="1:6" x14ac:dyDescent="0.3">
      <c r="A187" s="32" t="s">
        <v>1142</v>
      </c>
      <c r="B187">
        <v>-15.897995959999999</v>
      </c>
      <c r="C187">
        <v>-26.841724899999999</v>
      </c>
      <c r="E187" s="29">
        <f t="shared" si="2"/>
        <v>10.94372894</v>
      </c>
      <c r="F187" s="30">
        <v>42844</v>
      </c>
    </row>
    <row r="188" spans="1:6" x14ac:dyDescent="0.3">
      <c r="A188" s="32" t="s">
        <v>1143</v>
      </c>
      <c r="B188">
        <v>-17.177386720000001</v>
      </c>
      <c r="C188">
        <v>-26.2666431</v>
      </c>
      <c r="E188" s="29">
        <f t="shared" si="2"/>
        <v>9.0892563799999984</v>
      </c>
      <c r="F188" s="30">
        <v>42845</v>
      </c>
    </row>
    <row r="189" spans="1:6" x14ac:dyDescent="0.3">
      <c r="A189" s="32" t="s">
        <v>1144</v>
      </c>
      <c r="B189">
        <v>-19.24227462</v>
      </c>
      <c r="C189">
        <v>-27.138673900000001</v>
      </c>
      <c r="E189" s="29">
        <f t="shared" si="2"/>
        <v>7.8963992800000007</v>
      </c>
      <c r="F189" s="30">
        <v>42846</v>
      </c>
    </row>
    <row r="190" spans="1:6" x14ac:dyDescent="0.3">
      <c r="A190" s="32" t="s">
        <v>1145</v>
      </c>
      <c r="B190">
        <v>-20.25147999</v>
      </c>
      <c r="C190">
        <v>-25.6477811</v>
      </c>
      <c r="E190" s="29">
        <f t="shared" si="2"/>
        <v>5.3963011099999996</v>
      </c>
      <c r="F190" s="30">
        <v>42847</v>
      </c>
    </row>
    <row r="191" spans="1:6" x14ac:dyDescent="0.3">
      <c r="A191" s="32" t="s">
        <v>1146</v>
      </c>
      <c r="B191">
        <v>-21.145668910000001</v>
      </c>
      <c r="C191">
        <v>-26.028946300000001</v>
      </c>
      <c r="E191" s="29">
        <f t="shared" si="2"/>
        <v>4.8832773899999999</v>
      </c>
      <c r="F191" s="30">
        <v>42848</v>
      </c>
    </row>
    <row r="192" spans="1:6" x14ac:dyDescent="0.3">
      <c r="A192" s="32" t="s">
        <v>1147</v>
      </c>
      <c r="B192">
        <v>-21.491617130000002</v>
      </c>
      <c r="C192">
        <v>-26.5944234</v>
      </c>
      <c r="E192" s="29">
        <f t="shared" si="2"/>
        <v>5.1028062699999985</v>
      </c>
      <c r="F192" s="30">
        <v>42849</v>
      </c>
    </row>
    <row r="193" spans="1:6" x14ac:dyDescent="0.3">
      <c r="A193" s="32" t="s">
        <v>1148</v>
      </c>
      <c r="B193">
        <v>-21.728442309999998</v>
      </c>
      <c r="C193">
        <v>-27.166183100000001</v>
      </c>
      <c r="E193" s="29">
        <f t="shared" si="2"/>
        <v>5.437740790000003</v>
      </c>
      <c r="F193" s="30">
        <v>42850</v>
      </c>
    </row>
    <row r="194" spans="1:6" x14ac:dyDescent="0.3">
      <c r="A194" s="32" t="s">
        <v>1149</v>
      </c>
      <c r="B194">
        <v>-22.01878421</v>
      </c>
      <c r="C194">
        <v>-27.3923378</v>
      </c>
      <c r="E194" s="29">
        <f t="shared" si="2"/>
        <v>5.3735535900000002</v>
      </c>
      <c r="F194" s="30">
        <v>42851</v>
      </c>
    </row>
    <row r="195" spans="1:6" x14ac:dyDescent="0.3">
      <c r="A195" s="32" t="s">
        <v>1150</v>
      </c>
      <c r="B195">
        <v>-22.779837579999999</v>
      </c>
      <c r="C195">
        <v>-26.860970500000001</v>
      </c>
      <c r="E195" s="29">
        <f t="shared" ref="E195:E258" si="3">B195-C195</f>
        <v>4.0811329200000017</v>
      </c>
      <c r="F195" s="30">
        <v>42852</v>
      </c>
    </row>
    <row r="196" spans="1:6" x14ac:dyDescent="0.3">
      <c r="A196" s="32" t="s">
        <v>1151</v>
      </c>
      <c r="B196">
        <v>-22.19517132</v>
      </c>
      <c r="C196">
        <v>-26.245316599999999</v>
      </c>
      <c r="E196" s="29">
        <f t="shared" si="3"/>
        <v>4.0501452799999988</v>
      </c>
      <c r="F196" s="30">
        <v>42853</v>
      </c>
    </row>
    <row r="197" spans="1:6" x14ac:dyDescent="0.3">
      <c r="A197" s="32" t="s">
        <v>1152</v>
      </c>
      <c r="B197">
        <v>-21.726286630000001</v>
      </c>
      <c r="C197">
        <v>-29.026184799999999</v>
      </c>
      <c r="E197" s="29">
        <f t="shared" si="3"/>
        <v>7.2998981699999987</v>
      </c>
      <c r="F197" s="30">
        <v>42854</v>
      </c>
    </row>
    <row r="198" spans="1:6" x14ac:dyDescent="0.3">
      <c r="A198" s="32" t="s">
        <v>1153</v>
      </c>
      <c r="B198">
        <v>-18.608734370000001</v>
      </c>
      <c r="C198">
        <v>-30.035126600000002</v>
      </c>
      <c r="E198" s="29">
        <f t="shared" si="3"/>
        <v>11.426392230000001</v>
      </c>
      <c r="F198" s="30">
        <v>42855</v>
      </c>
    </row>
    <row r="199" spans="1:6" x14ac:dyDescent="0.3">
      <c r="A199" s="32" t="s">
        <v>1154</v>
      </c>
      <c r="B199">
        <v>-18.886228169999999</v>
      </c>
      <c r="C199">
        <v>-30.1207925</v>
      </c>
      <c r="E199" s="29">
        <f t="shared" si="3"/>
        <v>11.234564330000001</v>
      </c>
      <c r="F199" s="30">
        <v>42856</v>
      </c>
    </row>
    <row r="200" spans="1:6" x14ac:dyDescent="0.3">
      <c r="A200" s="32" t="s">
        <v>1155</v>
      </c>
      <c r="B200">
        <v>-19.869801200000001</v>
      </c>
      <c r="C200">
        <v>-30.0163096</v>
      </c>
      <c r="E200" s="29">
        <f t="shared" si="3"/>
        <v>10.146508399999998</v>
      </c>
      <c r="F200" s="30">
        <v>42857</v>
      </c>
    </row>
    <row r="201" spans="1:6" x14ac:dyDescent="0.3">
      <c r="A201" s="32" t="s">
        <v>1156</v>
      </c>
      <c r="B201">
        <v>-19.305809910000001</v>
      </c>
      <c r="C201">
        <v>-31.247322799999999</v>
      </c>
      <c r="E201" s="29">
        <f t="shared" si="3"/>
        <v>11.941512889999998</v>
      </c>
      <c r="F201" s="30">
        <v>42858</v>
      </c>
    </row>
    <row r="202" spans="1:6" x14ac:dyDescent="0.3">
      <c r="A202" s="32" t="s">
        <v>1157</v>
      </c>
      <c r="B202">
        <v>-20.933974190000001</v>
      </c>
      <c r="C202">
        <v>-29.172867199999999</v>
      </c>
      <c r="E202" s="29">
        <f t="shared" si="3"/>
        <v>8.2388930099999982</v>
      </c>
      <c r="F202" s="30">
        <v>42859</v>
      </c>
    </row>
    <row r="203" spans="1:6" x14ac:dyDescent="0.3">
      <c r="A203" s="32" t="s">
        <v>1158</v>
      </c>
      <c r="B203">
        <v>-22.03338664</v>
      </c>
      <c r="C203">
        <v>-26.869131400000001</v>
      </c>
      <c r="E203" s="29">
        <f t="shared" si="3"/>
        <v>4.8357447600000008</v>
      </c>
      <c r="F203" s="30">
        <v>42860</v>
      </c>
    </row>
    <row r="204" spans="1:6" x14ac:dyDescent="0.3">
      <c r="A204" s="32" t="s">
        <v>1159</v>
      </c>
      <c r="B204">
        <v>-23.487199489999998</v>
      </c>
      <c r="C204">
        <v>-25.418569300000001</v>
      </c>
      <c r="E204" s="29">
        <f t="shared" si="3"/>
        <v>1.9313698100000032</v>
      </c>
      <c r="F204" s="30">
        <v>42861</v>
      </c>
    </row>
    <row r="205" spans="1:6" x14ac:dyDescent="0.3">
      <c r="A205" s="32" t="s">
        <v>1160</v>
      </c>
      <c r="B205">
        <v>-23.23260192</v>
      </c>
      <c r="C205">
        <v>-25.3876241</v>
      </c>
      <c r="E205" s="29">
        <f t="shared" si="3"/>
        <v>2.1550221799999996</v>
      </c>
      <c r="F205" s="30">
        <v>42862</v>
      </c>
    </row>
    <row r="206" spans="1:6" x14ac:dyDescent="0.3">
      <c r="A206" s="32" t="s">
        <v>1161</v>
      </c>
      <c r="B206">
        <v>-22.024806430000002</v>
      </c>
      <c r="C206">
        <v>-25.904498199999999</v>
      </c>
      <c r="E206" s="29">
        <f t="shared" si="3"/>
        <v>3.8796917699999973</v>
      </c>
      <c r="F206" s="30">
        <v>42863</v>
      </c>
    </row>
    <row r="207" spans="1:6" x14ac:dyDescent="0.3">
      <c r="A207" s="32" t="s">
        <v>1162</v>
      </c>
      <c r="B207">
        <v>-21.029665059999999</v>
      </c>
      <c r="C207">
        <v>-24.334852600000001</v>
      </c>
      <c r="E207" s="29">
        <f t="shared" si="3"/>
        <v>3.3051875400000021</v>
      </c>
      <c r="F207" s="30">
        <v>42864</v>
      </c>
    </row>
    <row r="208" spans="1:6" x14ac:dyDescent="0.3">
      <c r="A208" s="32" t="s">
        <v>1163</v>
      </c>
      <c r="B208">
        <v>-21.640366409999999</v>
      </c>
      <c r="C208">
        <v>-24.723111299999999</v>
      </c>
      <c r="E208" s="29">
        <f t="shared" si="3"/>
        <v>3.0827448900000007</v>
      </c>
      <c r="F208" s="30">
        <v>42865</v>
      </c>
    </row>
    <row r="209" spans="1:6" x14ac:dyDescent="0.3">
      <c r="A209" s="32" t="s">
        <v>1164</v>
      </c>
      <c r="B209">
        <v>-20.907907460000001</v>
      </c>
      <c r="C209">
        <v>-25.074074700000001</v>
      </c>
      <c r="E209" s="29">
        <f t="shared" si="3"/>
        <v>4.16616724</v>
      </c>
      <c r="F209" s="30">
        <v>42866</v>
      </c>
    </row>
    <row r="210" spans="1:6" x14ac:dyDescent="0.3">
      <c r="A210" s="32" t="s">
        <v>1165</v>
      </c>
      <c r="B210">
        <v>-20.77903495</v>
      </c>
      <c r="C210">
        <v>-27.164816299999998</v>
      </c>
      <c r="E210" s="29">
        <f t="shared" si="3"/>
        <v>6.3857813499999985</v>
      </c>
      <c r="F210" s="30">
        <v>42867</v>
      </c>
    </row>
    <row r="211" spans="1:6" x14ac:dyDescent="0.3">
      <c r="A211" s="32" t="s">
        <v>1166</v>
      </c>
      <c r="B211">
        <v>-22.780102899999999</v>
      </c>
      <c r="C211">
        <v>-28.558353499999999</v>
      </c>
      <c r="E211" s="29">
        <f t="shared" si="3"/>
        <v>5.7782505999999998</v>
      </c>
      <c r="F211" s="30">
        <v>42868</v>
      </c>
    </row>
    <row r="212" spans="1:6" x14ac:dyDescent="0.3">
      <c r="A212" s="32" t="s">
        <v>1167</v>
      </c>
      <c r="B212">
        <v>-24.36273873</v>
      </c>
      <c r="C212">
        <v>-29.687232000000002</v>
      </c>
      <c r="E212" s="29">
        <f t="shared" si="3"/>
        <v>5.3244932700000014</v>
      </c>
      <c r="F212" s="30">
        <v>42869</v>
      </c>
    </row>
    <row r="213" spans="1:6" x14ac:dyDescent="0.3">
      <c r="A213" s="32" t="s">
        <v>1168</v>
      </c>
      <c r="B213">
        <v>-22.936294870000001</v>
      </c>
      <c r="C213">
        <v>-29.265947600000001</v>
      </c>
      <c r="E213" s="29">
        <f t="shared" si="3"/>
        <v>6.3296527299999994</v>
      </c>
      <c r="F213" s="30">
        <v>42870</v>
      </c>
    </row>
    <row r="214" spans="1:6" x14ac:dyDescent="0.3">
      <c r="A214" s="32" t="s">
        <v>1169</v>
      </c>
      <c r="B214">
        <v>-22.916488149999999</v>
      </c>
      <c r="C214">
        <v>-29.497264900000001</v>
      </c>
      <c r="E214" s="29">
        <f t="shared" si="3"/>
        <v>6.5807767500000018</v>
      </c>
      <c r="F214" s="30">
        <v>42871</v>
      </c>
    </row>
    <row r="215" spans="1:6" x14ac:dyDescent="0.3">
      <c r="A215" s="32" t="s">
        <v>1170</v>
      </c>
      <c r="B215">
        <v>-22.682542860000002</v>
      </c>
      <c r="C215">
        <v>-29.173057499999999</v>
      </c>
      <c r="E215" s="29">
        <f t="shared" si="3"/>
        <v>6.4905146399999971</v>
      </c>
      <c r="F215" s="30">
        <v>42872</v>
      </c>
    </row>
    <row r="216" spans="1:6" x14ac:dyDescent="0.3">
      <c r="A216" s="32" t="s">
        <v>1171</v>
      </c>
      <c r="B216">
        <v>-21.778319799999998</v>
      </c>
      <c r="C216">
        <v>-28.314888700000001</v>
      </c>
      <c r="E216" s="29">
        <f t="shared" si="3"/>
        <v>6.5365689000000025</v>
      </c>
      <c r="F216" s="30">
        <v>42873</v>
      </c>
    </row>
    <row r="217" spans="1:6" x14ac:dyDescent="0.3">
      <c r="A217" s="32" t="s">
        <v>1172</v>
      </c>
      <c r="B217">
        <v>-19.659020170000002</v>
      </c>
      <c r="C217">
        <v>-28.979192300000001</v>
      </c>
      <c r="E217" s="29">
        <f t="shared" si="3"/>
        <v>9.3201721299999996</v>
      </c>
      <c r="F217" s="30">
        <v>42874</v>
      </c>
    </row>
    <row r="218" spans="1:6" x14ac:dyDescent="0.3">
      <c r="A218" s="32" t="s">
        <v>1173</v>
      </c>
      <c r="B218">
        <v>-17.73603636</v>
      </c>
      <c r="C218">
        <v>-26.359545799999999</v>
      </c>
      <c r="E218" s="29">
        <f t="shared" si="3"/>
        <v>8.6235094399999994</v>
      </c>
      <c r="F218" s="30">
        <v>42875</v>
      </c>
    </row>
    <row r="219" spans="1:6" x14ac:dyDescent="0.3">
      <c r="A219" s="32" t="s">
        <v>1174</v>
      </c>
      <c r="B219">
        <v>-18.500664319999998</v>
      </c>
      <c r="C219">
        <v>-27.1393138</v>
      </c>
      <c r="E219" s="29">
        <f t="shared" si="3"/>
        <v>8.6386494800000015</v>
      </c>
      <c r="F219" s="30">
        <v>42876</v>
      </c>
    </row>
    <row r="220" spans="1:6" x14ac:dyDescent="0.3">
      <c r="A220" s="32" t="s">
        <v>1175</v>
      </c>
      <c r="B220">
        <v>-20.260547420000002</v>
      </c>
      <c r="C220">
        <v>-28.8158615</v>
      </c>
      <c r="E220" s="29">
        <f t="shared" si="3"/>
        <v>8.5553140799999987</v>
      </c>
      <c r="F220" s="30">
        <v>42877</v>
      </c>
    </row>
    <row r="221" spans="1:6" x14ac:dyDescent="0.3">
      <c r="A221" s="32" t="s">
        <v>1176</v>
      </c>
      <c r="B221">
        <v>-21.170575589999999</v>
      </c>
      <c r="C221">
        <v>-30.689437300000002</v>
      </c>
      <c r="E221" s="29">
        <f t="shared" si="3"/>
        <v>9.518861710000003</v>
      </c>
      <c r="F221" s="30">
        <v>42878</v>
      </c>
    </row>
    <row r="222" spans="1:6" x14ac:dyDescent="0.3">
      <c r="A222" s="32" t="s">
        <v>1177</v>
      </c>
      <c r="B222">
        <v>-20.154828940000002</v>
      </c>
      <c r="C222">
        <v>-31.652646099999998</v>
      </c>
      <c r="E222" s="29">
        <f t="shared" si="3"/>
        <v>11.497817159999997</v>
      </c>
      <c r="F222" s="30">
        <v>42879</v>
      </c>
    </row>
    <row r="223" spans="1:6" x14ac:dyDescent="0.3">
      <c r="A223" s="32" t="s">
        <v>1178</v>
      </c>
      <c r="B223">
        <v>-20.526086580000001</v>
      </c>
      <c r="C223">
        <v>-32.821001600000002</v>
      </c>
      <c r="E223" s="29">
        <f t="shared" si="3"/>
        <v>12.294915020000001</v>
      </c>
      <c r="F223" s="30">
        <v>42880</v>
      </c>
    </row>
    <row r="224" spans="1:6" x14ac:dyDescent="0.3">
      <c r="A224" s="32" t="s">
        <v>1179</v>
      </c>
      <c r="B224">
        <v>-20.687092539999998</v>
      </c>
      <c r="C224">
        <v>-33.677865099999998</v>
      </c>
      <c r="E224" s="29">
        <f t="shared" si="3"/>
        <v>12.99077256</v>
      </c>
      <c r="F224" s="30">
        <v>42881</v>
      </c>
    </row>
    <row r="225" spans="1:6" x14ac:dyDescent="0.3">
      <c r="A225" s="32" t="s">
        <v>1180</v>
      </c>
      <c r="B225">
        <v>-21.05075416</v>
      </c>
      <c r="C225">
        <v>-33.298758399999997</v>
      </c>
      <c r="E225" s="29">
        <f t="shared" si="3"/>
        <v>12.248004239999997</v>
      </c>
      <c r="F225" s="30">
        <v>42882</v>
      </c>
    </row>
    <row r="226" spans="1:6" x14ac:dyDescent="0.3">
      <c r="A226" s="32" t="s">
        <v>1181</v>
      </c>
      <c r="B226">
        <v>-20.593338989999999</v>
      </c>
      <c r="C226">
        <v>-33.456941899999997</v>
      </c>
      <c r="E226" s="29">
        <f t="shared" si="3"/>
        <v>12.863602909999997</v>
      </c>
      <c r="F226" s="30">
        <v>42883</v>
      </c>
    </row>
    <row r="227" spans="1:6" x14ac:dyDescent="0.3">
      <c r="A227" s="32" t="s">
        <v>1182</v>
      </c>
      <c r="B227">
        <v>-19.43548444</v>
      </c>
      <c r="C227">
        <v>-33.523221700000001</v>
      </c>
      <c r="E227" s="29">
        <f t="shared" si="3"/>
        <v>14.087737260000001</v>
      </c>
      <c r="F227" s="30">
        <v>42884</v>
      </c>
    </row>
    <row r="228" spans="1:6" x14ac:dyDescent="0.3">
      <c r="A228" s="32" t="s">
        <v>1183</v>
      </c>
      <c r="B228">
        <v>-20.914860610000002</v>
      </c>
      <c r="C228">
        <v>-34.243507299999997</v>
      </c>
      <c r="E228" s="29">
        <f t="shared" si="3"/>
        <v>13.328646689999996</v>
      </c>
      <c r="F228" s="30">
        <v>42885</v>
      </c>
    </row>
    <row r="229" spans="1:6" x14ac:dyDescent="0.3">
      <c r="A229" s="32" t="s">
        <v>1184</v>
      </c>
      <c r="B229">
        <v>-21.396945680000002</v>
      </c>
      <c r="C229">
        <v>-33.941693700000002</v>
      </c>
      <c r="E229" s="29">
        <f t="shared" si="3"/>
        <v>12.54474802</v>
      </c>
      <c r="F229" s="30">
        <v>42886</v>
      </c>
    </row>
    <row r="230" spans="1:6" x14ac:dyDescent="0.3">
      <c r="A230" s="32" t="s">
        <v>1185</v>
      </c>
      <c r="B230">
        <v>-22.156889190000001</v>
      </c>
      <c r="C230">
        <v>-32.291618499999998</v>
      </c>
      <c r="E230" s="29">
        <f t="shared" si="3"/>
        <v>10.134729309999997</v>
      </c>
      <c r="F230" s="30">
        <v>42887</v>
      </c>
    </row>
    <row r="231" spans="1:6" x14ac:dyDescent="0.3">
      <c r="A231" s="32" t="s">
        <v>1186</v>
      </c>
      <c r="B231">
        <v>-22.035632069999998</v>
      </c>
      <c r="C231">
        <v>-32.402110999999998</v>
      </c>
      <c r="E231" s="29">
        <f t="shared" si="3"/>
        <v>10.36647893</v>
      </c>
      <c r="F231" s="30">
        <v>42888</v>
      </c>
    </row>
    <row r="232" spans="1:6" x14ac:dyDescent="0.3">
      <c r="A232" s="32" t="s">
        <v>1187</v>
      </c>
      <c r="B232">
        <v>-23.07130961</v>
      </c>
      <c r="C232">
        <v>-32.643394899999997</v>
      </c>
      <c r="E232" s="29">
        <f t="shared" si="3"/>
        <v>9.5720852899999969</v>
      </c>
      <c r="F232" s="30">
        <v>42889</v>
      </c>
    </row>
    <row r="233" spans="1:6" x14ac:dyDescent="0.3">
      <c r="A233" s="32" t="s">
        <v>1188</v>
      </c>
      <c r="B233">
        <v>-25.498735320000002</v>
      </c>
      <c r="C233">
        <v>-34.016148299999998</v>
      </c>
      <c r="E233" s="29">
        <f t="shared" si="3"/>
        <v>8.517412979999996</v>
      </c>
      <c r="F233" s="30">
        <v>42890</v>
      </c>
    </row>
    <row r="234" spans="1:6" x14ac:dyDescent="0.3">
      <c r="A234" s="32" t="s">
        <v>1189</v>
      </c>
      <c r="B234">
        <v>-26.65347307</v>
      </c>
      <c r="C234">
        <v>-32.980642500000002</v>
      </c>
      <c r="E234" s="29">
        <f t="shared" si="3"/>
        <v>6.3271694300000014</v>
      </c>
      <c r="F234" s="30">
        <v>42891</v>
      </c>
    </row>
    <row r="235" spans="1:6" x14ac:dyDescent="0.3">
      <c r="A235" s="32" t="s">
        <v>1190</v>
      </c>
      <c r="B235">
        <v>-27.265148669999999</v>
      </c>
      <c r="C235">
        <v>-31.855244599999999</v>
      </c>
      <c r="E235" s="29">
        <f t="shared" si="3"/>
        <v>4.5900959300000004</v>
      </c>
      <c r="F235" s="30">
        <v>42892</v>
      </c>
    </row>
    <row r="236" spans="1:6" x14ac:dyDescent="0.3">
      <c r="A236" s="32" t="s">
        <v>1191</v>
      </c>
      <c r="B236">
        <v>-28.76021244</v>
      </c>
      <c r="C236">
        <v>-30.490655700000001</v>
      </c>
      <c r="E236" s="29">
        <f t="shared" si="3"/>
        <v>1.7304432600000013</v>
      </c>
      <c r="F236" s="30">
        <v>42893</v>
      </c>
    </row>
    <row r="237" spans="1:6" x14ac:dyDescent="0.3">
      <c r="A237" s="32" t="s">
        <v>1192</v>
      </c>
      <c r="B237">
        <v>-30.013382400000001</v>
      </c>
      <c r="C237">
        <v>-30.752238899999998</v>
      </c>
      <c r="E237" s="29">
        <f t="shared" si="3"/>
        <v>0.73885649999999714</v>
      </c>
      <c r="F237" s="30">
        <v>42894</v>
      </c>
    </row>
    <row r="238" spans="1:6" x14ac:dyDescent="0.3">
      <c r="A238" s="32" t="s">
        <v>1193</v>
      </c>
      <c r="B238">
        <v>-32.024070719999997</v>
      </c>
      <c r="C238">
        <v>-31.085322099999999</v>
      </c>
      <c r="E238" s="29">
        <f t="shared" si="3"/>
        <v>-0.93874861999999837</v>
      </c>
      <c r="F238" s="30">
        <v>42895</v>
      </c>
    </row>
    <row r="239" spans="1:6" x14ac:dyDescent="0.3">
      <c r="A239" s="32" t="s">
        <v>1194</v>
      </c>
      <c r="B239">
        <v>-30.927885379999999</v>
      </c>
      <c r="C239">
        <v>-29.529543199999999</v>
      </c>
      <c r="E239" s="29">
        <f t="shared" si="3"/>
        <v>-1.3983421800000002</v>
      </c>
      <c r="F239" s="30">
        <v>42896</v>
      </c>
    </row>
    <row r="240" spans="1:6" x14ac:dyDescent="0.3">
      <c r="A240" s="32" t="s">
        <v>1195</v>
      </c>
      <c r="B240">
        <v>-31.392046430000001</v>
      </c>
      <c r="C240">
        <v>-29.693344700000001</v>
      </c>
      <c r="E240" s="29">
        <f t="shared" si="3"/>
        <v>-1.6987017299999998</v>
      </c>
      <c r="F240" s="30">
        <v>42897</v>
      </c>
    </row>
    <row r="241" spans="1:6" x14ac:dyDescent="0.3">
      <c r="A241" s="32" t="s">
        <v>1196</v>
      </c>
      <c r="B241">
        <v>-31.63810045</v>
      </c>
      <c r="C241">
        <v>-29.513820200000001</v>
      </c>
      <c r="E241" s="29">
        <f t="shared" si="3"/>
        <v>-2.1242802499999982</v>
      </c>
      <c r="F241" s="30">
        <v>42898</v>
      </c>
    </row>
    <row r="242" spans="1:6" x14ac:dyDescent="0.3">
      <c r="A242" s="32" t="s">
        <v>1197</v>
      </c>
      <c r="B242">
        <v>-31.301043629999999</v>
      </c>
      <c r="C242">
        <v>-27.9542365</v>
      </c>
      <c r="E242" s="29">
        <f t="shared" si="3"/>
        <v>-3.3468071299999984</v>
      </c>
      <c r="F242" s="30">
        <v>42899</v>
      </c>
    </row>
    <row r="243" spans="1:6" x14ac:dyDescent="0.3">
      <c r="A243" s="32" t="s">
        <v>1198</v>
      </c>
      <c r="B243">
        <v>-29.081684979999999</v>
      </c>
      <c r="C243">
        <v>-27.209556800000001</v>
      </c>
      <c r="E243" s="29">
        <f t="shared" si="3"/>
        <v>-1.8721281799999971</v>
      </c>
      <c r="F243" s="30">
        <v>42900</v>
      </c>
    </row>
    <row r="244" spans="1:6" x14ac:dyDescent="0.3">
      <c r="A244" s="32" t="s">
        <v>1199</v>
      </c>
      <c r="B244">
        <v>-27.427342960000001</v>
      </c>
      <c r="C244">
        <v>-27.703501800000002</v>
      </c>
      <c r="E244" s="29">
        <f t="shared" si="3"/>
        <v>0.27615884000000079</v>
      </c>
      <c r="F244" s="30">
        <v>42901</v>
      </c>
    </row>
    <row r="245" spans="1:6" x14ac:dyDescent="0.3">
      <c r="A245" s="32" t="s">
        <v>1200</v>
      </c>
      <c r="B245">
        <v>-26.878280570000001</v>
      </c>
      <c r="C245">
        <v>-29.079357600000002</v>
      </c>
      <c r="E245" s="29">
        <f t="shared" si="3"/>
        <v>2.2010770300000004</v>
      </c>
      <c r="F245" s="30">
        <v>42902</v>
      </c>
    </row>
    <row r="246" spans="1:6" x14ac:dyDescent="0.3">
      <c r="A246" s="32" t="s">
        <v>1201</v>
      </c>
      <c r="B246">
        <v>-26.597567170000001</v>
      </c>
      <c r="C246">
        <v>-27.754052600000001</v>
      </c>
      <c r="E246" s="29">
        <f t="shared" si="3"/>
        <v>1.15648543</v>
      </c>
      <c r="F246" s="30">
        <v>42903</v>
      </c>
    </row>
    <row r="247" spans="1:6" x14ac:dyDescent="0.3">
      <c r="A247" s="32" t="s">
        <v>1202</v>
      </c>
      <c r="B247">
        <v>-25.38172544</v>
      </c>
      <c r="C247">
        <v>-27.055617699999999</v>
      </c>
      <c r="E247" s="29">
        <f t="shared" si="3"/>
        <v>1.6738922599999988</v>
      </c>
      <c r="F247" s="30">
        <v>42904</v>
      </c>
    </row>
    <row r="248" spans="1:6" x14ac:dyDescent="0.3">
      <c r="A248" s="32" t="s">
        <v>1203</v>
      </c>
      <c r="B248">
        <v>-26.083925369999999</v>
      </c>
      <c r="C248">
        <v>-27.2119085</v>
      </c>
      <c r="E248" s="29">
        <f t="shared" si="3"/>
        <v>1.1279831300000005</v>
      </c>
      <c r="F248" s="30">
        <v>42905</v>
      </c>
    </row>
    <row r="249" spans="1:6" x14ac:dyDescent="0.3">
      <c r="A249" s="32" t="s">
        <v>1204</v>
      </c>
      <c r="B249">
        <v>-25.110150099999998</v>
      </c>
      <c r="C249">
        <v>-27.750832299999999</v>
      </c>
      <c r="E249" s="29">
        <f t="shared" si="3"/>
        <v>2.6406822000000005</v>
      </c>
      <c r="F249" s="30">
        <v>42906</v>
      </c>
    </row>
    <row r="250" spans="1:6" x14ac:dyDescent="0.3">
      <c r="A250" s="32" t="s">
        <v>1205</v>
      </c>
      <c r="B250">
        <v>-24.479897869999999</v>
      </c>
      <c r="C250">
        <v>-27.575047699999999</v>
      </c>
      <c r="E250" s="29">
        <f t="shared" si="3"/>
        <v>3.0951498300000004</v>
      </c>
      <c r="F250" s="30">
        <v>42907</v>
      </c>
    </row>
    <row r="251" spans="1:6" x14ac:dyDescent="0.3">
      <c r="A251" s="32" t="s">
        <v>1206</v>
      </c>
      <c r="B251">
        <v>-25.093539910000001</v>
      </c>
      <c r="C251">
        <v>-25.910908200000002</v>
      </c>
      <c r="E251" s="29">
        <f t="shared" si="3"/>
        <v>0.817368290000001</v>
      </c>
      <c r="F251" s="30">
        <v>42908</v>
      </c>
    </row>
    <row r="252" spans="1:6" x14ac:dyDescent="0.3">
      <c r="A252" s="32" t="s">
        <v>1207</v>
      </c>
      <c r="B252">
        <v>-25.283277089999999</v>
      </c>
      <c r="C252">
        <v>-28.036590700000001</v>
      </c>
      <c r="E252" s="29">
        <f t="shared" si="3"/>
        <v>2.7533136100000029</v>
      </c>
      <c r="F252" s="30">
        <v>42909</v>
      </c>
    </row>
    <row r="253" spans="1:6" x14ac:dyDescent="0.3">
      <c r="A253" s="32" t="s">
        <v>1208</v>
      </c>
      <c r="B253">
        <v>-25.922605130000001</v>
      </c>
      <c r="C253">
        <v>-27.832194399999999</v>
      </c>
      <c r="E253" s="29">
        <f t="shared" si="3"/>
        <v>1.9095892699999979</v>
      </c>
      <c r="F253" s="30">
        <v>42910</v>
      </c>
    </row>
    <row r="254" spans="1:6" x14ac:dyDescent="0.3">
      <c r="A254" s="32" t="s">
        <v>1209</v>
      </c>
      <c r="B254">
        <v>-27.283931379999999</v>
      </c>
      <c r="C254">
        <v>-28.042675500000001</v>
      </c>
      <c r="E254" s="29">
        <f t="shared" si="3"/>
        <v>0.75874412000000291</v>
      </c>
      <c r="F254" s="30">
        <v>42911</v>
      </c>
    </row>
    <row r="255" spans="1:6" x14ac:dyDescent="0.3">
      <c r="A255" s="32" t="s">
        <v>1210</v>
      </c>
      <c r="B255">
        <v>-26.203538259999998</v>
      </c>
      <c r="C255">
        <v>-27.4065765</v>
      </c>
      <c r="E255" s="29">
        <f t="shared" si="3"/>
        <v>1.2030382400000015</v>
      </c>
      <c r="F255" s="30">
        <v>42912</v>
      </c>
    </row>
    <row r="256" spans="1:6" x14ac:dyDescent="0.3">
      <c r="A256" s="32" t="s">
        <v>1211</v>
      </c>
      <c r="B256">
        <v>-26.459337990000002</v>
      </c>
      <c r="C256">
        <v>-28.276643</v>
      </c>
      <c r="E256" s="29">
        <f t="shared" si="3"/>
        <v>1.8173050099999983</v>
      </c>
      <c r="F256" s="30">
        <v>42913</v>
      </c>
    </row>
    <row r="257" spans="1:6" x14ac:dyDescent="0.3">
      <c r="A257" s="32" t="s">
        <v>1212</v>
      </c>
      <c r="B257">
        <v>-26.205411269999999</v>
      </c>
      <c r="C257">
        <v>-30.122223000000002</v>
      </c>
      <c r="E257" s="29">
        <f t="shared" si="3"/>
        <v>3.9168117300000027</v>
      </c>
      <c r="F257" s="30">
        <v>42914</v>
      </c>
    </row>
    <row r="258" spans="1:6" x14ac:dyDescent="0.3">
      <c r="A258" s="32" t="s">
        <v>1213</v>
      </c>
      <c r="B258">
        <v>-25.28402062</v>
      </c>
      <c r="C258">
        <v>-29.801569600000001</v>
      </c>
      <c r="E258" s="29">
        <f t="shared" si="3"/>
        <v>4.5175489800000008</v>
      </c>
      <c r="F258" s="30">
        <v>42915</v>
      </c>
    </row>
    <row r="259" spans="1:6" x14ac:dyDescent="0.3">
      <c r="A259" s="32" t="s">
        <v>1214</v>
      </c>
      <c r="B259">
        <v>-24.3538915</v>
      </c>
      <c r="C259">
        <v>-27.458662700000001</v>
      </c>
      <c r="E259" s="29">
        <f t="shared" ref="E259:E322" si="4">B259-C259</f>
        <v>3.1047712000000018</v>
      </c>
      <c r="F259" s="30">
        <v>42916</v>
      </c>
    </row>
    <row r="260" spans="1:6" x14ac:dyDescent="0.3">
      <c r="A260" s="32" t="s">
        <v>1215</v>
      </c>
      <c r="B260">
        <v>-23.062314409999999</v>
      </c>
      <c r="C260">
        <v>-28.4389957</v>
      </c>
      <c r="E260" s="29">
        <f t="shared" si="4"/>
        <v>5.3766812900000005</v>
      </c>
      <c r="F260" s="30">
        <v>42917</v>
      </c>
    </row>
    <row r="261" spans="1:6" x14ac:dyDescent="0.3">
      <c r="A261" s="32" t="s">
        <v>1216</v>
      </c>
      <c r="B261">
        <v>-22.53850735</v>
      </c>
      <c r="C261">
        <v>-27.183675000000001</v>
      </c>
      <c r="E261" s="29">
        <f t="shared" si="4"/>
        <v>4.6451676500000012</v>
      </c>
      <c r="F261" s="30">
        <v>42918</v>
      </c>
    </row>
    <row r="262" spans="1:6" x14ac:dyDescent="0.3">
      <c r="A262" s="32" t="s">
        <v>1217</v>
      </c>
      <c r="B262">
        <v>-23.984092820000001</v>
      </c>
      <c r="C262">
        <v>-26.020926800000002</v>
      </c>
      <c r="E262" s="29">
        <f t="shared" si="4"/>
        <v>2.0368339800000008</v>
      </c>
      <c r="F262" s="30">
        <v>42919</v>
      </c>
    </row>
    <row r="263" spans="1:6" x14ac:dyDescent="0.3">
      <c r="A263" s="32" t="s">
        <v>1218</v>
      </c>
      <c r="B263">
        <v>-23.960121489999999</v>
      </c>
      <c r="C263">
        <v>-27.3203818</v>
      </c>
      <c r="E263" s="29">
        <f t="shared" si="4"/>
        <v>3.360260310000001</v>
      </c>
      <c r="F263" s="30">
        <v>42920</v>
      </c>
    </row>
    <row r="264" spans="1:6" x14ac:dyDescent="0.3">
      <c r="A264" s="32" t="s">
        <v>1219</v>
      </c>
      <c r="B264">
        <v>-25.345889400000001</v>
      </c>
      <c r="C264">
        <v>-27.812805399999998</v>
      </c>
      <c r="E264" s="29">
        <f t="shared" si="4"/>
        <v>2.4669159999999977</v>
      </c>
      <c r="F264" s="30">
        <v>42921</v>
      </c>
    </row>
    <row r="265" spans="1:6" x14ac:dyDescent="0.3">
      <c r="A265" s="32" t="s">
        <v>1220</v>
      </c>
      <c r="B265">
        <v>-25.288494979999999</v>
      </c>
      <c r="C265">
        <v>-27.045630599999999</v>
      </c>
      <c r="E265" s="29">
        <f t="shared" si="4"/>
        <v>1.7571356199999997</v>
      </c>
      <c r="F265" s="30">
        <v>42922</v>
      </c>
    </row>
    <row r="266" spans="1:6" x14ac:dyDescent="0.3">
      <c r="A266" s="32" t="s">
        <v>1221</v>
      </c>
      <c r="B266">
        <v>-26.60893673</v>
      </c>
      <c r="C266">
        <v>-29.094829499999999</v>
      </c>
      <c r="E266" s="29">
        <f t="shared" si="4"/>
        <v>2.4858927699999995</v>
      </c>
      <c r="F266" s="30">
        <v>42923</v>
      </c>
    </row>
    <row r="267" spans="1:6" x14ac:dyDescent="0.3">
      <c r="A267" s="32" t="s">
        <v>1222</v>
      </c>
      <c r="B267">
        <v>-25.048918180000001</v>
      </c>
      <c r="C267">
        <v>-30.418445299999998</v>
      </c>
      <c r="E267" s="29">
        <f t="shared" si="4"/>
        <v>5.3695271199999972</v>
      </c>
      <c r="F267" s="30">
        <v>42924</v>
      </c>
    </row>
    <row r="268" spans="1:6" x14ac:dyDescent="0.3">
      <c r="A268" s="32" t="s">
        <v>1223</v>
      </c>
      <c r="B268">
        <v>-26.01348406</v>
      </c>
      <c r="C268">
        <v>-30.741998800000001</v>
      </c>
      <c r="E268" s="29">
        <f t="shared" si="4"/>
        <v>4.7285147400000014</v>
      </c>
      <c r="F268" s="30">
        <v>42925</v>
      </c>
    </row>
    <row r="269" spans="1:6" x14ac:dyDescent="0.3">
      <c r="A269" s="32" t="s">
        <v>1224</v>
      </c>
      <c r="B269">
        <v>-25.560520239999999</v>
      </c>
      <c r="C269">
        <v>-31.599728500000001</v>
      </c>
      <c r="E269" s="29">
        <f t="shared" si="4"/>
        <v>6.0392082600000023</v>
      </c>
      <c r="F269" s="30">
        <v>42926</v>
      </c>
    </row>
    <row r="270" spans="1:6" x14ac:dyDescent="0.3">
      <c r="A270" s="32" t="s">
        <v>1225</v>
      </c>
      <c r="B270">
        <v>-26.13992549</v>
      </c>
      <c r="C270">
        <v>-31.989653499999999</v>
      </c>
      <c r="E270" s="29">
        <f t="shared" si="4"/>
        <v>5.8497280099999998</v>
      </c>
      <c r="F270" s="30">
        <v>42927</v>
      </c>
    </row>
    <row r="271" spans="1:6" x14ac:dyDescent="0.3">
      <c r="A271" s="32" t="s">
        <v>1226</v>
      </c>
      <c r="B271">
        <v>-24.53286567</v>
      </c>
      <c r="C271">
        <v>-33.7130127</v>
      </c>
      <c r="E271" s="29">
        <f t="shared" si="4"/>
        <v>9.1801470300000005</v>
      </c>
      <c r="F271" s="30">
        <v>42928</v>
      </c>
    </row>
    <row r="272" spans="1:6" x14ac:dyDescent="0.3">
      <c r="A272" s="32" t="s">
        <v>1227</v>
      </c>
      <c r="B272">
        <v>-24.502564459999999</v>
      </c>
      <c r="C272">
        <v>-34.141213999999998</v>
      </c>
      <c r="E272" s="29">
        <f t="shared" si="4"/>
        <v>9.6386495399999994</v>
      </c>
      <c r="F272" s="30">
        <v>42929</v>
      </c>
    </row>
    <row r="273" spans="1:6" x14ac:dyDescent="0.3">
      <c r="A273" s="32" t="s">
        <v>1228</v>
      </c>
      <c r="B273">
        <v>-25.084660039999999</v>
      </c>
      <c r="C273">
        <v>-34.295015399999997</v>
      </c>
      <c r="E273" s="29">
        <f t="shared" si="4"/>
        <v>9.2103553599999977</v>
      </c>
      <c r="F273" s="30">
        <v>42930</v>
      </c>
    </row>
    <row r="274" spans="1:6" x14ac:dyDescent="0.3">
      <c r="A274" s="32" t="s">
        <v>1229</v>
      </c>
      <c r="B274">
        <v>-26.187114189999999</v>
      </c>
      <c r="C274">
        <v>-34.007279099999998</v>
      </c>
      <c r="E274" s="29">
        <f t="shared" si="4"/>
        <v>7.820164909999999</v>
      </c>
      <c r="F274" s="30">
        <v>42931</v>
      </c>
    </row>
    <row r="275" spans="1:6" x14ac:dyDescent="0.3">
      <c r="A275" s="32" t="s">
        <v>1230</v>
      </c>
      <c r="B275">
        <v>-24.65181364</v>
      </c>
      <c r="C275">
        <v>-34.034456200000001</v>
      </c>
      <c r="E275" s="29">
        <f t="shared" si="4"/>
        <v>9.3826425600000007</v>
      </c>
      <c r="F275" s="30">
        <v>42932</v>
      </c>
    </row>
    <row r="276" spans="1:6" x14ac:dyDescent="0.3">
      <c r="A276" s="32" t="s">
        <v>1231</v>
      </c>
      <c r="B276">
        <v>-25.085327410000001</v>
      </c>
      <c r="C276">
        <v>-34.7063895</v>
      </c>
      <c r="E276" s="29">
        <f t="shared" si="4"/>
        <v>9.6210620899999988</v>
      </c>
      <c r="F276" s="30">
        <v>42933</v>
      </c>
    </row>
    <row r="277" spans="1:6" x14ac:dyDescent="0.3">
      <c r="A277" s="32" t="s">
        <v>1232</v>
      </c>
      <c r="B277">
        <v>-25.586349290000001</v>
      </c>
      <c r="C277">
        <v>-32.747960499999998</v>
      </c>
      <c r="E277" s="29">
        <f t="shared" si="4"/>
        <v>7.1616112099999967</v>
      </c>
      <c r="F277" s="30">
        <v>42934</v>
      </c>
    </row>
    <row r="278" spans="1:6" x14ac:dyDescent="0.3">
      <c r="A278" s="32" t="s">
        <v>1233</v>
      </c>
      <c r="B278">
        <v>-26.089654079999999</v>
      </c>
      <c r="C278">
        <v>-35.024887399999997</v>
      </c>
      <c r="E278" s="29">
        <f t="shared" si="4"/>
        <v>8.9352333199999983</v>
      </c>
      <c r="F278" s="30">
        <v>42935</v>
      </c>
    </row>
    <row r="279" spans="1:6" x14ac:dyDescent="0.3">
      <c r="A279" s="32" t="s">
        <v>1234</v>
      </c>
      <c r="B279">
        <v>-25.004678250000001</v>
      </c>
      <c r="C279">
        <v>-34.608744199999997</v>
      </c>
      <c r="E279" s="29">
        <f t="shared" si="4"/>
        <v>9.6040659499999954</v>
      </c>
      <c r="F279" s="30">
        <v>42936</v>
      </c>
    </row>
    <row r="280" spans="1:6" x14ac:dyDescent="0.3">
      <c r="A280" s="32" t="s">
        <v>1235</v>
      </c>
      <c r="B280">
        <v>-24.81612968</v>
      </c>
      <c r="C280">
        <v>-34.104900700000002</v>
      </c>
      <c r="E280" s="29">
        <f t="shared" si="4"/>
        <v>9.2887710200000022</v>
      </c>
      <c r="F280" s="30">
        <v>42937</v>
      </c>
    </row>
    <row r="281" spans="1:6" x14ac:dyDescent="0.3">
      <c r="A281" s="32" t="s">
        <v>1236</v>
      </c>
      <c r="B281">
        <v>-23.57040293</v>
      </c>
      <c r="C281">
        <v>-33.176556699999999</v>
      </c>
      <c r="E281" s="29">
        <f t="shared" si="4"/>
        <v>9.6061537699999988</v>
      </c>
      <c r="F281" s="30">
        <v>42938</v>
      </c>
    </row>
    <row r="282" spans="1:6" x14ac:dyDescent="0.3">
      <c r="A282" s="32" t="s">
        <v>1237</v>
      </c>
      <c r="B282">
        <v>-22.656728640000001</v>
      </c>
      <c r="C282">
        <v>-34.100106699999998</v>
      </c>
      <c r="E282" s="29">
        <f t="shared" si="4"/>
        <v>11.443378059999997</v>
      </c>
      <c r="F282" s="30">
        <v>42939</v>
      </c>
    </row>
    <row r="283" spans="1:6" x14ac:dyDescent="0.3">
      <c r="A283" s="32" t="s">
        <v>1238</v>
      </c>
      <c r="B283">
        <v>-21.62659798</v>
      </c>
      <c r="C283">
        <v>-33.754441999999997</v>
      </c>
      <c r="E283" s="29">
        <f t="shared" si="4"/>
        <v>12.127844019999998</v>
      </c>
      <c r="F283" s="30">
        <v>42940</v>
      </c>
    </row>
    <row r="284" spans="1:6" x14ac:dyDescent="0.3">
      <c r="A284" s="32" t="s">
        <v>1239</v>
      </c>
      <c r="B284">
        <v>-22.488997900000001</v>
      </c>
      <c r="C284">
        <v>-34.1087779</v>
      </c>
      <c r="E284" s="29">
        <f t="shared" si="4"/>
        <v>11.619779999999999</v>
      </c>
      <c r="F284" s="30">
        <v>42941</v>
      </c>
    </row>
    <row r="285" spans="1:6" x14ac:dyDescent="0.3">
      <c r="A285" s="32" t="s">
        <v>1240</v>
      </c>
      <c r="B285">
        <v>-22.641889800000001</v>
      </c>
      <c r="C285">
        <v>-35.795079800000003</v>
      </c>
      <c r="E285" s="29">
        <f t="shared" si="4"/>
        <v>13.153190000000002</v>
      </c>
      <c r="F285" s="30">
        <v>42942</v>
      </c>
    </row>
    <row r="286" spans="1:6" x14ac:dyDescent="0.3">
      <c r="A286" s="32" t="s">
        <v>1241</v>
      </c>
      <c r="B286">
        <v>-22.796646689999999</v>
      </c>
      <c r="C286">
        <v>-34.2181408</v>
      </c>
      <c r="E286" s="29">
        <f t="shared" si="4"/>
        <v>11.421494110000001</v>
      </c>
      <c r="F286" s="30">
        <v>42943</v>
      </c>
    </row>
    <row r="287" spans="1:6" x14ac:dyDescent="0.3">
      <c r="A287" s="32" t="s">
        <v>1242</v>
      </c>
      <c r="B287">
        <v>-21.681203010000001</v>
      </c>
      <c r="C287">
        <v>-34.399037700000001</v>
      </c>
      <c r="E287" s="29">
        <f t="shared" si="4"/>
        <v>12.71783469</v>
      </c>
      <c r="F287" s="30">
        <v>42944</v>
      </c>
    </row>
    <row r="288" spans="1:6" x14ac:dyDescent="0.3">
      <c r="A288" s="32" t="s">
        <v>1243</v>
      </c>
      <c r="B288">
        <v>-20.08588688</v>
      </c>
      <c r="C288">
        <v>-36.208503499999999</v>
      </c>
      <c r="E288" s="29">
        <f t="shared" si="4"/>
        <v>16.122616619999999</v>
      </c>
      <c r="F288" s="30">
        <v>42945</v>
      </c>
    </row>
    <row r="289" spans="1:6" x14ac:dyDescent="0.3">
      <c r="A289" s="32" t="s">
        <v>1244</v>
      </c>
      <c r="B289">
        <v>-19.90235053</v>
      </c>
      <c r="C289">
        <v>-35.977334300000003</v>
      </c>
      <c r="E289" s="29">
        <f t="shared" si="4"/>
        <v>16.074983770000003</v>
      </c>
      <c r="F289" s="30">
        <v>42946</v>
      </c>
    </row>
    <row r="290" spans="1:6" x14ac:dyDescent="0.3">
      <c r="A290" s="32" t="s">
        <v>1245</v>
      </c>
      <c r="B290">
        <v>-19.537644650000001</v>
      </c>
      <c r="C290">
        <v>-35.839140200000003</v>
      </c>
      <c r="E290" s="29">
        <f t="shared" si="4"/>
        <v>16.301495550000002</v>
      </c>
      <c r="F290" s="30">
        <v>42947</v>
      </c>
    </row>
    <row r="291" spans="1:6" x14ac:dyDescent="0.3">
      <c r="A291" s="32" t="s">
        <v>1246</v>
      </c>
      <c r="B291">
        <v>-20.872906759999999</v>
      </c>
      <c r="C291">
        <v>-37.169002200000001</v>
      </c>
      <c r="E291" s="29">
        <f t="shared" si="4"/>
        <v>16.296095440000002</v>
      </c>
      <c r="F291" s="30">
        <v>42948</v>
      </c>
    </row>
    <row r="292" spans="1:6" x14ac:dyDescent="0.3">
      <c r="A292" s="32" t="s">
        <v>1247</v>
      </c>
      <c r="B292">
        <v>-20.140740019999999</v>
      </c>
      <c r="C292">
        <v>-39.327450800000001</v>
      </c>
      <c r="E292" s="29">
        <f t="shared" si="4"/>
        <v>19.186710780000002</v>
      </c>
      <c r="F292" s="30">
        <v>42949</v>
      </c>
    </row>
    <row r="293" spans="1:6" x14ac:dyDescent="0.3">
      <c r="A293" s="32" t="s">
        <v>1248</v>
      </c>
      <c r="B293">
        <v>-20.21198682</v>
      </c>
      <c r="C293">
        <v>-39.688156900000003</v>
      </c>
      <c r="E293" s="29">
        <f t="shared" si="4"/>
        <v>19.476170080000003</v>
      </c>
      <c r="F293" s="30">
        <v>42950</v>
      </c>
    </row>
    <row r="294" spans="1:6" x14ac:dyDescent="0.3">
      <c r="A294" s="32" t="s">
        <v>1249</v>
      </c>
      <c r="B294">
        <v>-21.126474089999999</v>
      </c>
      <c r="C294">
        <v>-41.638035199999997</v>
      </c>
      <c r="E294" s="29">
        <f t="shared" si="4"/>
        <v>20.511561109999999</v>
      </c>
      <c r="F294" s="30">
        <v>42951</v>
      </c>
    </row>
    <row r="295" spans="1:6" x14ac:dyDescent="0.3">
      <c r="A295" s="32" t="s">
        <v>1250</v>
      </c>
      <c r="B295">
        <v>-21.286091389999999</v>
      </c>
      <c r="C295">
        <v>-41.8230127</v>
      </c>
      <c r="E295" s="29">
        <f t="shared" si="4"/>
        <v>20.53692131</v>
      </c>
      <c r="F295" s="30">
        <v>42952</v>
      </c>
    </row>
    <row r="296" spans="1:6" x14ac:dyDescent="0.3">
      <c r="A296" s="32" t="s">
        <v>1251</v>
      </c>
      <c r="B296">
        <v>-22.146205859999998</v>
      </c>
      <c r="C296">
        <v>-41.533962899999999</v>
      </c>
      <c r="E296" s="29">
        <f t="shared" si="4"/>
        <v>19.38775704</v>
      </c>
      <c r="F296" s="30">
        <v>42953</v>
      </c>
    </row>
    <row r="297" spans="1:6" x14ac:dyDescent="0.3">
      <c r="A297" s="32" t="s">
        <v>1252</v>
      </c>
      <c r="B297">
        <v>-23.526270279999999</v>
      </c>
      <c r="C297">
        <v>-40.830058800000003</v>
      </c>
      <c r="E297" s="29">
        <f t="shared" si="4"/>
        <v>17.303788520000005</v>
      </c>
      <c r="F297" s="30">
        <v>42954</v>
      </c>
    </row>
    <row r="298" spans="1:6" x14ac:dyDescent="0.3">
      <c r="A298" s="32" t="s">
        <v>1253</v>
      </c>
      <c r="B298">
        <v>-24.353852849999999</v>
      </c>
      <c r="C298">
        <v>-42.640894799999998</v>
      </c>
      <c r="E298" s="29">
        <f t="shared" si="4"/>
        <v>18.287041949999999</v>
      </c>
      <c r="F298" s="30">
        <v>42955</v>
      </c>
    </row>
    <row r="299" spans="1:6" x14ac:dyDescent="0.3">
      <c r="A299" s="32" t="s">
        <v>1254</v>
      </c>
      <c r="B299">
        <v>-24.890813909999999</v>
      </c>
      <c r="C299">
        <v>-41.164411800000003</v>
      </c>
      <c r="E299" s="29">
        <f t="shared" si="4"/>
        <v>16.273597890000005</v>
      </c>
      <c r="F299" s="30">
        <v>42956</v>
      </c>
    </row>
    <row r="300" spans="1:6" x14ac:dyDescent="0.3">
      <c r="A300" s="32" t="s">
        <v>1255</v>
      </c>
      <c r="B300">
        <v>-25.055113030000001</v>
      </c>
      <c r="C300">
        <v>-42.5930465</v>
      </c>
      <c r="E300" s="29">
        <f t="shared" si="4"/>
        <v>17.537933469999999</v>
      </c>
      <c r="F300" s="30">
        <v>42957</v>
      </c>
    </row>
    <row r="301" spans="1:6" x14ac:dyDescent="0.3">
      <c r="A301" s="32" t="s">
        <v>1256</v>
      </c>
      <c r="B301">
        <v>-25.847020180000001</v>
      </c>
      <c r="C301">
        <v>-41.148532199999998</v>
      </c>
      <c r="E301" s="29">
        <f t="shared" si="4"/>
        <v>15.301512019999997</v>
      </c>
      <c r="F301" s="30">
        <v>42958</v>
      </c>
    </row>
    <row r="302" spans="1:6" x14ac:dyDescent="0.3">
      <c r="A302" s="32" t="s">
        <v>1257</v>
      </c>
      <c r="B302">
        <v>-26.634575210000001</v>
      </c>
      <c r="C302">
        <v>-39.537859900000001</v>
      </c>
      <c r="E302" s="29">
        <f t="shared" si="4"/>
        <v>12.90328469</v>
      </c>
      <c r="F302" s="30">
        <v>42959</v>
      </c>
    </row>
    <row r="303" spans="1:6" x14ac:dyDescent="0.3">
      <c r="A303" s="32" t="s">
        <v>1258</v>
      </c>
      <c r="B303">
        <v>-28.239812409999999</v>
      </c>
      <c r="C303">
        <v>-39.958295700000001</v>
      </c>
      <c r="E303" s="29">
        <f t="shared" si="4"/>
        <v>11.718483290000002</v>
      </c>
      <c r="F303" s="30">
        <v>42960</v>
      </c>
    </row>
    <row r="304" spans="1:6" x14ac:dyDescent="0.3">
      <c r="A304" s="32" t="s">
        <v>1259</v>
      </c>
      <c r="B304">
        <v>-28.939547390000001</v>
      </c>
      <c r="C304">
        <v>-39.849266</v>
      </c>
      <c r="E304" s="29">
        <f t="shared" si="4"/>
        <v>10.909718609999999</v>
      </c>
      <c r="F304" s="30">
        <v>42961</v>
      </c>
    </row>
    <row r="305" spans="1:6" x14ac:dyDescent="0.3">
      <c r="A305" s="32" t="s">
        <v>1260</v>
      </c>
      <c r="B305">
        <v>-28.273567150000002</v>
      </c>
      <c r="C305">
        <v>-40.869437300000001</v>
      </c>
      <c r="E305" s="29">
        <f t="shared" si="4"/>
        <v>12.59587015</v>
      </c>
      <c r="F305" s="30">
        <v>42962</v>
      </c>
    </row>
    <row r="306" spans="1:6" x14ac:dyDescent="0.3">
      <c r="A306" s="32" t="s">
        <v>1261</v>
      </c>
      <c r="B306">
        <v>-27.261475539999999</v>
      </c>
      <c r="C306">
        <v>-40.615946200000003</v>
      </c>
      <c r="E306" s="29">
        <f t="shared" si="4"/>
        <v>13.354470660000004</v>
      </c>
      <c r="F306" s="30">
        <v>42963</v>
      </c>
    </row>
    <row r="307" spans="1:6" x14ac:dyDescent="0.3">
      <c r="A307" s="32" t="s">
        <v>1262</v>
      </c>
      <c r="B307">
        <v>-28.239226899999998</v>
      </c>
      <c r="C307">
        <v>-39.762289899999999</v>
      </c>
      <c r="E307" s="29">
        <f t="shared" si="4"/>
        <v>11.523063</v>
      </c>
      <c r="F307" s="30">
        <v>42964</v>
      </c>
    </row>
    <row r="308" spans="1:6" x14ac:dyDescent="0.3">
      <c r="A308" s="32" t="s">
        <v>1263</v>
      </c>
      <c r="B308">
        <v>-30.155138109999999</v>
      </c>
      <c r="C308">
        <v>-40.212166699999997</v>
      </c>
      <c r="E308" s="29">
        <f t="shared" si="4"/>
        <v>10.057028589999998</v>
      </c>
      <c r="F308" s="30">
        <v>42965</v>
      </c>
    </row>
    <row r="309" spans="1:6" x14ac:dyDescent="0.3">
      <c r="A309" s="32" t="s">
        <v>1264</v>
      </c>
      <c r="B309">
        <v>-29.509078290000001</v>
      </c>
      <c r="C309">
        <v>-41.385124400000002</v>
      </c>
      <c r="E309" s="29">
        <f t="shared" si="4"/>
        <v>11.876046110000001</v>
      </c>
      <c r="F309" s="30">
        <v>42966</v>
      </c>
    </row>
    <row r="310" spans="1:6" x14ac:dyDescent="0.3">
      <c r="A310" s="32" t="s">
        <v>1265</v>
      </c>
      <c r="B310">
        <v>-30.033613890000002</v>
      </c>
      <c r="C310">
        <v>-39.837828600000002</v>
      </c>
      <c r="E310" s="29">
        <f t="shared" si="4"/>
        <v>9.8042147100000001</v>
      </c>
      <c r="F310" s="30">
        <v>42967</v>
      </c>
    </row>
    <row r="311" spans="1:6" x14ac:dyDescent="0.3">
      <c r="A311" s="32" t="s">
        <v>1266</v>
      </c>
      <c r="B311">
        <v>-30.318486750000002</v>
      </c>
      <c r="C311">
        <v>-38.802163200000003</v>
      </c>
      <c r="E311" s="29">
        <f t="shared" si="4"/>
        <v>8.4836764500000008</v>
      </c>
      <c r="F311" s="30">
        <v>42968</v>
      </c>
    </row>
    <row r="312" spans="1:6" x14ac:dyDescent="0.3">
      <c r="A312" s="32" t="s">
        <v>1267</v>
      </c>
      <c r="B312">
        <v>-29.955175700000002</v>
      </c>
      <c r="C312">
        <v>-40.934455399999997</v>
      </c>
      <c r="E312" s="29">
        <f t="shared" si="4"/>
        <v>10.979279699999996</v>
      </c>
      <c r="F312" s="30">
        <v>42969</v>
      </c>
    </row>
    <row r="313" spans="1:6" x14ac:dyDescent="0.3">
      <c r="A313" s="32" t="s">
        <v>1268</v>
      </c>
      <c r="B313">
        <v>-30.595079930000001</v>
      </c>
      <c r="C313">
        <v>-39.651176599999999</v>
      </c>
      <c r="E313" s="29">
        <f t="shared" si="4"/>
        <v>9.0560966699999987</v>
      </c>
      <c r="F313" s="30">
        <v>42970</v>
      </c>
    </row>
    <row r="314" spans="1:6" x14ac:dyDescent="0.3">
      <c r="A314" s="32" t="s">
        <v>1269</v>
      </c>
      <c r="B314">
        <v>-29.404870979999998</v>
      </c>
      <c r="C314">
        <v>-39.430386400000003</v>
      </c>
      <c r="E314" s="29">
        <f t="shared" si="4"/>
        <v>10.025515420000005</v>
      </c>
      <c r="F314" s="30">
        <v>42971</v>
      </c>
    </row>
    <row r="315" spans="1:6" x14ac:dyDescent="0.3">
      <c r="A315" s="32" t="s">
        <v>1270</v>
      </c>
      <c r="B315">
        <v>-28.872549750000001</v>
      </c>
      <c r="C315">
        <v>-38.367855200000001</v>
      </c>
      <c r="E315" s="29">
        <f t="shared" si="4"/>
        <v>9.49530545</v>
      </c>
      <c r="F315" s="30">
        <v>42972</v>
      </c>
    </row>
    <row r="316" spans="1:6" x14ac:dyDescent="0.3">
      <c r="A316" s="32" t="s">
        <v>1271</v>
      </c>
      <c r="B316">
        <v>-29.043892499999998</v>
      </c>
      <c r="C316">
        <v>-39.450688100000001</v>
      </c>
      <c r="E316" s="29">
        <f t="shared" si="4"/>
        <v>10.406795600000002</v>
      </c>
      <c r="F316" s="30">
        <v>42973</v>
      </c>
    </row>
    <row r="317" spans="1:6" x14ac:dyDescent="0.3">
      <c r="A317" s="32" t="s">
        <v>1272</v>
      </c>
      <c r="B317">
        <v>-28.932453939999998</v>
      </c>
      <c r="C317">
        <v>-40.4614695</v>
      </c>
      <c r="E317" s="29">
        <f t="shared" si="4"/>
        <v>11.529015560000001</v>
      </c>
      <c r="F317" s="30">
        <v>42974</v>
      </c>
    </row>
    <row r="318" spans="1:6" x14ac:dyDescent="0.3">
      <c r="A318" s="32" t="s">
        <v>1273</v>
      </c>
      <c r="B318">
        <v>-28.940687069999999</v>
      </c>
      <c r="C318">
        <v>-41.520150600000001</v>
      </c>
      <c r="E318" s="29">
        <f t="shared" si="4"/>
        <v>12.579463530000002</v>
      </c>
      <c r="F318" s="30">
        <v>42975</v>
      </c>
    </row>
    <row r="319" spans="1:6" x14ac:dyDescent="0.3">
      <c r="A319" s="32" t="s">
        <v>1274</v>
      </c>
      <c r="B319">
        <v>-26.44665878</v>
      </c>
      <c r="C319">
        <v>-41.587606100000002</v>
      </c>
      <c r="E319" s="29">
        <f t="shared" si="4"/>
        <v>15.140947320000002</v>
      </c>
      <c r="F319" s="30">
        <v>42976</v>
      </c>
    </row>
    <row r="320" spans="1:6" x14ac:dyDescent="0.3">
      <c r="A320" s="32" t="s">
        <v>1275</v>
      </c>
      <c r="B320">
        <v>-26.91720849</v>
      </c>
      <c r="C320">
        <v>-41.511302499999999</v>
      </c>
      <c r="E320" s="29">
        <f t="shared" si="4"/>
        <v>14.594094009999999</v>
      </c>
      <c r="F320" s="30">
        <v>42977</v>
      </c>
    </row>
    <row r="321" spans="1:6" x14ac:dyDescent="0.3">
      <c r="A321" s="32" t="s">
        <v>1276</v>
      </c>
      <c r="B321">
        <v>-26.027822560000001</v>
      </c>
      <c r="C321">
        <v>-40.224765599999998</v>
      </c>
      <c r="E321" s="29">
        <f t="shared" si="4"/>
        <v>14.196943039999997</v>
      </c>
      <c r="F321" s="30">
        <v>42978</v>
      </c>
    </row>
    <row r="322" spans="1:6" x14ac:dyDescent="0.3">
      <c r="A322" s="32" t="s">
        <v>1277</v>
      </c>
      <c r="B322">
        <v>-23.61833596</v>
      </c>
      <c r="C322">
        <v>-38.860450700000001</v>
      </c>
      <c r="E322" s="29">
        <f t="shared" si="4"/>
        <v>15.242114740000002</v>
      </c>
      <c r="F322" s="30">
        <v>42979</v>
      </c>
    </row>
    <row r="323" spans="1:6" x14ac:dyDescent="0.3">
      <c r="A323" s="32" t="s">
        <v>1278</v>
      </c>
      <c r="B323">
        <v>-21.923502450000001</v>
      </c>
      <c r="C323">
        <v>-40.2467082</v>
      </c>
      <c r="E323" s="29">
        <f t="shared" ref="E323:E336" si="5">B323-C323</f>
        <v>18.32320575</v>
      </c>
      <c r="F323" s="30">
        <v>42980</v>
      </c>
    </row>
    <row r="324" spans="1:6" x14ac:dyDescent="0.3">
      <c r="A324" s="32" t="s">
        <v>1279</v>
      </c>
      <c r="B324">
        <v>-21.787548650000002</v>
      </c>
      <c r="C324">
        <v>-41.138933000000002</v>
      </c>
      <c r="E324" s="29">
        <f t="shared" si="5"/>
        <v>19.35138435</v>
      </c>
      <c r="F324" s="30">
        <v>42981</v>
      </c>
    </row>
    <row r="325" spans="1:6" x14ac:dyDescent="0.3">
      <c r="A325" s="32" t="s">
        <v>1280</v>
      </c>
      <c r="B325">
        <v>-23.762653490000002</v>
      </c>
      <c r="C325">
        <v>-40.651975</v>
      </c>
      <c r="E325" s="29">
        <f t="shared" si="5"/>
        <v>16.889321509999998</v>
      </c>
      <c r="F325" s="30">
        <v>42982</v>
      </c>
    </row>
    <row r="326" spans="1:6" x14ac:dyDescent="0.3">
      <c r="A326" s="32" t="s">
        <v>1281</v>
      </c>
      <c r="B326">
        <v>-24.356683220000001</v>
      </c>
      <c r="C326">
        <v>-40.070252000000004</v>
      </c>
      <c r="E326" s="29">
        <f t="shared" si="5"/>
        <v>15.713568780000003</v>
      </c>
      <c r="F326" s="30">
        <v>42983</v>
      </c>
    </row>
    <row r="327" spans="1:6" x14ac:dyDescent="0.3">
      <c r="A327" s="32" t="s">
        <v>1282</v>
      </c>
      <c r="B327">
        <v>-24.922393719999999</v>
      </c>
      <c r="C327">
        <v>-40.453174799999999</v>
      </c>
      <c r="E327" s="29">
        <f t="shared" si="5"/>
        <v>15.530781080000001</v>
      </c>
      <c r="F327" s="30">
        <v>42984</v>
      </c>
    </row>
    <row r="328" spans="1:6" x14ac:dyDescent="0.3">
      <c r="A328" s="32" t="s">
        <v>1283</v>
      </c>
      <c r="B328">
        <v>-24.756364219999998</v>
      </c>
      <c r="C328">
        <v>-41.820960599999999</v>
      </c>
      <c r="E328" s="29">
        <f t="shared" si="5"/>
        <v>17.064596380000001</v>
      </c>
      <c r="F328" s="30">
        <v>42985</v>
      </c>
    </row>
    <row r="329" spans="1:6" x14ac:dyDescent="0.3">
      <c r="A329" s="32" t="s">
        <v>1284</v>
      </c>
      <c r="B329">
        <v>-23.747128889999999</v>
      </c>
      <c r="C329">
        <v>-42.914537600000003</v>
      </c>
      <c r="E329" s="29">
        <f t="shared" si="5"/>
        <v>19.167408710000004</v>
      </c>
      <c r="F329" s="30">
        <v>42986</v>
      </c>
    </row>
    <row r="330" spans="1:6" x14ac:dyDescent="0.3">
      <c r="A330" s="32" t="s">
        <v>1285</v>
      </c>
      <c r="B330">
        <v>-22.929161189999999</v>
      </c>
      <c r="C330">
        <v>-43.8385277</v>
      </c>
      <c r="E330" s="29">
        <f t="shared" si="5"/>
        <v>20.909366510000002</v>
      </c>
      <c r="F330" s="30">
        <v>42987</v>
      </c>
    </row>
    <row r="331" spans="1:6" x14ac:dyDescent="0.3">
      <c r="A331" s="32" t="s">
        <v>1286</v>
      </c>
      <c r="B331">
        <v>-21.83925898</v>
      </c>
      <c r="C331">
        <v>-43.34281</v>
      </c>
      <c r="E331" s="29">
        <f t="shared" si="5"/>
        <v>21.50355102</v>
      </c>
      <c r="F331" s="30">
        <v>42988</v>
      </c>
    </row>
    <row r="332" spans="1:6" x14ac:dyDescent="0.3">
      <c r="A332" s="32" t="s">
        <v>1287</v>
      </c>
      <c r="B332">
        <v>-20.878725249999999</v>
      </c>
      <c r="C332">
        <v>-42.6838482</v>
      </c>
      <c r="E332" s="29">
        <f t="shared" si="5"/>
        <v>21.805122950000001</v>
      </c>
      <c r="F332" s="30">
        <v>42989</v>
      </c>
    </row>
    <row r="333" spans="1:6" x14ac:dyDescent="0.3">
      <c r="A333" s="32" t="s">
        <v>1288</v>
      </c>
      <c r="B333">
        <v>-22.448121660000002</v>
      </c>
      <c r="C333">
        <v>-41.7630135</v>
      </c>
      <c r="E333" s="29">
        <f t="shared" si="5"/>
        <v>19.314891839999998</v>
      </c>
      <c r="F333" s="30">
        <v>42990</v>
      </c>
    </row>
    <row r="334" spans="1:6" x14ac:dyDescent="0.3">
      <c r="A334" s="32" t="s">
        <v>1289</v>
      </c>
      <c r="B334">
        <v>-22.18753164</v>
      </c>
      <c r="C334">
        <v>-42.324320999999998</v>
      </c>
      <c r="E334" s="29">
        <f t="shared" si="5"/>
        <v>20.136789359999998</v>
      </c>
      <c r="F334" s="30">
        <v>42991</v>
      </c>
    </row>
    <row r="335" spans="1:6" x14ac:dyDescent="0.3">
      <c r="A335" s="32" t="s">
        <v>1290</v>
      </c>
      <c r="B335">
        <v>-22.722143190000001</v>
      </c>
      <c r="C335">
        <v>-41.399190099999998</v>
      </c>
      <c r="E335" s="29">
        <f t="shared" si="5"/>
        <v>18.677046909999998</v>
      </c>
      <c r="F335" s="30">
        <v>42992</v>
      </c>
    </row>
    <row r="336" spans="1:6" x14ac:dyDescent="0.3">
      <c r="A336" s="32" t="s">
        <v>1291</v>
      </c>
      <c r="B336">
        <v>-24.134295510000001</v>
      </c>
      <c r="C336">
        <v>-39.603900099999997</v>
      </c>
      <c r="E336" s="29">
        <f t="shared" si="5"/>
        <v>15.469604589999996</v>
      </c>
      <c r="F336" s="30">
        <v>42993</v>
      </c>
    </row>
    <row r="337" spans="1:6" x14ac:dyDescent="0.3">
      <c r="A337" s="32"/>
      <c r="F337" s="30"/>
    </row>
    <row r="338" spans="1:6" x14ac:dyDescent="0.3">
      <c r="A338" s="32"/>
      <c r="F338" s="30"/>
    </row>
    <row r="339" spans="1:6" x14ac:dyDescent="0.3">
      <c r="A339" s="32"/>
      <c r="F339" s="30"/>
    </row>
    <row r="340" spans="1:6" x14ac:dyDescent="0.3">
      <c r="A340" s="32"/>
      <c r="F340" s="30"/>
    </row>
    <row r="341" spans="1:6" x14ac:dyDescent="0.3">
      <c r="A341" s="32"/>
      <c r="F341" s="30"/>
    </row>
    <row r="342" spans="1:6" x14ac:dyDescent="0.3">
      <c r="F342" s="30"/>
    </row>
    <row r="343" spans="1:6" x14ac:dyDescent="0.3">
      <c r="F343" s="30"/>
    </row>
    <row r="344" spans="1:6" x14ac:dyDescent="0.3">
      <c r="F344" s="30"/>
    </row>
    <row r="345" spans="1:6" x14ac:dyDescent="0.3">
      <c r="A345" s="29" t="s">
        <v>763</v>
      </c>
      <c r="F345" s="30"/>
    </row>
    <row r="346" spans="1:6" x14ac:dyDescent="0.3">
      <c r="A346" s="29" t="s">
        <v>764</v>
      </c>
      <c r="F346" s="30"/>
    </row>
    <row r="347" spans="1:6" x14ac:dyDescent="0.3">
      <c r="A347" s="29" t="s">
        <v>765</v>
      </c>
      <c r="F347" s="30"/>
    </row>
    <row r="348" spans="1:6" x14ac:dyDescent="0.3">
      <c r="A348" s="29" t="s">
        <v>766</v>
      </c>
      <c r="F348" s="30"/>
    </row>
    <row r="349" spans="1:6" x14ac:dyDescent="0.3">
      <c r="A349" s="29" t="s">
        <v>767</v>
      </c>
      <c r="F349" s="30"/>
    </row>
    <row r="350" spans="1:6" x14ac:dyDescent="0.3">
      <c r="A350" s="29" t="s">
        <v>768</v>
      </c>
      <c r="F350" s="30"/>
    </row>
    <row r="351" spans="1:6" x14ac:dyDescent="0.3">
      <c r="A351" s="29" t="s">
        <v>769</v>
      </c>
      <c r="F351" s="30"/>
    </row>
    <row r="352" spans="1:6" x14ac:dyDescent="0.3">
      <c r="A352" s="29" t="s">
        <v>770</v>
      </c>
      <c r="F352" s="30"/>
    </row>
    <row r="353" spans="1:6" x14ac:dyDescent="0.3">
      <c r="A353" s="29" t="s">
        <v>771</v>
      </c>
      <c r="F353" s="30"/>
    </row>
    <row r="354" spans="1:6" x14ac:dyDescent="0.3">
      <c r="A354" s="29" t="s">
        <v>772</v>
      </c>
      <c r="F354" s="30"/>
    </row>
    <row r="355" spans="1:6" x14ac:dyDescent="0.3">
      <c r="A355" s="29" t="s">
        <v>773</v>
      </c>
      <c r="F355" s="30"/>
    </row>
    <row r="356" spans="1:6" x14ac:dyDescent="0.3">
      <c r="A356" s="29" t="s">
        <v>774</v>
      </c>
      <c r="F356" s="30"/>
    </row>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2E21A1-FE3B-47EA-ACD5-6AFAAB31A5C5}">
  <sheetPr codeName="Sheet15"/>
  <dimension ref="A1:A13"/>
  <sheetViews>
    <sheetView workbookViewId="0">
      <selection activeCell="D6" sqref="D6"/>
    </sheetView>
  </sheetViews>
  <sheetFormatPr defaultRowHeight="14.4" x14ac:dyDescent="0.3"/>
  <sheetData>
    <row r="1" spans="1:1" x14ac:dyDescent="0.3">
      <c r="A1">
        <v>11526.033315933109</v>
      </c>
    </row>
    <row r="2" spans="1:1" x14ac:dyDescent="0.3">
      <c r="A2">
        <v>562.17958874366832</v>
      </c>
    </row>
    <row r="3" spans="1:1" x14ac:dyDescent="0.3">
      <c r="A3">
        <v>2279.9122790142605</v>
      </c>
    </row>
    <row r="4" spans="1:1" x14ac:dyDescent="0.3">
      <c r="A4">
        <v>2248.1103175778539</v>
      </c>
    </row>
    <row r="5" spans="1:1" x14ac:dyDescent="0.3">
      <c r="A5">
        <v>3634.7153946354588</v>
      </c>
    </row>
    <row r="6" spans="1:1" x14ac:dyDescent="0.3">
      <c r="A6">
        <v>13141.738393378557</v>
      </c>
    </row>
    <row r="7" spans="1:1" x14ac:dyDescent="0.3">
      <c r="A7">
        <v>5845.6821672068354</v>
      </c>
    </row>
    <row r="8" spans="1:1" x14ac:dyDescent="0.3">
      <c r="A8">
        <v>3686.1323904602232</v>
      </c>
    </row>
    <row r="9" spans="1:1" x14ac:dyDescent="0.3">
      <c r="A9">
        <v>1855.8121833849459</v>
      </c>
    </row>
    <row r="10" spans="1:1" x14ac:dyDescent="0.3">
      <c r="A10">
        <v>13327.642552229558</v>
      </c>
    </row>
    <row r="11" spans="1:1" x14ac:dyDescent="0.3">
      <c r="A11">
        <v>1855.8121833849459</v>
      </c>
    </row>
    <row r="12" spans="1:1" x14ac:dyDescent="0.3">
      <c r="A12">
        <v>1616.7869371070512</v>
      </c>
    </row>
    <row r="13" spans="1:1" x14ac:dyDescent="0.3">
      <c r="A13">
        <v>1552.6615857938909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Data</vt:lpstr>
      <vt:lpstr>Sheet1</vt:lpstr>
      <vt:lpstr>Sheet2</vt:lpstr>
      <vt:lpstr>gdaxbitstamp</vt:lpstr>
      <vt:lpstr>other</vt:lpstr>
      <vt:lpstr>other2</vt:lpstr>
      <vt:lpstr>other3</vt:lpstr>
      <vt:lpstr>Sheet6</vt:lpstr>
      <vt:lpstr>here</vt:lpstr>
      <vt:lpstr>Sheet2 (2)</vt:lpstr>
      <vt:lpstr>Sheet2 (3)</vt:lpstr>
      <vt:lpstr>Sheet2 (4)</vt:lpstr>
      <vt:lpstr>Sheet7</vt:lpstr>
      <vt:lpstr>Sheet8</vt:lpstr>
      <vt:lpstr>Sheet9</vt:lpstr>
      <vt:lpstr>Sheet11</vt:lpstr>
      <vt:lpstr>Sheet3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Research1</dc:creator>
  <cp:lastModifiedBy>thushan</cp:lastModifiedBy>
  <dcterms:created xsi:type="dcterms:W3CDTF">2017-05-01T19:49:07Z</dcterms:created>
  <dcterms:modified xsi:type="dcterms:W3CDTF">2017-11-26T21:31:20Z</dcterms:modified>
</cp:coreProperties>
</file>